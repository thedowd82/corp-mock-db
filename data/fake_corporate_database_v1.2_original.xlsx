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29610240834e6a/Documents/spreadsheets/"/>
    </mc:Choice>
  </mc:AlternateContent>
  <xr:revisionPtr revIDLastSave="506" documentId="8_{A11CEBE0-73AB-3C46-B08C-DB93D1538511}" xr6:coauthVersionLast="47" xr6:coauthVersionMax="47" xr10:uidLastSave="{A2E43567-12B9-4F4F-9D56-97B404FD9916}"/>
  <bookViews>
    <workbookView xWindow="0" yWindow="760" windowWidth="34200" windowHeight="21480" activeTab="7" xr2:uid="{A204F313-334B-3145-8CC0-95BABE3B361E}"/>
  </bookViews>
  <sheets>
    <sheet name="Data Dictionary" sheetId="6" r:id="rId1"/>
    <sheet name="Employees" sheetId="2" r:id="rId2"/>
    <sheet name="Employee_History" sheetId="3" r:id="rId3"/>
    <sheet name="Compensation" sheetId="4" r:id="rId4"/>
    <sheet name="Departments" sheetId="5" r:id="rId5"/>
    <sheet name="Positions" sheetId="7" r:id="rId6"/>
    <sheet name="Locations" sheetId="8" r:id="rId7"/>
    <sheet name="Data Quality" sheetId="9" r:id="rId8"/>
  </sheets>
  <definedNames>
    <definedName name="_xlnm._FilterDatabase" localSheetId="0" hidden="1">'Data Dictionary'!$A$4:$L$42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6" l="1"/>
  <c r="K14" i="6"/>
  <c r="J15" i="6"/>
  <c r="K15" i="6"/>
  <c r="J21" i="6"/>
  <c r="K21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 a="1"/>
  <c r="G15" i="9" s="1"/>
  <c r="F16" i="9" a="1"/>
  <c r="G16" i="9" s="1"/>
  <c r="F17" i="9" a="1"/>
  <c r="G17" i="9" s="1"/>
  <c r="F18" i="9" a="1"/>
  <c r="G18" i="9" s="1"/>
  <c r="F19" i="9" a="1"/>
  <c r="G19" i="9" s="1"/>
  <c r="F20" i="9"/>
  <c r="G20" i="9" s="1"/>
  <c r="F21" i="9" a="1"/>
  <c r="G21" i="9" s="1"/>
  <c r="F22" i="9" a="1"/>
  <c r="G22" i="9"/>
  <c r="F23" i="9"/>
  <c r="G23" i="9"/>
  <c r="F24" i="9" a="1"/>
  <c r="G24" i="9"/>
  <c r="F25" i="9"/>
  <c r="G25" i="9" s="1"/>
  <c r="F26" i="9"/>
  <c r="G26" i="9" s="1"/>
  <c r="F27" i="9"/>
  <c r="G27" i="9" s="1"/>
  <c r="F28" i="9"/>
  <c r="G28" i="9" s="1"/>
  <c r="F29" i="9" a="1"/>
  <c r="G29" i="9" s="1"/>
  <c r="F30" i="9" a="1"/>
  <c r="G30" i="9"/>
  <c r="F31" i="9" a="1"/>
  <c r="G31" i="9" s="1"/>
  <c r="F32" i="9" a="1"/>
  <c r="G32" i="9" s="1"/>
  <c r="F33" i="9" a="1"/>
  <c r="G33" i="9" s="1"/>
  <c r="F34" i="9"/>
  <c r="G34" i="9"/>
  <c r="F35" i="9" a="1"/>
  <c r="G35" i="9" s="1"/>
  <c r="F36" i="9"/>
  <c r="G36" i="9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J489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K633" i="2"/>
  <c r="J634" i="2"/>
  <c r="K634" i="2"/>
  <c r="J635" i="2"/>
  <c r="K635" i="2"/>
  <c r="J636" i="2"/>
  <c r="K636" i="2"/>
  <c r="J637" i="2"/>
  <c r="K637" i="2"/>
  <c r="J638" i="2"/>
  <c r="K638" i="2"/>
  <c r="J639" i="2"/>
  <c r="K639" i="2"/>
  <c r="J640" i="2"/>
  <c r="K640" i="2"/>
  <c r="J641" i="2"/>
  <c r="K641" i="2"/>
  <c r="J642" i="2"/>
  <c r="K642" i="2"/>
  <c r="J643" i="2"/>
  <c r="K643" i="2"/>
  <c r="J644" i="2"/>
  <c r="K644" i="2"/>
  <c r="J645" i="2"/>
  <c r="K645" i="2"/>
  <c r="J646" i="2"/>
  <c r="K646" i="2"/>
  <c r="J647" i="2"/>
  <c r="K647" i="2"/>
  <c r="J648" i="2"/>
  <c r="K648" i="2"/>
  <c r="J649" i="2"/>
  <c r="K649" i="2"/>
  <c r="J650" i="2"/>
  <c r="K650" i="2"/>
  <c r="J651" i="2"/>
  <c r="K651" i="2"/>
  <c r="J652" i="2"/>
  <c r="K652" i="2"/>
  <c r="J653" i="2"/>
  <c r="K653" i="2"/>
  <c r="J654" i="2"/>
  <c r="K654" i="2"/>
  <c r="J655" i="2"/>
  <c r="K655" i="2"/>
  <c r="J656" i="2"/>
  <c r="K656" i="2"/>
  <c r="J657" i="2"/>
  <c r="K657" i="2"/>
  <c r="J658" i="2"/>
  <c r="K658" i="2"/>
  <c r="J659" i="2"/>
  <c r="K659" i="2"/>
  <c r="J660" i="2"/>
  <c r="K660" i="2"/>
  <c r="J661" i="2"/>
  <c r="K661" i="2"/>
  <c r="J662" i="2"/>
  <c r="K662" i="2"/>
  <c r="J663" i="2"/>
  <c r="K663" i="2"/>
  <c r="J664" i="2"/>
  <c r="K664" i="2"/>
  <c r="J665" i="2"/>
  <c r="K665" i="2"/>
  <c r="J666" i="2"/>
  <c r="K666" i="2"/>
  <c r="J667" i="2"/>
  <c r="K667" i="2"/>
  <c r="J668" i="2"/>
  <c r="K668" i="2"/>
  <c r="J669" i="2"/>
  <c r="K669" i="2"/>
  <c r="J670" i="2"/>
  <c r="K670" i="2"/>
  <c r="J671" i="2"/>
  <c r="K671" i="2"/>
  <c r="J672" i="2"/>
  <c r="K672" i="2"/>
  <c r="J673" i="2"/>
  <c r="K673" i="2"/>
  <c r="J674" i="2"/>
  <c r="K674" i="2"/>
  <c r="J675" i="2"/>
  <c r="K675" i="2"/>
  <c r="J676" i="2"/>
  <c r="K676" i="2"/>
  <c r="J677" i="2"/>
  <c r="K677" i="2"/>
  <c r="J678" i="2"/>
  <c r="K678" i="2"/>
  <c r="J679" i="2"/>
  <c r="K679" i="2"/>
  <c r="J680" i="2"/>
  <c r="K680" i="2"/>
  <c r="J681" i="2"/>
  <c r="K681" i="2"/>
  <c r="J682" i="2"/>
  <c r="K682" i="2"/>
  <c r="J683" i="2"/>
  <c r="K683" i="2"/>
  <c r="J684" i="2"/>
  <c r="K684" i="2"/>
  <c r="J685" i="2"/>
  <c r="K685" i="2"/>
  <c r="J686" i="2"/>
  <c r="K686" i="2"/>
  <c r="J687" i="2"/>
  <c r="K687" i="2"/>
  <c r="J688" i="2"/>
  <c r="K688" i="2"/>
  <c r="J689" i="2"/>
  <c r="K689" i="2"/>
  <c r="J690" i="2"/>
  <c r="K690" i="2"/>
  <c r="J691" i="2"/>
  <c r="K691" i="2"/>
  <c r="J692" i="2"/>
  <c r="K692" i="2"/>
  <c r="J693" i="2"/>
  <c r="K693" i="2"/>
  <c r="J694" i="2"/>
  <c r="K694" i="2"/>
  <c r="J695" i="2"/>
  <c r="K695" i="2"/>
  <c r="J696" i="2"/>
  <c r="K696" i="2"/>
  <c r="J697" i="2"/>
  <c r="K697" i="2"/>
  <c r="J698" i="2"/>
  <c r="K698" i="2"/>
  <c r="J699" i="2"/>
  <c r="K699" i="2"/>
  <c r="J700" i="2"/>
  <c r="K700" i="2"/>
  <c r="J701" i="2"/>
  <c r="K701" i="2"/>
  <c r="J702" i="2"/>
  <c r="K702" i="2"/>
  <c r="J703" i="2"/>
  <c r="K703" i="2"/>
  <c r="J704" i="2"/>
  <c r="K704" i="2"/>
  <c r="J705" i="2"/>
  <c r="K705" i="2"/>
  <c r="J706" i="2"/>
  <c r="K706" i="2"/>
  <c r="J707" i="2"/>
  <c r="K707" i="2"/>
  <c r="J708" i="2"/>
  <c r="K708" i="2"/>
  <c r="J709" i="2"/>
  <c r="K709" i="2"/>
  <c r="J710" i="2"/>
  <c r="K710" i="2"/>
  <c r="J711" i="2"/>
  <c r="K711" i="2"/>
  <c r="J712" i="2"/>
  <c r="K712" i="2"/>
  <c r="J713" i="2"/>
  <c r="K713" i="2"/>
  <c r="J714" i="2"/>
  <c r="K714" i="2"/>
  <c r="J715" i="2"/>
  <c r="K715" i="2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50" i="2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K764" i="2"/>
  <c r="J765" i="2"/>
  <c r="K765" i="2"/>
  <c r="J766" i="2"/>
  <c r="K766" i="2"/>
  <c r="J767" i="2"/>
  <c r="K767" i="2"/>
  <c r="J768" i="2"/>
  <c r="K768" i="2"/>
  <c r="J769" i="2"/>
  <c r="K769" i="2"/>
  <c r="J770" i="2"/>
  <c r="K770" i="2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J797" i="2"/>
  <c r="K797" i="2"/>
  <c r="J798" i="2"/>
  <c r="K798" i="2"/>
  <c r="J799" i="2"/>
  <c r="K799" i="2"/>
  <c r="J800" i="2"/>
  <c r="K800" i="2"/>
  <c r="J801" i="2"/>
  <c r="K801" i="2"/>
  <c r="J802" i="2"/>
  <c r="K802" i="2"/>
  <c r="J803" i="2"/>
  <c r="K803" i="2"/>
  <c r="J804" i="2"/>
  <c r="K804" i="2"/>
  <c r="J805" i="2"/>
  <c r="K805" i="2"/>
  <c r="J806" i="2"/>
  <c r="K806" i="2"/>
  <c r="J807" i="2"/>
  <c r="K807" i="2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K817" i="2"/>
  <c r="J818" i="2"/>
  <c r="K818" i="2"/>
  <c r="J819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J826" i="2"/>
  <c r="K826" i="2"/>
  <c r="J827" i="2"/>
  <c r="K827" i="2"/>
  <c r="J828" i="2"/>
  <c r="K828" i="2"/>
  <c r="J829" i="2"/>
  <c r="K829" i="2"/>
  <c r="J830" i="2"/>
  <c r="K830" i="2"/>
  <c r="J831" i="2"/>
  <c r="K831" i="2"/>
  <c r="J832" i="2"/>
  <c r="K832" i="2"/>
  <c r="J833" i="2"/>
  <c r="K833" i="2"/>
  <c r="J834" i="2"/>
  <c r="K834" i="2"/>
  <c r="J835" i="2"/>
  <c r="K835" i="2"/>
  <c r="J836" i="2"/>
  <c r="K836" i="2"/>
  <c r="J837" i="2"/>
  <c r="K837" i="2"/>
  <c r="J838" i="2"/>
  <c r="K838" i="2"/>
  <c r="J839" i="2"/>
  <c r="K839" i="2"/>
  <c r="J840" i="2"/>
  <c r="K840" i="2"/>
  <c r="J841" i="2"/>
  <c r="K841" i="2"/>
  <c r="J842" i="2"/>
  <c r="K842" i="2"/>
  <c r="J843" i="2"/>
  <c r="K843" i="2"/>
  <c r="J844" i="2"/>
  <c r="K844" i="2"/>
  <c r="J845" i="2"/>
  <c r="K845" i="2"/>
  <c r="J846" i="2"/>
  <c r="K846" i="2"/>
  <c r="J847" i="2"/>
  <c r="K847" i="2"/>
  <c r="J848" i="2"/>
  <c r="K848" i="2"/>
  <c r="J849" i="2"/>
  <c r="K849" i="2"/>
  <c r="J850" i="2"/>
  <c r="K850" i="2"/>
  <c r="J851" i="2"/>
  <c r="K851" i="2"/>
  <c r="J852" i="2"/>
  <c r="K852" i="2"/>
  <c r="J853" i="2"/>
  <c r="K853" i="2"/>
  <c r="J854" i="2"/>
  <c r="K854" i="2"/>
  <c r="J855" i="2"/>
  <c r="K855" i="2"/>
  <c r="J856" i="2"/>
  <c r="K856" i="2"/>
  <c r="J857" i="2"/>
  <c r="K857" i="2"/>
  <c r="J858" i="2"/>
  <c r="K858" i="2"/>
  <c r="J859" i="2"/>
  <c r="K859" i="2"/>
  <c r="J860" i="2"/>
  <c r="K860" i="2"/>
  <c r="J861" i="2"/>
  <c r="K861" i="2"/>
  <c r="J862" i="2"/>
  <c r="K862" i="2"/>
  <c r="J863" i="2"/>
  <c r="K863" i="2"/>
  <c r="J864" i="2"/>
  <c r="K864" i="2"/>
  <c r="J865" i="2"/>
  <c r="K865" i="2"/>
  <c r="J866" i="2"/>
  <c r="K866" i="2"/>
  <c r="J867" i="2"/>
  <c r="K867" i="2"/>
  <c r="J868" i="2"/>
  <c r="K868" i="2"/>
  <c r="J869" i="2"/>
  <c r="K869" i="2"/>
  <c r="J870" i="2"/>
  <c r="K870" i="2"/>
  <c r="J871" i="2"/>
  <c r="K871" i="2"/>
  <c r="J872" i="2"/>
  <c r="K872" i="2"/>
  <c r="J873" i="2"/>
  <c r="K873" i="2"/>
  <c r="J874" i="2"/>
  <c r="K874" i="2"/>
  <c r="J875" i="2"/>
  <c r="K875" i="2"/>
  <c r="J876" i="2"/>
  <c r="K876" i="2"/>
  <c r="J877" i="2"/>
  <c r="K877" i="2"/>
  <c r="J878" i="2"/>
  <c r="K878" i="2"/>
  <c r="J879" i="2"/>
  <c r="K879" i="2"/>
  <c r="J880" i="2"/>
  <c r="K880" i="2"/>
  <c r="J881" i="2"/>
  <c r="K881" i="2"/>
  <c r="J882" i="2"/>
  <c r="K882" i="2"/>
  <c r="J883" i="2"/>
  <c r="K883" i="2"/>
  <c r="J884" i="2"/>
  <c r="K884" i="2"/>
  <c r="J885" i="2"/>
  <c r="K885" i="2"/>
  <c r="J886" i="2"/>
  <c r="K886" i="2"/>
  <c r="J887" i="2"/>
  <c r="K887" i="2"/>
  <c r="J888" i="2"/>
  <c r="K888" i="2"/>
  <c r="J889" i="2"/>
  <c r="K889" i="2"/>
  <c r="J890" i="2"/>
  <c r="K890" i="2"/>
  <c r="J891" i="2"/>
  <c r="K891" i="2"/>
  <c r="J892" i="2"/>
  <c r="K892" i="2"/>
  <c r="J893" i="2"/>
  <c r="K893" i="2"/>
  <c r="J894" i="2"/>
  <c r="K894" i="2"/>
  <c r="J895" i="2"/>
  <c r="K895" i="2"/>
  <c r="J896" i="2"/>
  <c r="K896" i="2"/>
  <c r="J897" i="2"/>
  <c r="K897" i="2"/>
  <c r="J898" i="2"/>
  <c r="K898" i="2"/>
  <c r="J899" i="2"/>
  <c r="K899" i="2"/>
  <c r="J900" i="2"/>
  <c r="K900" i="2"/>
  <c r="J901" i="2"/>
  <c r="K901" i="2"/>
  <c r="J902" i="2"/>
  <c r="K902" i="2"/>
  <c r="J903" i="2"/>
  <c r="K903" i="2"/>
  <c r="J904" i="2"/>
  <c r="K904" i="2"/>
  <c r="J905" i="2"/>
  <c r="K905" i="2"/>
  <c r="J906" i="2"/>
  <c r="K906" i="2"/>
  <c r="J907" i="2"/>
  <c r="K907" i="2"/>
  <c r="J908" i="2"/>
  <c r="K908" i="2"/>
  <c r="J909" i="2"/>
  <c r="K909" i="2"/>
  <c r="J910" i="2"/>
  <c r="K910" i="2"/>
  <c r="J911" i="2"/>
  <c r="K911" i="2"/>
  <c r="J912" i="2"/>
  <c r="K912" i="2"/>
  <c r="J913" i="2"/>
  <c r="K913" i="2"/>
  <c r="J914" i="2"/>
  <c r="K914" i="2"/>
  <c r="J915" i="2"/>
  <c r="K915" i="2"/>
  <c r="J916" i="2"/>
  <c r="K916" i="2"/>
  <c r="J917" i="2"/>
  <c r="K917" i="2"/>
  <c r="J918" i="2"/>
  <c r="K918" i="2"/>
  <c r="J919" i="2"/>
  <c r="K919" i="2"/>
  <c r="J920" i="2"/>
  <c r="K920" i="2"/>
  <c r="J921" i="2"/>
  <c r="K921" i="2"/>
  <c r="J922" i="2"/>
  <c r="K922" i="2"/>
  <c r="J923" i="2"/>
  <c r="K923" i="2"/>
  <c r="J924" i="2"/>
  <c r="K924" i="2"/>
  <c r="J925" i="2"/>
  <c r="K925" i="2"/>
  <c r="J926" i="2"/>
  <c r="K926" i="2"/>
  <c r="J927" i="2"/>
  <c r="K927" i="2"/>
  <c r="J928" i="2"/>
  <c r="K928" i="2"/>
  <c r="J929" i="2"/>
  <c r="K929" i="2"/>
  <c r="J930" i="2"/>
  <c r="K930" i="2"/>
  <c r="J931" i="2"/>
  <c r="K931" i="2"/>
  <c r="J932" i="2"/>
  <c r="K932" i="2"/>
  <c r="J933" i="2"/>
  <c r="K933" i="2"/>
  <c r="J934" i="2"/>
  <c r="K934" i="2"/>
  <c r="J935" i="2"/>
  <c r="K935" i="2"/>
  <c r="J936" i="2"/>
  <c r="K936" i="2"/>
  <c r="J937" i="2"/>
  <c r="K937" i="2"/>
  <c r="J938" i="2"/>
  <c r="K938" i="2"/>
  <c r="J939" i="2"/>
  <c r="K939" i="2"/>
  <c r="J940" i="2"/>
  <c r="K940" i="2"/>
  <c r="J941" i="2"/>
  <c r="K941" i="2"/>
  <c r="J942" i="2"/>
  <c r="K942" i="2"/>
  <c r="J943" i="2"/>
  <c r="K943" i="2"/>
  <c r="J944" i="2"/>
  <c r="K944" i="2"/>
  <c r="J945" i="2"/>
  <c r="K945" i="2"/>
  <c r="J946" i="2"/>
  <c r="K946" i="2"/>
  <c r="J947" i="2"/>
  <c r="K947" i="2"/>
  <c r="J948" i="2"/>
  <c r="K948" i="2"/>
  <c r="J949" i="2"/>
  <c r="K949" i="2"/>
  <c r="J950" i="2"/>
  <c r="K950" i="2"/>
  <c r="J951" i="2"/>
  <c r="K951" i="2"/>
  <c r="J952" i="2"/>
  <c r="K952" i="2"/>
  <c r="J953" i="2"/>
  <c r="K953" i="2"/>
  <c r="J954" i="2"/>
  <c r="K954" i="2"/>
  <c r="J955" i="2"/>
  <c r="K955" i="2"/>
  <c r="J956" i="2"/>
  <c r="K956" i="2"/>
  <c r="J957" i="2"/>
  <c r="K957" i="2"/>
  <c r="J958" i="2"/>
  <c r="K958" i="2"/>
  <c r="J959" i="2"/>
  <c r="K959" i="2"/>
  <c r="J960" i="2"/>
  <c r="K960" i="2"/>
  <c r="J961" i="2"/>
  <c r="K961" i="2"/>
  <c r="J962" i="2"/>
  <c r="K962" i="2"/>
  <c r="J963" i="2"/>
  <c r="K963" i="2"/>
  <c r="J964" i="2"/>
  <c r="K964" i="2"/>
  <c r="J965" i="2"/>
  <c r="K965" i="2"/>
  <c r="J966" i="2"/>
  <c r="K966" i="2"/>
  <c r="J967" i="2"/>
  <c r="K967" i="2"/>
  <c r="J968" i="2"/>
  <c r="K968" i="2"/>
  <c r="J969" i="2"/>
  <c r="K969" i="2"/>
  <c r="J970" i="2"/>
  <c r="K970" i="2"/>
  <c r="J971" i="2"/>
  <c r="K971" i="2"/>
  <c r="J972" i="2"/>
  <c r="K972" i="2"/>
  <c r="J973" i="2"/>
  <c r="K973" i="2"/>
  <c r="J974" i="2"/>
  <c r="K974" i="2"/>
  <c r="J975" i="2"/>
  <c r="K975" i="2"/>
  <c r="J976" i="2"/>
  <c r="K976" i="2"/>
  <c r="J977" i="2"/>
  <c r="K977" i="2"/>
  <c r="J978" i="2"/>
  <c r="K978" i="2"/>
  <c r="J979" i="2"/>
  <c r="K979" i="2"/>
  <c r="J980" i="2"/>
  <c r="K980" i="2"/>
  <c r="J981" i="2"/>
  <c r="K981" i="2"/>
  <c r="J982" i="2"/>
  <c r="K982" i="2"/>
  <c r="J983" i="2"/>
  <c r="K983" i="2"/>
  <c r="J984" i="2"/>
  <c r="K984" i="2"/>
  <c r="J985" i="2"/>
  <c r="K985" i="2"/>
  <c r="J986" i="2"/>
  <c r="K986" i="2"/>
  <c r="J987" i="2"/>
  <c r="K987" i="2"/>
  <c r="J988" i="2"/>
  <c r="K988" i="2"/>
  <c r="J989" i="2"/>
  <c r="K989" i="2"/>
  <c r="J990" i="2"/>
  <c r="K990" i="2"/>
  <c r="J991" i="2"/>
  <c r="K991" i="2"/>
  <c r="J992" i="2"/>
  <c r="K992" i="2"/>
  <c r="J993" i="2"/>
  <c r="K993" i="2"/>
  <c r="J994" i="2"/>
  <c r="K994" i="2"/>
  <c r="J995" i="2"/>
  <c r="K995" i="2"/>
  <c r="J996" i="2"/>
  <c r="K996" i="2"/>
  <c r="J997" i="2"/>
  <c r="K997" i="2"/>
  <c r="J998" i="2"/>
  <c r="K998" i="2"/>
  <c r="J999" i="2"/>
  <c r="K999" i="2"/>
  <c r="J1000" i="2"/>
  <c r="K1000" i="2"/>
  <c r="J1001" i="2"/>
  <c r="K1001" i="2"/>
  <c r="J1002" i="2"/>
  <c r="K1002" i="2"/>
  <c r="J1003" i="2"/>
  <c r="K1003" i="2"/>
  <c r="J1004" i="2"/>
  <c r="K1004" i="2"/>
  <c r="J1005" i="2"/>
  <c r="K1005" i="2"/>
  <c r="J1006" i="2"/>
  <c r="K1006" i="2"/>
  <c r="J1007" i="2"/>
  <c r="K1007" i="2"/>
  <c r="J1008" i="2"/>
  <c r="K1008" i="2"/>
  <c r="J1009" i="2"/>
  <c r="K1009" i="2"/>
  <c r="J1010" i="2"/>
  <c r="K1010" i="2"/>
  <c r="J1011" i="2"/>
  <c r="K1011" i="2"/>
  <c r="J1012" i="2"/>
  <c r="K1012" i="2"/>
  <c r="J1013" i="2"/>
  <c r="K1013" i="2"/>
  <c r="J1014" i="2"/>
  <c r="K1014" i="2"/>
  <c r="J1015" i="2"/>
  <c r="K1015" i="2"/>
  <c r="J1016" i="2"/>
  <c r="K1016" i="2"/>
  <c r="J1017" i="2"/>
  <c r="K1017" i="2"/>
  <c r="J1018" i="2"/>
  <c r="K1018" i="2"/>
  <c r="J1019" i="2"/>
  <c r="K1019" i="2"/>
  <c r="J1020" i="2"/>
  <c r="K1020" i="2"/>
  <c r="J1021" i="2"/>
  <c r="K1021" i="2"/>
  <c r="J1022" i="2"/>
  <c r="K1022" i="2"/>
  <c r="J1023" i="2"/>
  <c r="K1023" i="2"/>
  <c r="J1024" i="2"/>
  <c r="K1024" i="2"/>
  <c r="J1025" i="2"/>
  <c r="K1025" i="2"/>
  <c r="J1026" i="2"/>
  <c r="K1026" i="2"/>
  <c r="J1027" i="2"/>
  <c r="K1027" i="2"/>
  <c r="J1028" i="2"/>
  <c r="K1028" i="2"/>
  <c r="J1029" i="2"/>
  <c r="K1029" i="2"/>
  <c r="J1030" i="2"/>
  <c r="K1030" i="2"/>
  <c r="J1031" i="2"/>
  <c r="K1031" i="2"/>
  <c r="J1032" i="2"/>
  <c r="K1032" i="2"/>
  <c r="J1033" i="2"/>
  <c r="K1033" i="2"/>
  <c r="J1034" i="2"/>
  <c r="K1034" i="2"/>
  <c r="J1035" i="2"/>
  <c r="K1035" i="2"/>
  <c r="J1036" i="2"/>
  <c r="K1036" i="2"/>
  <c r="J1037" i="2"/>
  <c r="K1037" i="2"/>
  <c r="J1038" i="2"/>
  <c r="K1038" i="2"/>
  <c r="J1039" i="2"/>
  <c r="K1039" i="2"/>
  <c r="J1040" i="2"/>
  <c r="K1040" i="2"/>
  <c r="J1041" i="2"/>
  <c r="K1041" i="2"/>
  <c r="J1042" i="2"/>
  <c r="K1042" i="2"/>
  <c r="J1043" i="2"/>
  <c r="K1043" i="2"/>
  <c r="J1044" i="2"/>
  <c r="K1044" i="2"/>
  <c r="J1045" i="2"/>
  <c r="K1045" i="2"/>
  <c r="J1046" i="2"/>
  <c r="K1046" i="2"/>
  <c r="J1047" i="2"/>
  <c r="K1047" i="2"/>
  <c r="J1048" i="2"/>
  <c r="K1048" i="2"/>
  <c r="J1049" i="2"/>
  <c r="K1049" i="2"/>
  <c r="J1050" i="2"/>
  <c r="K1050" i="2"/>
  <c r="J1051" i="2"/>
  <c r="K1051" i="2"/>
  <c r="J1052" i="2"/>
  <c r="K1052" i="2"/>
  <c r="J1053" i="2"/>
  <c r="K1053" i="2"/>
  <c r="J1054" i="2"/>
  <c r="K1054" i="2"/>
  <c r="J1055" i="2"/>
  <c r="K1055" i="2"/>
  <c r="J1056" i="2"/>
  <c r="K1056" i="2"/>
  <c r="J1057" i="2"/>
  <c r="K1057" i="2"/>
  <c r="J1058" i="2"/>
  <c r="K1058" i="2"/>
  <c r="J1059" i="2"/>
  <c r="K1059" i="2"/>
  <c r="J1060" i="2"/>
  <c r="K1060" i="2"/>
  <c r="J1061" i="2"/>
  <c r="K1061" i="2"/>
  <c r="J1062" i="2"/>
  <c r="K1062" i="2"/>
  <c r="J1063" i="2"/>
  <c r="K1063" i="2"/>
  <c r="J1064" i="2"/>
  <c r="K1064" i="2"/>
  <c r="J1065" i="2"/>
  <c r="K1065" i="2"/>
  <c r="J1066" i="2"/>
  <c r="K1066" i="2"/>
  <c r="J1067" i="2"/>
  <c r="K1067" i="2"/>
  <c r="J1068" i="2"/>
  <c r="K1068" i="2"/>
  <c r="J1069" i="2"/>
  <c r="K1069" i="2"/>
  <c r="J1070" i="2"/>
  <c r="K1070" i="2"/>
  <c r="J1071" i="2"/>
  <c r="K1071" i="2"/>
  <c r="J1072" i="2"/>
  <c r="K1072" i="2"/>
  <c r="J1073" i="2"/>
  <c r="K1073" i="2"/>
  <c r="J1074" i="2"/>
  <c r="K1074" i="2"/>
  <c r="J1075" i="2"/>
  <c r="K1075" i="2"/>
  <c r="J1076" i="2"/>
  <c r="K1076" i="2"/>
  <c r="J1077" i="2"/>
  <c r="K1077" i="2"/>
  <c r="J1078" i="2"/>
  <c r="K1078" i="2"/>
  <c r="J1079" i="2"/>
  <c r="K1079" i="2"/>
  <c r="J1080" i="2"/>
  <c r="K1080" i="2"/>
  <c r="J1081" i="2"/>
  <c r="K1081" i="2"/>
  <c r="J1082" i="2"/>
  <c r="K1082" i="2"/>
  <c r="J1083" i="2"/>
  <c r="K1083" i="2"/>
  <c r="J1084" i="2"/>
  <c r="K1084" i="2"/>
  <c r="J1085" i="2"/>
  <c r="K1085" i="2"/>
  <c r="J1086" i="2"/>
  <c r="K1086" i="2"/>
  <c r="J1087" i="2"/>
  <c r="K1087" i="2"/>
  <c r="J1088" i="2"/>
  <c r="K1088" i="2"/>
  <c r="J1089" i="2"/>
  <c r="K1089" i="2"/>
  <c r="J1090" i="2"/>
  <c r="K1090" i="2"/>
  <c r="J1091" i="2"/>
  <c r="K1091" i="2"/>
  <c r="J1092" i="2"/>
  <c r="K1092" i="2"/>
  <c r="J1093" i="2"/>
  <c r="K1093" i="2"/>
  <c r="J1094" i="2"/>
  <c r="K1094" i="2"/>
  <c r="J1095" i="2"/>
  <c r="K1095" i="2"/>
  <c r="J1096" i="2"/>
  <c r="K1096" i="2"/>
  <c r="J1097" i="2"/>
  <c r="K1097" i="2"/>
  <c r="J1098" i="2"/>
  <c r="K1098" i="2"/>
  <c r="J1099" i="2"/>
  <c r="K1099" i="2"/>
  <c r="J1100" i="2"/>
  <c r="K1100" i="2"/>
  <c r="J1101" i="2"/>
  <c r="K1101" i="2"/>
  <c r="J1102" i="2"/>
  <c r="K1102" i="2"/>
  <c r="J1103" i="2"/>
  <c r="K1103" i="2"/>
  <c r="J1104" i="2"/>
  <c r="K1104" i="2"/>
  <c r="J1105" i="2"/>
  <c r="K1105" i="2"/>
  <c r="J1106" i="2"/>
  <c r="K1106" i="2"/>
  <c r="J1107" i="2"/>
  <c r="K1107" i="2"/>
  <c r="J1108" i="2"/>
  <c r="K1108" i="2"/>
  <c r="J1109" i="2"/>
  <c r="K1109" i="2"/>
  <c r="J1110" i="2"/>
  <c r="K1110" i="2"/>
  <c r="J1111" i="2"/>
  <c r="K1111" i="2"/>
  <c r="J1112" i="2"/>
  <c r="K1112" i="2"/>
  <c r="J1113" i="2"/>
  <c r="K1113" i="2"/>
  <c r="J1114" i="2"/>
  <c r="K1114" i="2"/>
  <c r="J1115" i="2"/>
  <c r="K1115" i="2"/>
  <c r="J1116" i="2"/>
  <c r="K1116" i="2"/>
  <c r="J1117" i="2"/>
  <c r="K1117" i="2"/>
  <c r="J1118" i="2"/>
  <c r="K1118" i="2"/>
  <c r="J1119" i="2"/>
  <c r="K1119" i="2"/>
  <c r="J1120" i="2"/>
  <c r="K1120" i="2"/>
  <c r="J1121" i="2"/>
  <c r="K1121" i="2"/>
  <c r="J1122" i="2"/>
  <c r="K1122" i="2"/>
  <c r="J1123" i="2"/>
  <c r="K1123" i="2"/>
  <c r="J1124" i="2"/>
  <c r="K1124" i="2"/>
  <c r="J1125" i="2"/>
  <c r="K1125" i="2"/>
  <c r="J1126" i="2"/>
  <c r="K1126" i="2"/>
  <c r="J1127" i="2"/>
  <c r="K1127" i="2"/>
  <c r="J1128" i="2"/>
  <c r="K1128" i="2"/>
  <c r="J1129" i="2"/>
  <c r="K1129" i="2"/>
  <c r="J1130" i="2"/>
  <c r="K1130" i="2"/>
  <c r="J1131" i="2"/>
  <c r="K1131" i="2"/>
  <c r="J1132" i="2"/>
  <c r="K1132" i="2"/>
  <c r="J1133" i="2"/>
  <c r="K1133" i="2"/>
  <c r="J1134" i="2"/>
  <c r="K1134" i="2"/>
  <c r="J1135" i="2"/>
  <c r="K1135" i="2"/>
  <c r="J1136" i="2"/>
  <c r="K1136" i="2"/>
  <c r="J1137" i="2"/>
  <c r="K1137" i="2"/>
  <c r="J1138" i="2"/>
  <c r="K1138" i="2"/>
  <c r="J1139" i="2"/>
  <c r="K1139" i="2"/>
  <c r="J1140" i="2"/>
  <c r="K1140" i="2"/>
  <c r="J1141" i="2"/>
  <c r="K1141" i="2"/>
  <c r="J1142" i="2"/>
  <c r="K1142" i="2"/>
  <c r="J1143" i="2"/>
  <c r="K1143" i="2"/>
  <c r="J1144" i="2"/>
  <c r="K1144" i="2"/>
  <c r="J1145" i="2"/>
  <c r="K1145" i="2"/>
  <c r="J1146" i="2"/>
  <c r="K1146" i="2"/>
  <c r="J1147" i="2"/>
  <c r="K1147" i="2"/>
  <c r="J1148" i="2"/>
  <c r="K1148" i="2"/>
  <c r="J1149" i="2"/>
  <c r="K1149" i="2"/>
  <c r="J1150" i="2"/>
  <c r="K1150" i="2"/>
  <c r="J1151" i="2"/>
  <c r="K1151" i="2"/>
  <c r="J1152" i="2"/>
  <c r="K1152" i="2"/>
  <c r="J1153" i="2"/>
  <c r="K1153" i="2"/>
  <c r="J1154" i="2"/>
  <c r="K1154" i="2"/>
  <c r="J1155" i="2"/>
  <c r="K1155" i="2"/>
  <c r="J1156" i="2"/>
  <c r="K1156" i="2"/>
  <c r="J1157" i="2"/>
  <c r="K1157" i="2"/>
  <c r="J1158" i="2"/>
  <c r="K1158" i="2"/>
  <c r="J1159" i="2"/>
  <c r="K1159" i="2"/>
  <c r="J1160" i="2"/>
  <c r="K1160" i="2"/>
  <c r="J1161" i="2"/>
  <c r="K1161" i="2"/>
  <c r="J1162" i="2"/>
  <c r="K1162" i="2"/>
  <c r="J1163" i="2"/>
  <c r="K1163" i="2"/>
  <c r="J1164" i="2"/>
  <c r="K1164" i="2"/>
  <c r="J1165" i="2"/>
  <c r="K1165" i="2"/>
  <c r="J1166" i="2"/>
  <c r="K1166" i="2"/>
  <c r="J1167" i="2"/>
  <c r="K1167" i="2"/>
  <c r="J1168" i="2"/>
  <c r="K1168" i="2"/>
  <c r="J1169" i="2"/>
  <c r="K1169" i="2"/>
  <c r="J1170" i="2"/>
  <c r="K1170" i="2"/>
  <c r="J1171" i="2"/>
  <c r="K1171" i="2"/>
  <c r="J1172" i="2"/>
  <c r="K1172" i="2"/>
  <c r="J1173" i="2"/>
  <c r="K1173" i="2"/>
  <c r="J1174" i="2"/>
  <c r="K1174" i="2"/>
  <c r="J1175" i="2"/>
  <c r="K1175" i="2"/>
  <c r="J1176" i="2"/>
  <c r="K1176" i="2"/>
  <c r="J1177" i="2"/>
  <c r="K1177" i="2"/>
  <c r="J1178" i="2"/>
  <c r="K1178" i="2"/>
  <c r="J1179" i="2"/>
  <c r="K1179" i="2"/>
  <c r="J1180" i="2"/>
  <c r="K1180" i="2"/>
  <c r="J1181" i="2"/>
  <c r="K1181" i="2"/>
  <c r="J1182" i="2"/>
  <c r="K1182" i="2"/>
  <c r="J1183" i="2"/>
  <c r="K1183" i="2"/>
  <c r="J1184" i="2"/>
  <c r="K1184" i="2"/>
  <c r="J1185" i="2"/>
  <c r="K1185" i="2"/>
  <c r="J1186" i="2"/>
  <c r="K1186" i="2"/>
  <c r="J1187" i="2"/>
  <c r="K1187" i="2"/>
  <c r="J1188" i="2"/>
  <c r="K1188" i="2"/>
  <c r="J1189" i="2"/>
  <c r="K1189" i="2"/>
  <c r="J1190" i="2"/>
  <c r="K1190" i="2"/>
  <c r="J1191" i="2"/>
  <c r="K1191" i="2"/>
  <c r="J1192" i="2"/>
  <c r="K1192" i="2"/>
  <c r="J1193" i="2"/>
  <c r="K1193" i="2"/>
  <c r="J1194" i="2"/>
  <c r="K1194" i="2"/>
  <c r="J1195" i="2"/>
  <c r="K1195" i="2"/>
  <c r="J1196" i="2"/>
  <c r="K1196" i="2"/>
  <c r="J1197" i="2"/>
  <c r="K1197" i="2"/>
  <c r="J1198" i="2"/>
  <c r="K1198" i="2"/>
  <c r="J1199" i="2"/>
  <c r="K1199" i="2"/>
  <c r="J1200" i="2"/>
  <c r="K1200" i="2"/>
  <c r="J1201" i="2"/>
  <c r="K1201" i="2"/>
  <c r="J1202" i="2"/>
  <c r="K1202" i="2"/>
  <c r="J1203" i="2"/>
  <c r="K1203" i="2"/>
  <c r="J1204" i="2"/>
  <c r="K1204" i="2"/>
  <c r="J1205" i="2"/>
  <c r="K1205" i="2"/>
  <c r="J1206" i="2"/>
  <c r="K1206" i="2"/>
  <c r="J1207" i="2"/>
  <c r="K1207" i="2"/>
  <c r="J1208" i="2"/>
  <c r="K1208" i="2"/>
  <c r="J1209" i="2"/>
  <c r="K1209" i="2"/>
  <c r="J1210" i="2"/>
  <c r="K1210" i="2"/>
  <c r="J1211" i="2"/>
  <c r="K1211" i="2"/>
  <c r="J1212" i="2"/>
  <c r="K1212" i="2"/>
  <c r="J1213" i="2"/>
  <c r="K1213" i="2"/>
  <c r="J1214" i="2"/>
  <c r="K1214" i="2"/>
  <c r="J1215" i="2"/>
  <c r="K1215" i="2"/>
  <c r="J1216" i="2"/>
  <c r="K1216" i="2"/>
  <c r="J1217" i="2"/>
  <c r="K1217" i="2"/>
  <c r="J1218" i="2"/>
  <c r="K1218" i="2"/>
  <c r="J1219" i="2"/>
  <c r="K1219" i="2"/>
  <c r="J1220" i="2"/>
  <c r="K1220" i="2"/>
  <c r="J1221" i="2"/>
  <c r="K1221" i="2"/>
  <c r="J1222" i="2"/>
  <c r="K1222" i="2"/>
  <c r="J1223" i="2"/>
  <c r="K1223" i="2"/>
  <c r="J1224" i="2"/>
  <c r="K1224" i="2"/>
  <c r="J1225" i="2"/>
  <c r="K1225" i="2"/>
  <c r="J1226" i="2"/>
  <c r="K1226" i="2"/>
  <c r="J1227" i="2"/>
  <c r="K1227" i="2"/>
  <c r="J1228" i="2"/>
  <c r="K1228" i="2"/>
  <c r="J1229" i="2"/>
  <c r="K1229" i="2"/>
  <c r="J1230" i="2"/>
  <c r="K1230" i="2"/>
  <c r="J1231" i="2"/>
  <c r="K1231" i="2"/>
  <c r="J1232" i="2"/>
  <c r="K1232" i="2"/>
  <c r="J1233" i="2"/>
  <c r="K1233" i="2"/>
  <c r="J1234" i="2"/>
  <c r="K1234" i="2"/>
  <c r="J1235" i="2"/>
  <c r="K1235" i="2"/>
  <c r="J1236" i="2"/>
  <c r="K1236" i="2"/>
  <c r="J1237" i="2"/>
  <c r="K1237" i="2"/>
  <c r="J1238" i="2"/>
  <c r="K1238" i="2"/>
  <c r="J1239" i="2"/>
  <c r="K1239" i="2"/>
  <c r="J1240" i="2"/>
  <c r="K1240" i="2"/>
  <c r="J1241" i="2"/>
  <c r="K1241" i="2"/>
  <c r="J1242" i="2"/>
  <c r="K1242" i="2"/>
  <c r="J1243" i="2"/>
  <c r="K1243" i="2"/>
  <c r="J1244" i="2"/>
  <c r="K1244" i="2"/>
  <c r="J1245" i="2"/>
  <c r="K1245" i="2"/>
  <c r="J1246" i="2"/>
  <c r="K1246" i="2"/>
  <c r="J1247" i="2"/>
  <c r="K1247" i="2"/>
  <c r="J1248" i="2"/>
  <c r="K1248" i="2"/>
  <c r="J1249" i="2"/>
  <c r="K1249" i="2"/>
  <c r="J1250" i="2"/>
  <c r="K1250" i="2"/>
  <c r="J1251" i="2"/>
  <c r="K1251" i="2"/>
  <c r="J1252" i="2"/>
  <c r="K1252" i="2"/>
  <c r="J1253" i="2"/>
  <c r="K1253" i="2"/>
  <c r="J1254" i="2"/>
  <c r="K1254" i="2"/>
  <c r="J1255" i="2"/>
  <c r="K1255" i="2"/>
  <c r="J1256" i="2"/>
  <c r="K1256" i="2"/>
  <c r="J1257" i="2"/>
  <c r="K1257" i="2"/>
  <c r="J1258" i="2"/>
  <c r="K1258" i="2"/>
  <c r="J1259" i="2"/>
  <c r="K1259" i="2"/>
  <c r="J1260" i="2"/>
  <c r="K1260" i="2"/>
  <c r="J1261" i="2"/>
  <c r="K1261" i="2"/>
  <c r="J1262" i="2"/>
  <c r="K1262" i="2"/>
  <c r="J1263" i="2"/>
  <c r="K1263" i="2"/>
  <c r="J1264" i="2"/>
  <c r="K1264" i="2"/>
  <c r="J1265" i="2"/>
  <c r="K1265" i="2"/>
  <c r="J1266" i="2"/>
  <c r="K1266" i="2"/>
  <c r="J1267" i="2"/>
  <c r="K1267" i="2"/>
  <c r="J1268" i="2"/>
  <c r="K1268" i="2"/>
  <c r="J1269" i="2"/>
  <c r="K1269" i="2"/>
  <c r="J1270" i="2"/>
  <c r="K1270" i="2"/>
  <c r="J1271" i="2"/>
  <c r="K1271" i="2"/>
  <c r="J1272" i="2"/>
  <c r="K1272" i="2"/>
  <c r="J1273" i="2"/>
  <c r="K1273" i="2"/>
  <c r="J1274" i="2"/>
  <c r="K1274" i="2"/>
  <c r="J1275" i="2"/>
  <c r="K1275" i="2"/>
  <c r="J1276" i="2"/>
  <c r="K1276" i="2"/>
  <c r="J1277" i="2"/>
  <c r="K1277" i="2"/>
  <c r="J1278" i="2"/>
  <c r="K1278" i="2"/>
  <c r="J1279" i="2"/>
  <c r="K1279" i="2"/>
  <c r="J1280" i="2"/>
  <c r="K1280" i="2"/>
  <c r="J1281" i="2"/>
  <c r="K1281" i="2"/>
  <c r="J1282" i="2"/>
  <c r="K1282" i="2"/>
  <c r="J1283" i="2"/>
  <c r="K1283" i="2"/>
  <c r="J1284" i="2"/>
  <c r="K1284" i="2"/>
  <c r="J1285" i="2"/>
  <c r="K1285" i="2"/>
  <c r="J1286" i="2"/>
  <c r="K1286" i="2"/>
  <c r="J1287" i="2"/>
  <c r="K1287" i="2"/>
  <c r="J1288" i="2"/>
  <c r="K1288" i="2"/>
  <c r="J1289" i="2"/>
  <c r="K1289" i="2"/>
  <c r="J1290" i="2"/>
  <c r="K1290" i="2"/>
  <c r="J1291" i="2"/>
  <c r="K1291" i="2"/>
  <c r="J1292" i="2"/>
  <c r="K1292" i="2"/>
  <c r="J1293" i="2"/>
  <c r="K1293" i="2"/>
  <c r="J1294" i="2"/>
  <c r="K1294" i="2"/>
  <c r="J1295" i="2"/>
  <c r="K1295" i="2"/>
  <c r="J1296" i="2"/>
  <c r="K1296" i="2"/>
  <c r="J1297" i="2"/>
  <c r="K1297" i="2"/>
  <c r="J1298" i="2"/>
  <c r="K1298" i="2"/>
  <c r="J1299" i="2"/>
  <c r="K1299" i="2"/>
  <c r="J1300" i="2"/>
  <c r="K1300" i="2"/>
  <c r="J1301" i="2"/>
  <c r="K1301" i="2"/>
  <c r="J1302" i="2"/>
  <c r="K1302" i="2"/>
  <c r="J1303" i="2"/>
  <c r="K1303" i="2"/>
  <c r="J1304" i="2"/>
  <c r="K1304" i="2"/>
  <c r="J1305" i="2"/>
  <c r="K1305" i="2"/>
  <c r="J1306" i="2"/>
  <c r="K1306" i="2"/>
  <c r="J1307" i="2"/>
  <c r="K1307" i="2"/>
  <c r="J1308" i="2"/>
  <c r="K1308" i="2"/>
  <c r="J1309" i="2"/>
  <c r="K1309" i="2"/>
  <c r="J1310" i="2"/>
  <c r="K1310" i="2"/>
  <c r="J1311" i="2"/>
  <c r="K1311" i="2"/>
  <c r="J1312" i="2"/>
  <c r="K1312" i="2"/>
  <c r="J1313" i="2"/>
  <c r="K1313" i="2"/>
  <c r="J1314" i="2"/>
  <c r="K1314" i="2"/>
  <c r="J1315" i="2"/>
  <c r="K1315" i="2"/>
  <c r="J1316" i="2"/>
  <c r="K1316" i="2"/>
  <c r="J1317" i="2"/>
  <c r="K1317" i="2"/>
  <c r="J1318" i="2"/>
  <c r="K1318" i="2"/>
  <c r="J1319" i="2"/>
  <c r="K1319" i="2"/>
  <c r="J1320" i="2"/>
  <c r="K1320" i="2"/>
  <c r="J1321" i="2"/>
  <c r="K1321" i="2"/>
  <c r="J1322" i="2"/>
  <c r="K1322" i="2"/>
  <c r="J1323" i="2"/>
  <c r="K1323" i="2"/>
  <c r="J1324" i="2"/>
  <c r="K1324" i="2"/>
  <c r="J1325" i="2"/>
  <c r="K1325" i="2"/>
  <c r="J1326" i="2"/>
  <c r="K1326" i="2"/>
  <c r="J1327" i="2"/>
  <c r="K1327" i="2"/>
  <c r="J1328" i="2"/>
  <c r="K1328" i="2"/>
  <c r="J1329" i="2"/>
  <c r="K1329" i="2"/>
  <c r="J1330" i="2"/>
  <c r="K1330" i="2"/>
  <c r="J1331" i="2"/>
  <c r="K1331" i="2"/>
  <c r="J1332" i="2"/>
  <c r="K1332" i="2"/>
  <c r="J1333" i="2"/>
  <c r="K1333" i="2"/>
  <c r="J1334" i="2"/>
  <c r="K1334" i="2"/>
  <c r="J1335" i="2"/>
  <c r="K1335" i="2"/>
  <c r="J1336" i="2"/>
  <c r="K1336" i="2"/>
  <c r="J1337" i="2"/>
  <c r="K1337" i="2"/>
  <c r="J1338" i="2"/>
  <c r="K1338" i="2"/>
  <c r="J1339" i="2"/>
  <c r="K1339" i="2"/>
  <c r="J1340" i="2"/>
  <c r="K1340" i="2"/>
  <c r="J1341" i="2"/>
  <c r="K1341" i="2"/>
  <c r="J1342" i="2"/>
  <c r="K1342" i="2"/>
  <c r="J1343" i="2"/>
  <c r="K1343" i="2"/>
  <c r="J1344" i="2"/>
  <c r="K1344" i="2"/>
  <c r="J1345" i="2"/>
  <c r="K1345" i="2"/>
  <c r="J1346" i="2"/>
  <c r="K1346" i="2"/>
  <c r="J1347" i="2"/>
  <c r="K1347" i="2"/>
  <c r="J1348" i="2"/>
  <c r="K1348" i="2"/>
  <c r="J1349" i="2"/>
  <c r="K1349" i="2"/>
  <c r="J1350" i="2"/>
  <c r="K1350" i="2"/>
  <c r="J1351" i="2"/>
  <c r="K1351" i="2"/>
  <c r="J1352" i="2"/>
  <c r="K1352" i="2"/>
  <c r="J1353" i="2"/>
  <c r="K1353" i="2"/>
  <c r="J1354" i="2"/>
  <c r="K1354" i="2"/>
  <c r="J1355" i="2"/>
  <c r="K1355" i="2"/>
  <c r="J1356" i="2"/>
  <c r="K1356" i="2"/>
  <c r="J1357" i="2"/>
  <c r="K1357" i="2"/>
  <c r="J1358" i="2"/>
  <c r="K1358" i="2"/>
  <c r="J1359" i="2"/>
  <c r="K1359" i="2"/>
  <c r="J1360" i="2"/>
  <c r="K1360" i="2"/>
  <c r="J1361" i="2"/>
  <c r="K1361" i="2"/>
  <c r="J1362" i="2"/>
  <c r="K1362" i="2"/>
  <c r="J1363" i="2"/>
  <c r="K1363" i="2"/>
  <c r="J1364" i="2"/>
  <c r="K1364" i="2"/>
  <c r="J1365" i="2"/>
  <c r="K1365" i="2"/>
  <c r="J1366" i="2"/>
  <c r="K1366" i="2"/>
  <c r="J1367" i="2"/>
  <c r="K1367" i="2"/>
  <c r="J1368" i="2"/>
  <c r="K1368" i="2"/>
  <c r="J1369" i="2"/>
  <c r="K1369" i="2"/>
  <c r="J1370" i="2"/>
  <c r="K1370" i="2"/>
  <c r="J1371" i="2"/>
  <c r="K1371" i="2"/>
  <c r="J1372" i="2"/>
  <c r="K1372" i="2"/>
  <c r="J1373" i="2"/>
  <c r="K1373" i="2"/>
  <c r="J1374" i="2"/>
  <c r="K1374" i="2"/>
  <c r="J1375" i="2"/>
  <c r="K1375" i="2"/>
  <c r="J1376" i="2"/>
  <c r="K1376" i="2"/>
  <c r="J1377" i="2"/>
  <c r="K1377" i="2"/>
  <c r="J1378" i="2"/>
  <c r="K1378" i="2"/>
  <c r="J1379" i="2"/>
  <c r="K1379" i="2"/>
  <c r="J1380" i="2"/>
  <c r="K1380" i="2"/>
  <c r="J1381" i="2"/>
  <c r="K1381" i="2"/>
  <c r="J1382" i="2"/>
  <c r="K1382" i="2"/>
  <c r="J1383" i="2"/>
  <c r="K1383" i="2"/>
  <c r="J1384" i="2"/>
  <c r="K1384" i="2"/>
  <c r="J1385" i="2"/>
  <c r="K1385" i="2"/>
  <c r="J1386" i="2"/>
  <c r="K1386" i="2"/>
  <c r="J1387" i="2"/>
  <c r="K1387" i="2"/>
  <c r="J1388" i="2"/>
  <c r="K1388" i="2"/>
  <c r="J1389" i="2"/>
  <c r="K1389" i="2"/>
  <c r="J1390" i="2"/>
  <c r="K1390" i="2"/>
  <c r="J1391" i="2"/>
  <c r="K1391" i="2"/>
  <c r="J1392" i="2"/>
  <c r="K1392" i="2"/>
  <c r="J1393" i="2"/>
  <c r="K1393" i="2"/>
  <c r="J1394" i="2"/>
  <c r="K1394" i="2"/>
  <c r="J1395" i="2"/>
  <c r="K1395" i="2"/>
  <c r="J1396" i="2"/>
  <c r="K1396" i="2"/>
  <c r="J1397" i="2"/>
  <c r="K1397" i="2"/>
  <c r="J1398" i="2"/>
  <c r="K1398" i="2"/>
  <c r="J1399" i="2"/>
  <c r="K1399" i="2"/>
  <c r="J1400" i="2"/>
  <c r="K1400" i="2"/>
  <c r="J1401" i="2"/>
  <c r="K1401" i="2"/>
  <c r="J1402" i="2"/>
  <c r="K1402" i="2"/>
  <c r="J1403" i="2"/>
  <c r="K1403" i="2"/>
  <c r="J1404" i="2"/>
  <c r="K1404" i="2"/>
  <c r="J1405" i="2"/>
  <c r="K1405" i="2"/>
  <c r="J1406" i="2"/>
  <c r="K1406" i="2"/>
  <c r="J1407" i="2"/>
  <c r="K1407" i="2"/>
  <c r="J1408" i="2"/>
  <c r="K1408" i="2"/>
  <c r="J1409" i="2"/>
  <c r="K1409" i="2"/>
  <c r="J1410" i="2"/>
  <c r="K1410" i="2"/>
  <c r="J1411" i="2"/>
  <c r="K1411" i="2"/>
  <c r="J1412" i="2"/>
  <c r="K1412" i="2"/>
  <c r="J1413" i="2"/>
  <c r="K1413" i="2"/>
  <c r="J1414" i="2"/>
  <c r="K1414" i="2"/>
  <c r="J1415" i="2"/>
  <c r="K1415" i="2"/>
  <c r="J1416" i="2"/>
  <c r="K1416" i="2"/>
  <c r="J1417" i="2"/>
  <c r="K1417" i="2"/>
  <c r="J1418" i="2"/>
  <c r="K1418" i="2"/>
  <c r="J1419" i="2"/>
  <c r="K1419" i="2"/>
  <c r="J1420" i="2"/>
  <c r="K1420" i="2"/>
  <c r="J1421" i="2"/>
  <c r="K1421" i="2"/>
  <c r="J1422" i="2"/>
  <c r="K1422" i="2"/>
  <c r="J1423" i="2"/>
  <c r="K1423" i="2"/>
  <c r="J1424" i="2"/>
  <c r="K1424" i="2"/>
  <c r="J1425" i="2"/>
  <c r="K1425" i="2"/>
  <c r="J1426" i="2"/>
  <c r="K1426" i="2"/>
  <c r="J1427" i="2"/>
  <c r="K1427" i="2"/>
  <c r="J1428" i="2"/>
  <c r="K1428" i="2"/>
  <c r="J1429" i="2"/>
  <c r="K1429" i="2"/>
  <c r="J1430" i="2"/>
  <c r="K1430" i="2"/>
  <c r="J1431" i="2"/>
  <c r="K1431" i="2"/>
  <c r="J1432" i="2"/>
  <c r="K1432" i="2"/>
  <c r="J1433" i="2"/>
  <c r="K1433" i="2"/>
  <c r="J1434" i="2"/>
  <c r="K1434" i="2"/>
  <c r="J1435" i="2"/>
  <c r="K1435" i="2"/>
  <c r="J1436" i="2"/>
  <c r="K1436" i="2"/>
  <c r="J1437" i="2"/>
  <c r="K1437" i="2"/>
  <c r="J1438" i="2"/>
  <c r="K1438" i="2"/>
  <c r="J1439" i="2"/>
  <c r="K1439" i="2"/>
  <c r="J1440" i="2"/>
  <c r="K1440" i="2"/>
  <c r="J1441" i="2"/>
  <c r="K1441" i="2"/>
  <c r="J1442" i="2"/>
  <c r="K1442" i="2"/>
  <c r="J1443" i="2"/>
  <c r="K1443" i="2"/>
  <c r="J1444" i="2"/>
  <c r="K1444" i="2"/>
  <c r="J1445" i="2"/>
  <c r="K1445" i="2"/>
  <c r="J1446" i="2"/>
  <c r="K1446" i="2"/>
  <c r="J1447" i="2"/>
  <c r="K1447" i="2"/>
  <c r="J1448" i="2"/>
  <c r="K1448" i="2"/>
  <c r="J1449" i="2"/>
  <c r="K1449" i="2"/>
  <c r="J1450" i="2"/>
  <c r="K1450" i="2"/>
  <c r="J1451" i="2"/>
  <c r="K1451" i="2"/>
  <c r="J1452" i="2"/>
  <c r="K1452" i="2"/>
  <c r="J1453" i="2"/>
  <c r="K1453" i="2"/>
  <c r="J1454" i="2"/>
  <c r="K1454" i="2"/>
  <c r="J1455" i="2"/>
  <c r="K1455" i="2"/>
  <c r="J1456" i="2"/>
  <c r="K1456" i="2"/>
  <c r="J1457" i="2"/>
  <c r="K1457" i="2"/>
  <c r="J1458" i="2"/>
  <c r="K1458" i="2"/>
  <c r="J1459" i="2"/>
  <c r="K1459" i="2"/>
  <c r="J1460" i="2"/>
  <c r="K1460" i="2"/>
  <c r="J1461" i="2"/>
  <c r="K1461" i="2"/>
  <c r="J1462" i="2"/>
  <c r="K1462" i="2"/>
  <c r="J1463" i="2"/>
  <c r="K1463" i="2"/>
  <c r="J1464" i="2"/>
  <c r="K1464" i="2"/>
  <c r="J1465" i="2"/>
  <c r="K1465" i="2"/>
  <c r="J1466" i="2"/>
  <c r="K1466" i="2"/>
  <c r="J1467" i="2"/>
  <c r="K1467" i="2"/>
  <c r="J1468" i="2"/>
  <c r="K1468" i="2"/>
  <c r="J1469" i="2"/>
  <c r="K1469" i="2"/>
  <c r="J1470" i="2"/>
  <c r="K1470" i="2"/>
  <c r="J1471" i="2"/>
  <c r="K1471" i="2"/>
  <c r="J1472" i="2"/>
  <c r="K1472" i="2"/>
  <c r="J1473" i="2"/>
  <c r="K1473" i="2"/>
  <c r="J1474" i="2"/>
  <c r="K1474" i="2"/>
  <c r="J1475" i="2"/>
  <c r="K1475" i="2"/>
  <c r="J1476" i="2"/>
  <c r="K1476" i="2"/>
  <c r="J1477" i="2"/>
  <c r="K1477" i="2"/>
  <c r="J1478" i="2"/>
  <c r="K1478" i="2"/>
  <c r="J1479" i="2"/>
  <c r="K1479" i="2"/>
  <c r="J1480" i="2"/>
  <c r="K1480" i="2"/>
  <c r="J1481" i="2"/>
  <c r="K1481" i="2"/>
  <c r="J1482" i="2"/>
  <c r="K1482" i="2"/>
  <c r="J1483" i="2"/>
  <c r="K1483" i="2"/>
  <c r="J1484" i="2"/>
  <c r="K1484" i="2"/>
  <c r="J1485" i="2"/>
  <c r="K1485" i="2"/>
  <c r="J1486" i="2"/>
  <c r="K1486" i="2"/>
  <c r="J1487" i="2"/>
  <c r="K1487" i="2"/>
  <c r="J1488" i="2"/>
  <c r="K1488" i="2"/>
  <c r="J1489" i="2"/>
  <c r="K1489" i="2"/>
  <c r="J1490" i="2"/>
  <c r="K1490" i="2"/>
  <c r="J1491" i="2"/>
  <c r="K1491" i="2"/>
  <c r="J1492" i="2"/>
  <c r="K1492" i="2"/>
  <c r="J1493" i="2"/>
  <c r="K1493" i="2"/>
  <c r="J1494" i="2"/>
  <c r="K1494" i="2"/>
  <c r="J1495" i="2"/>
  <c r="K1495" i="2"/>
  <c r="J1496" i="2"/>
  <c r="K1496" i="2"/>
  <c r="J1497" i="2"/>
  <c r="K1497" i="2"/>
  <c r="J1498" i="2"/>
  <c r="K1498" i="2"/>
  <c r="J1499" i="2"/>
  <c r="K1499" i="2"/>
  <c r="J1500" i="2"/>
  <c r="K1500" i="2"/>
  <c r="J1501" i="2"/>
  <c r="K1501" i="2"/>
  <c r="J1502" i="2"/>
  <c r="K1502" i="2"/>
  <c r="J1503" i="2"/>
  <c r="K1503" i="2"/>
  <c r="J1504" i="2"/>
  <c r="K1504" i="2"/>
  <c r="J1505" i="2"/>
  <c r="K1505" i="2"/>
  <c r="J1506" i="2"/>
  <c r="K1506" i="2"/>
  <c r="J1507" i="2"/>
  <c r="K1507" i="2"/>
  <c r="J1508" i="2"/>
  <c r="K1508" i="2"/>
  <c r="J1509" i="2"/>
  <c r="K1509" i="2"/>
  <c r="J1510" i="2"/>
  <c r="K1510" i="2"/>
  <c r="J1511" i="2"/>
  <c r="K1511" i="2"/>
  <c r="J1512" i="2"/>
  <c r="K1512" i="2"/>
  <c r="J1513" i="2"/>
  <c r="K1513" i="2"/>
  <c r="J1514" i="2"/>
  <c r="K1514" i="2"/>
  <c r="J2" i="2"/>
  <c r="K2" i="2"/>
  <c r="D2" i="8"/>
  <c r="E2" i="8" a="1"/>
  <c r="D3" i="8"/>
  <c r="E3" i="8" a="1"/>
  <c r="D4" i="8"/>
  <c r="E4" i="8" a="1"/>
  <c r="D5" i="8"/>
  <c r="E5" i="8" a="1"/>
  <c r="D6" i="8"/>
  <c r="E6" i="8" a="1"/>
  <c r="D7" i="8"/>
  <c r="E7" i="8" a="1"/>
  <c r="D8" i="8"/>
  <c r="E8" i="8" a="1"/>
  <c r="D9" i="8"/>
  <c r="E9" i="8" a="1"/>
  <c r="D10" i="8"/>
  <c r="E10" i="8" a="1"/>
  <c r="D11" i="8"/>
  <c r="E11" i="8" a="1"/>
  <c r="D12" i="8"/>
  <c r="E12" i="8" a="1"/>
  <c r="D13" i="8"/>
  <c r="E13" i="8" a="1"/>
  <c r="C2" i="7"/>
  <c r="D2" i="7"/>
  <c r="E2" i="7" a="1"/>
  <c r="C3" i="7"/>
  <c r="D3" i="7"/>
  <c r="E3" i="7" a="1"/>
  <c r="C4" i="7"/>
  <c r="D4" i="7"/>
  <c r="E4" i="7" a="1"/>
  <c r="C5" i="7"/>
  <c r="D5" i="7"/>
  <c r="E5" i="7" a="1"/>
  <c r="C6" i="7"/>
  <c r="D6" i="7"/>
  <c r="E6" i="7" a="1"/>
  <c r="C7" i="7"/>
  <c r="D7" i="7"/>
  <c r="E7" i="7" a="1"/>
  <c r="C8" i="7"/>
  <c r="D8" i="7"/>
  <c r="E8" i="7" a="1"/>
  <c r="C9" i="7"/>
  <c r="D9" i="7"/>
  <c r="E9" i="7" a="1"/>
  <c r="C10" i="7"/>
  <c r="D10" i="7"/>
  <c r="E10" i="7" a="1"/>
  <c r="C11" i="7"/>
  <c r="D11" i="7"/>
  <c r="E11" i="7" a="1"/>
  <c r="C12" i="7"/>
  <c r="D12" i="7"/>
  <c r="E12" i="7" a="1"/>
  <c r="C13" i="7"/>
  <c r="D13" i="7"/>
  <c r="E13" i="7" a="1"/>
  <c r="C14" i="7"/>
  <c r="D14" i="7"/>
  <c r="E14" i="7" a="1"/>
  <c r="C15" i="7"/>
  <c r="D15" i="7"/>
  <c r="E15" i="7" a="1"/>
  <c r="C16" i="7"/>
  <c r="D16" i="7"/>
  <c r="E16" i="7" a="1"/>
  <c r="C17" i="7"/>
  <c r="D17" i="7"/>
  <c r="E17" i="7" a="1"/>
  <c r="C18" i="7"/>
  <c r="D18" i="7"/>
  <c r="E18" i="7" a="1"/>
  <c r="C19" i="7"/>
  <c r="D19" i="7"/>
  <c r="E19" i="7" a="1"/>
  <c r="C20" i="7"/>
  <c r="D20" i="7"/>
  <c r="E20" i="7" a="1"/>
  <c r="C21" i="7"/>
  <c r="D21" i="7"/>
  <c r="E21" i="7" a="1"/>
  <c r="C22" i="7"/>
  <c r="D22" i="7"/>
  <c r="E22" i="7" a="1"/>
  <c r="C23" i="7"/>
  <c r="D23" i="7"/>
  <c r="E23" i="7" a="1"/>
  <c r="C24" i="7"/>
  <c r="D24" i="7"/>
  <c r="E24" i="7" a="1"/>
  <c r="C25" i="7"/>
  <c r="D25" i="7"/>
  <c r="E25" i="7" a="1"/>
  <c r="C26" i="7"/>
  <c r="D26" i="7"/>
  <c r="E26" i="7" a="1"/>
  <c r="C27" i="7"/>
  <c r="D27" i="7"/>
  <c r="E27" i="7" a="1"/>
  <c r="C28" i="7"/>
  <c r="D28" i="7"/>
  <c r="E28" i="7" a="1"/>
  <c r="C29" i="7"/>
  <c r="D29" i="7"/>
  <c r="E29" i="7" a="1"/>
  <c r="C30" i="7"/>
  <c r="D30" i="7"/>
  <c r="E30" i="7" a="1"/>
  <c r="C31" i="7"/>
  <c r="D31" i="7"/>
  <c r="E31" i="7" a="1"/>
  <c r="C32" i="7"/>
  <c r="D32" i="7"/>
  <c r="E32" i="7" a="1"/>
  <c r="C33" i="7"/>
  <c r="D33" i="7"/>
  <c r="E33" i="7" a="1"/>
  <c r="C34" i="7"/>
  <c r="D34" i="7"/>
  <c r="E34" i="7" a="1"/>
  <c r="C35" i="7"/>
  <c r="D35" i="7"/>
  <c r="E35" i="7" a="1"/>
  <c r="C36" i="7"/>
  <c r="D36" i="7"/>
  <c r="E36" i="7" a="1"/>
  <c r="C37" i="7"/>
  <c r="D37" i="7"/>
  <c r="E37" i="7" a="1"/>
  <c r="C38" i="7"/>
  <c r="D38" i="7"/>
  <c r="E38" i="7" a="1"/>
  <c r="C39" i="7"/>
  <c r="D39" i="7"/>
  <c r="E39" i="7" a="1"/>
  <c r="C40" i="7"/>
  <c r="D40" i="7"/>
  <c r="E40" i="7" a="1"/>
  <c r="C41" i="7"/>
  <c r="D41" i="7"/>
  <c r="E41" i="7" a="1"/>
  <c r="C42" i="7"/>
  <c r="D42" i="7"/>
  <c r="E42" i="7" a="1"/>
  <c r="C43" i="7"/>
  <c r="D43" i="7"/>
  <c r="E43" i="7" a="1"/>
  <c r="C44" i="7"/>
  <c r="D44" i="7"/>
  <c r="E44" i="7" a="1"/>
  <c r="C45" i="7"/>
  <c r="D45" i="7"/>
  <c r="E45" i="7" a="1"/>
  <c r="C46" i="7"/>
  <c r="D46" i="7"/>
  <c r="E46" i="7" a="1"/>
  <c r="C47" i="7"/>
  <c r="D47" i="7"/>
  <c r="E47" i="7" a="1"/>
  <c r="C48" i="7"/>
  <c r="D48" i="7"/>
  <c r="E48" i="7" a="1"/>
  <c r="C49" i="7"/>
  <c r="D49" i="7"/>
  <c r="E49" i="7" a="1"/>
  <c r="C50" i="7"/>
  <c r="D50" i="7"/>
  <c r="E50" i="7" a="1"/>
  <c r="C51" i="7"/>
  <c r="D51" i="7"/>
  <c r="E51" i="7" a="1"/>
  <c r="C52" i="7"/>
  <c r="D52" i="7"/>
  <c r="E52" i="7" a="1"/>
  <c r="C53" i="7"/>
  <c r="D53" i="7"/>
  <c r="E53" i="7" a="1"/>
  <c r="C54" i="7"/>
  <c r="D54" i="7"/>
  <c r="E54" i="7" a="1"/>
  <c r="C55" i="7"/>
  <c r="D55" i="7"/>
  <c r="E55" i="7" a="1"/>
  <c r="C56" i="7"/>
  <c r="D56" i="7"/>
  <c r="E56" i="7" a="1"/>
  <c r="C57" i="7"/>
  <c r="D57" i="7"/>
  <c r="E57" i="7" a="1"/>
  <c r="C58" i="7"/>
  <c r="D58" i="7"/>
  <c r="E58" i="7" a="1"/>
  <c r="C59" i="7"/>
  <c r="D59" i="7"/>
  <c r="E59" i="7" a="1"/>
  <c r="C60" i="7"/>
  <c r="D60" i="7"/>
  <c r="E60" i="7" a="1"/>
  <c r="C61" i="7"/>
  <c r="D61" i="7"/>
  <c r="E61" i="7" a="1"/>
  <c r="C62" i="7"/>
  <c r="D62" i="7"/>
  <c r="E62" i="7" a="1"/>
  <c r="C63" i="7"/>
  <c r="D63" i="7"/>
  <c r="E63" i="7" a="1"/>
  <c r="C64" i="7"/>
  <c r="D64" i="7"/>
  <c r="E64" i="7" a="1"/>
  <c r="C65" i="7"/>
  <c r="D65" i="7"/>
  <c r="E65" i="7" a="1"/>
  <c r="C66" i="7"/>
  <c r="D66" i="7"/>
  <c r="E66" i="7" a="1"/>
  <c r="C67" i="7"/>
  <c r="D67" i="7"/>
  <c r="E67" i="7" a="1"/>
  <c r="C68" i="7"/>
  <c r="D68" i="7"/>
  <c r="E68" i="7" a="1"/>
  <c r="C69" i="7"/>
  <c r="D69" i="7"/>
  <c r="E69" i="7" a="1"/>
  <c r="C70" i="7"/>
  <c r="D70" i="7"/>
  <c r="E70" i="7" a="1"/>
  <c r="C71" i="7"/>
  <c r="D71" i="7"/>
  <c r="E71" i="7" a="1"/>
  <c r="C72" i="7"/>
  <c r="D72" i="7"/>
  <c r="E72" i="7" a="1"/>
  <c r="C73" i="7"/>
  <c r="D73" i="7"/>
  <c r="E73" i="7" a="1"/>
  <c r="C74" i="7"/>
  <c r="D74" i="7"/>
  <c r="E74" i="7" a="1"/>
  <c r="C75" i="7"/>
  <c r="D75" i="7"/>
  <c r="E75" i="7" a="1"/>
  <c r="C76" i="7"/>
  <c r="D76" i="7"/>
  <c r="E76" i="7" a="1"/>
  <c r="C77" i="7"/>
  <c r="D77" i="7"/>
  <c r="E77" i="7" a="1"/>
  <c r="C78" i="7"/>
  <c r="D78" i="7"/>
  <c r="E78" i="7" a="1"/>
  <c r="C79" i="7"/>
  <c r="D79" i="7"/>
  <c r="E79" i="7" a="1"/>
  <c r="C80" i="7"/>
  <c r="D80" i="7"/>
  <c r="E80" i="7" a="1"/>
  <c r="C81" i="7"/>
  <c r="D81" i="7"/>
  <c r="E81" i="7" a="1"/>
  <c r="C82" i="7"/>
  <c r="D82" i="7"/>
  <c r="E82" i="7" a="1"/>
  <c r="C83" i="7"/>
  <c r="D83" i="7"/>
  <c r="E83" i="7" a="1"/>
  <c r="C84" i="7"/>
  <c r="D84" i="7"/>
  <c r="E84" i="7" a="1"/>
  <c r="C85" i="7"/>
  <c r="D85" i="7"/>
  <c r="E85" i="7" a="1"/>
  <c r="C86" i="7"/>
  <c r="D86" i="7"/>
  <c r="E86" i="7" a="1"/>
  <c r="C87" i="7"/>
  <c r="D87" i="7"/>
  <c r="E87" i="7" a="1"/>
  <c r="C88" i="7"/>
  <c r="D88" i="7"/>
  <c r="E88" i="7" a="1"/>
  <c r="C89" i="7"/>
  <c r="D89" i="7"/>
  <c r="E89" i="7" a="1"/>
  <c r="C90" i="7"/>
  <c r="D90" i="7"/>
  <c r="E90" i="7" a="1"/>
  <c r="C91" i="7"/>
  <c r="D91" i="7"/>
  <c r="E91" i="7" a="1"/>
  <c r="C92" i="7"/>
  <c r="D92" i="7"/>
  <c r="E92" i="7" a="1"/>
  <c r="C93" i="7"/>
  <c r="D93" i="7"/>
  <c r="E93" i="7" a="1"/>
  <c r="C94" i="7"/>
  <c r="D94" i="7"/>
  <c r="E94" i="7" a="1"/>
  <c r="C95" i="7"/>
  <c r="D95" i="7"/>
  <c r="E95" i="7" a="1"/>
  <c r="C96" i="7"/>
  <c r="D96" i="7"/>
  <c r="E96" i="7" a="1"/>
  <c r="C97" i="7"/>
  <c r="D97" i="7"/>
  <c r="E97" i="7" a="1"/>
  <c r="C98" i="7"/>
  <c r="D98" i="7"/>
  <c r="E98" i="7" a="1"/>
  <c r="C99" i="7"/>
  <c r="D99" i="7"/>
  <c r="E99" i="7" a="1"/>
  <c r="C100" i="7"/>
  <c r="D100" i="7"/>
  <c r="E100" i="7" a="1"/>
  <c r="C101" i="7"/>
  <c r="D101" i="7"/>
  <c r="E101" i="7" a="1"/>
  <c r="C102" i="7"/>
  <c r="D102" i="7"/>
  <c r="E102" i="7" a="1"/>
  <c r="C103" i="7"/>
  <c r="D103" i="7"/>
  <c r="E103" i="7" a="1"/>
  <c r="C104" i="7"/>
  <c r="D104" i="7"/>
  <c r="E104" i="7" a="1"/>
  <c r="C105" i="7"/>
  <c r="D105" i="7"/>
  <c r="E105" i="7" a="1"/>
  <c r="C106" i="7"/>
  <c r="D106" i="7"/>
  <c r="E106" i="7" a="1"/>
  <c r="C107" i="7"/>
  <c r="D107" i="7"/>
  <c r="E107" i="7" a="1"/>
  <c r="C108" i="7"/>
  <c r="D108" i="7"/>
  <c r="E108" i="7" a="1"/>
  <c r="C109" i="7"/>
  <c r="D109" i="7"/>
  <c r="E109" i="7" a="1"/>
  <c r="C110" i="7"/>
  <c r="D110" i="7"/>
  <c r="E110" i="7" a="1"/>
  <c r="C111" i="7"/>
  <c r="D111" i="7"/>
  <c r="E111" i="7" a="1"/>
  <c r="C112" i="7"/>
  <c r="D112" i="7"/>
  <c r="E112" i="7" a="1"/>
  <c r="C113" i="7"/>
  <c r="D113" i="7"/>
  <c r="E113" i="7" a="1"/>
  <c r="C114" i="7"/>
  <c r="D114" i="7"/>
  <c r="E114" i="7" a="1"/>
  <c r="C115" i="7"/>
  <c r="D115" i="7"/>
  <c r="E115" i="7" a="1"/>
  <c r="C116" i="7"/>
  <c r="D116" i="7"/>
  <c r="E116" i="7" a="1"/>
  <c r="C117" i="7"/>
  <c r="D117" i="7"/>
  <c r="E117" i="7" a="1"/>
  <c r="C118" i="7"/>
  <c r="D118" i="7"/>
  <c r="E118" i="7" a="1"/>
  <c r="C119" i="7"/>
  <c r="D119" i="7"/>
  <c r="E119" i="7" a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2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2" i="3"/>
  <c r="J31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6" i="6"/>
  <c r="K16" i="6"/>
  <c r="J17" i="6"/>
  <c r="K17" i="6"/>
  <c r="J18" i="6"/>
  <c r="K18" i="6"/>
  <c r="J19" i="6"/>
  <c r="K19" i="6"/>
  <c r="J20" i="6"/>
  <c r="K20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K31" i="6"/>
  <c r="B5" i="9" l="1"/>
  <c r="A5" i="9"/>
  <c r="J32" i="6"/>
  <c r="K3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<sst xmlns="http://schemas.openxmlformats.org/spreadsheetml/2006/main" count="9759" uniqueCount="2429">
  <si>
    <t>EMPLOYEE_ID</t>
  </si>
  <si>
    <t>EMPLOYEE_FIRST</t>
  </si>
  <si>
    <t>EMPLOYEE_LAST</t>
  </si>
  <si>
    <t>HIRE_DATE</t>
  </si>
  <si>
    <t>DATE_OF_BIRTH</t>
  </si>
  <si>
    <t>TERM_DATE</t>
  </si>
  <si>
    <t>SALARY</t>
  </si>
  <si>
    <t>PERF_RATING</t>
  </si>
  <si>
    <t>MGR_ID</t>
  </si>
  <si>
    <t>LOCATION</t>
  </si>
  <si>
    <t>STATUS</t>
  </si>
  <si>
    <t>EMAIL</t>
  </si>
  <si>
    <t>POSITION</t>
  </si>
  <si>
    <t>DEPARTMENT_NAME</t>
  </si>
  <si>
    <t>DEPARTMENT_ID</t>
  </si>
  <si>
    <t>LEVEL</t>
  </si>
  <si>
    <t>Description</t>
  </si>
  <si>
    <t>Unique</t>
  </si>
  <si>
    <t>Derived Sequentially</t>
  </si>
  <si>
    <t>Levels 1 through 10</t>
  </si>
  <si>
    <t>Ratings 1 through 5</t>
  </si>
  <si>
    <t>Relates to another employee</t>
  </si>
  <si>
    <t>Remote, name of city or HQ</t>
  </si>
  <si>
    <t>Full-Time, Part-Time. Contractor</t>
  </si>
  <si>
    <t>first.last@ourbusiness.biz</t>
  </si>
  <si>
    <t>Executive</t>
  </si>
  <si>
    <t>Shipping</t>
  </si>
  <si>
    <t>FOUNDING_DATE</t>
  </si>
  <si>
    <t>Sales</t>
  </si>
  <si>
    <t>Finance</t>
  </si>
  <si>
    <t>Accounting</t>
  </si>
  <si>
    <t>Human Resources</t>
  </si>
  <si>
    <t>Manufacturing</t>
  </si>
  <si>
    <t>Marketing</t>
  </si>
  <si>
    <t>Engineering/R&amp;D</t>
  </si>
  <si>
    <t>Procurement</t>
  </si>
  <si>
    <t>Customer Support</t>
  </si>
  <si>
    <t>PARENT_DEPARTMENT_ID</t>
  </si>
  <si>
    <t>Information Technology</t>
  </si>
  <si>
    <t>Quality Assurance</t>
  </si>
  <si>
    <t>Legal</t>
  </si>
  <si>
    <t>Facilities</t>
  </si>
  <si>
    <t>HEADCOUNT</t>
  </si>
  <si>
    <t>BUDGET_2027</t>
  </si>
  <si>
    <t>BUDGET_2025</t>
  </si>
  <si>
    <t>BUDGET_2026</t>
  </si>
  <si>
    <t>Daniel</t>
  </si>
  <si>
    <t>Whitaker</t>
  </si>
  <si>
    <t>Chief Executive Officer</t>
  </si>
  <si>
    <t>daniel.whitaker@ourbusiness.biz</t>
  </si>
  <si>
    <t>HQ</t>
  </si>
  <si>
    <t>Priya</t>
  </si>
  <si>
    <t>Raman</t>
  </si>
  <si>
    <t>Chief Operating Officer</t>
  </si>
  <si>
    <t>priya.raman@ourbusiness.biz</t>
  </si>
  <si>
    <t>Lauren</t>
  </si>
  <si>
    <t>Mitchell</t>
  </si>
  <si>
    <t>Executive Assistant</t>
  </si>
  <si>
    <t>lauren.mitchell@ourbusiness.biz</t>
  </si>
  <si>
    <t>Gregory</t>
  </si>
  <si>
    <t>Hanson</t>
  </si>
  <si>
    <t>Chief Technology Officer</t>
  </si>
  <si>
    <t>gregory.hanson@ourbusiness.biz</t>
  </si>
  <si>
    <t>Susan</t>
  </si>
  <si>
    <t>Delgado</t>
  </si>
  <si>
    <t>Chief Financial Officer</t>
  </si>
  <si>
    <t>susan.delgado@ourbusiness.biz</t>
  </si>
  <si>
    <t>Marcus</t>
  </si>
  <si>
    <t>Johnson</t>
  </si>
  <si>
    <t>Chief Revenue Officer</t>
  </si>
  <si>
    <t>marcus.johnson@ourbusiness.biz</t>
  </si>
  <si>
    <t>Elena</t>
  </si>
  <si>
    <t>Petrov</t>
  </si>
  <si>
    <t>Chief Human Resources Officer</t>
  </si>
  <si>
    <t>elena.petrov@ourbusiness.biz</t>
  </si>
  <si>
    <t>Wei</t>
  </si>
  <si>
    <t>Zhang</t>
  </si>
  <si>
    <t>wei.zhang@ourbusiness.biz</t>
  </si>
  <si>
    <t>Olivia</t>
  </si>
  <si>
    <t>Brennan</t>
  </si>
  <si>
    <t>General Counsel</t>
  </si>
  <si>
    <t>olivia.brennan@ourbusiness.biz</t>
  </si>
  <si>
    <t>Full-Time</t>
  </si>
  <si>
    <t>Sarah</t>
  </si>
  <si>
    <t>Rios</t>
  </si>
  <si>
    <t>VP of Manufacturing</t>
  </si>
  <si>
    <t>Danielle</t>
  </si>
  <si>
    <t>Ortiz</t>
  </si>
  <si>
    <t>Plant Director</t>
  </si>
  <si>
    <t>Greenville</t>
  </si>
  <si>
    <t>Sofia</t>
  </si>
  <si>
    <t>Young</t>
  </si>
  <si>
    <t>Dayton</t>
  </si>
  <si>
    <t>Olga</t>
  </si>
  <si>
    <t>Reed</t>
  </si>
  <si>
    <t>Production Manager</t>
  </si>
  <si>
    <t>Soto</t>
  </si>
  <si>
    <t>Rachel</t>
  </si>
  <si>
    <t>Griffin</t>
  </si>
  <si>
    <t>Austin</t>
  </si>
  <si>
    <t>Stewart</t>
  </si>
  <si>
    <t>Shift Supervisor</t>
  </si>
  <si>
    <t>Sean</t>
  </si>
  <si>
    <t>Kowalski</t>
  </si>
  <si>
    <t>Production Associate</t>
  </si>
  <si>
    <t>Ana</t>
  </si>
  <si>
    <t>Garcia</t>
  </si>
  <si>
    <t>Frank</t>
  </si>
  <si>
    <t>Nelson</t>
  </si>
  <si>
    <t>Machine Operator</t>
  </si>
  <si>
    <t>Andre</t>
  </si>
  <si>
    <t>Murray</t>
  </si>
  <si>
    <t>Debra</t>
  </si>
  <si>
    <t>Brooks</t>
  </si>
  <si>
    <t>Evelyn</t>
  </si>
  <si>
    <t>Guerrero</t>
  </si>
  <si>
    <t>Frances</t>
  </si>
  <si>
    <t>Murphy</t>
  </si>
  <si>
    <t>Assembly Technician</t>
  </si>
  <si>
    <t>Tyler</t>
  </si>
  <si>
    <t>Cook</t>
  </si>
  <si>
    <t>CNC Machinist</t>
  </si>
  <si>
    <t>Brandon</t>
  </si>
  <si>
    <t>Dixon</t>
  </si>
  <si>
    <t>Lead Technician</t>
  </si>
  <si>
    <t>Nancy</t>
  </si>
  <si>
    <t>Yang</t>
  </si>
  <si>
    <t>Doris</t>
  </si>
  <si>
    <t>Edwards</t>
  </si>
  <si>
    <t>Kayla</t>
  </si>
  <si>
    <t>Sato</t>
  </si>
  <si>
    <t>kayla.sato@ourbusiness.biz</t>
  </si>
  <si>
    <t>Robert</t>
  </si>
  <si>
    <t>Morales</t>
  </si>
  <si>
    <t>Jordan</t>
  </si>
  <si>
    <t>Rogers</t>
  </si>
  <si>
    <t>Ramirez</t>
  </si>
  <si>
    <t>Eric</t>
  </si>
  <si>
    <t>Harris</t>
  </si>
  <si>
    <t>Min</t>
  </si>
  <si>
    <t>Collins</t>
  </si>
  <si>
    <t>Estrada</t>
  </si>
  <si>
    <t>Sanjay</t>
  </si>
  <si>
    <t>Riley</t>
  </si>
  <si>
    <t>Jose</t>
  </si>
  <si>
    <t>Wilson</t>
  </si>
  <si>
    <t>Jerry</t>
  </si>
  <si>
    <t>Carroll</t>
  </si>
  <si>
    <t>Nicholas</t>
  </si>
  <si>
    <t>Stephens</t>
  </si>
  <si>
    <t>Paul</t>
  </si>
  <si>
    <t>Anderson</t>
  </si>
  <si>
    <t>Hiroshi</t>
  </si>
  <si>
    <t>Contreras</t>
  </si>
  <si>
    <t>Castro</t>
  </si>
  <si>
    <t>Walker</t>
  </si>
  <si>
    <t>Arjun</t>
  </si>
  <si>
    <t>Chavez</t>
  </si>
  <si>
    <t>Gardner</t>
  </si>
  <si>
    <t>Christian</t>
  </si>
  <si>
    <t>Shaw</t>
  </si>
  <si>
    <t>Kathryn</t>
  </si>
  <si>
    <t>Carpenter</t>
  </si>
  <si>
    <t>Pamela</t>
  </si>
  <si>
    <t>Khan</t>
  </si>
  <si>
    <t>David</t>
  </si>
  <si>
    <t>Hassan</t>
  </si>
  <si>
    <t>Jacob</t>
  </si>
  <si>
    <t>Payne</t>
  </si>
  <si>
    <t>Franklin</t>
  </si>
  <si>
    <t>Russell</t>
  </si>
  <si>
    <t>Gutierrez</t>
  </si>
  <si>
    <t>Gloria</t>
  </si>
  <si>
    <t>Gray</t>
  </si>
  <si>
    <t>Logan</t>
  </si>
  <si>
    <t>Phillips</t>
  </si>
  <si>
    <t>Lori</t>
  </si>
  <si>
    <t>Taylor</t>
  </si>
  <si>
    <t>Gabriel</t>
  </si>
  <si>
    <t>Carlos</t>
  </si>
  <si>
    <t>Nichols</t>
  </si>
  <si>
    <t>Stephanie</t>
  </si>
  <si>
    <t>King</t>
  </si>
  <si>
    <t>Sophia</t>
  </si>
  <si>
    <t>Martinez</t>
  </si>
  <si>
    <t>Diane</t>
  </si>
  <si>
    <t>Joe</t>
  </si>
  <si>
    <t>Ivan</t>
  </si>
  <si>
    <t>Jones</t>
  </si>
  <si>
    <t>Joshua</t>
  </si>
  <si>
    <t>Ford</t>
  </si>
  <si>
    <t>Nathan</t>
  </si>
  <si>
    <t>Pham</t>
  </si>
  <si>
    <t>Brown</t>
  </si>
  <si>
    <t>Alan</t>
  </si>
  <si>
    <t>Rodriguez</t>
  </si>
  <si>
    <t>Tariq</t>
  </si>
  <si>
    <t>Gordon</t>
  </si>
  <si>
    <t>Morris</t>
  </si>
  <si>
    <t>Watson</t>
  </si>
  <si>
    <t>Sandra</t>
  </si>
  <si>
    <t>Gomez</t>
  </si>
  <si>
    <t>John</t>
  </si>
  <si>
    <t>Choi</t>
  </si>
  <si>
    <t>Ronald</t>
  </si>
  <si>
    <t>Julie</t>
  </si>
  <si>
    <t>Rose</t>
  </si>
  <si>
    <t>Jason</t>
  </si>
  <si>
    <t>Green</t>
  </si>
  <si>
    <t>Karen</t>
  </si>
  <si>
    <t>Crawford</t>
  </si>
  <si>
    <t>Stephen</t>
  </si>
  <si>
    <t>Gupta</t>
  </si>
  <si>
    <t>Aisha</t>
  </si>
  <si>
    <t>Ferguson</t>
  </si>
  <si>
    <t>Harold</t>
  </si>
  <si>
    <t>Henry</t>
  </si>
  <si>
    <t>Jeremy</t>
  </si>
  <si>
    <t>Nunez</t>
  </si>
  <si>
    <t>Emma</t>
  </si>
  <si>
    <t>Peterson</t>
  </si>
  <si>
    <t>Michelle</t>
  </si>
  <si>
    <t>Carlson</t>
  </si>
  <si>
    <t>Tomas</t>
  </si>
  <si>
    <t>Washington</t>
  </si>
  <si>
    <t>Smith</t>
  </si>
  <si>
    <t>joshua.smith@ourbusiness.biz</t>
  </si>
  <si>
    <t>Cheryl</t>
  </si>
  <si>
    <t>Nguyen</t>
  </si>
  <si>
    <t>Douglas</t>
  </si>
  <si>
    <t>Grace</t>
  </si>
  <si>
    <t>Sara</t>
  </si>
  <si>
    <t>Cox</t>
  </si>
  <si>
    <t>Reno</t>
  </si>
  <si>
    <t>Adeyemi</t>
  </si>
  <si>
    <t>Janet</t>
  </si>
  <si>
    <t>Olson</t>
  </si>
  <si>
    <t>Boyd</t>
  </si>
  <si>
    <t>Knight</t>
  </si>
  <si>
    <t>Lee</t>
  </si>
  <si>
    <t>Bryant</t>
  </si>
  <si>
    <t>Kimberly</t>
  </si>
  <si>
    <t>Snyder</t>
  </si>
  <si>
    <t>Yuki</t>
  </si>
  <si>
    <t>Mary</t>
  </si>
  <si>
    <t>Cooper</t>
  </si>
  <si>
    <t>Emily</t>
  </si>
  <si>
    <t>Kennedy</t>
  </si>
  <si>
    <t>Cynthia</t>
  </si>
  <si>
    <t>Burke</t>
  </si>
  <si>
    <t>Matthew</t>
  </si>
  <si>
    <t>Shah</t>
  </si>
  <si>
    <t>Hernandez</t>
  </si>
  <si>
    <t>Lewis</t>
  </si>
  <si>
    <t>Lopez</t>
  </si>
  <si>
    <t>Vazquez</t>
  </si>
  <si>
    <t>sara.vazquez@ourbusiness.biz</t>
  </si>
  <si>
    <t>Katherine</t>
  </si>
  <si>
    <t>Billy</t>
  </si>
  <si>
    <t>Aaron</t>
  </si>
  <si>
    <t>Stevens</t>
  </si>
  <si>
    <t>Helen</t>
  </si>
  <si>
    <t>Hall</t>
  </si>
  <si>
    <t>Maria</t>
  </si>
  <si>
    <t>Ross</t>
  </si>
  <si>
    <t>Vincent</t>
  </si>
  <si>
    <t>Burns</t>
  </si>
  <si>
    <t>Andrew</t>
  </si>
  <si>
    <t>Peter</t>
  </si>
  <si>
    <t>Christine</t>
  </si>
  <si>
    <t>Perez</t>
  </si>
  <si>
    <t>Anthony</t>
  </si>
  <si>
    <t>Denise</t>
  </si>
  <si>
    <t>Scott</t>
  </si>
  <si>
    <t>Zachary</t>
  </si>
  <si>
    <t>Torres</t>
  </si>
  <si>
    <t>Reyes</t>
  </si>
  <si>
    <t>Judy</t>
  </si>
  <si>
    <t>Price</t>
  </si>
  <si>
    <t>Carol</t>
  </si>
  <si>
    <t>Hart</t>
  </si>
  <si>
    <t>Jesse</t>
  </si>
  <si>
    <t>Medina</t>
  </si>
  <si>
    <t>Owens</t>
  </si>
  <si>
    <t>Samuel</t>
  </si>
  <si>
    <t>Teresa</t>
  </si>
  <si>
    <t>Meyer</t>
  </si>
  <si>
    <t>Melissa</t>
  </si>
  <si>
    <t>Diaz</t>
  </si>
  <si>
    <t>Hyun</t>
  </si>
  <si>
    <t>Alvarado</t>
  </si>
  <si>
    <t>Walter</t>
  </si>
  <si>
    <t>Marshall</t>
  </si>
  <si>
    <t>Terry</t>
  </si>
  <si>
    <t>Armstrong</t>
  </si>
  <si>
    <t>Ali</t>
  </si>
  <si>
    <t>Megan</t>
  </si>
  <si>
    <t>Mei</t>
  </si>
  <si>
    <t>Kyle</t>
  </si>
  <si>
    <t>Woods</t>
  </si>
  <si>
    <t>Tanya</t>
  </si>
  <si>
    <t>Gibson</t>
  </si>
  <si>
    <t>Fatima</t>
  </si>
  <si>
    <t>Weaver</t>
  </si>
  <si>
    <t>Guzman</t>
  </si>
  <si>
    <t>Jimenez</t>
  </si>
  <si>
    <t>Richard</t>
  </si>
  <si>
    <t>Ellis</t>
  </si>
  <si>
    <t>Larry</t>
  </si>
  <si>
    <t>Fox</t>
  </si>
  <si>
    <t>Jack</t>
  </si>
  <si>
    <t>Anna</t>
  </si>
  <si>
    <t>Bennett</t>
  </si>
  <si>
    <t>Ryan</t>
  </si>
  <si>
    <t>Hill</t>
  </si>
  <si>
    <t>Latoya</t>
  </si>
  <si>
    <t>Ramos</t>
  </si>
  <si>
    <t>Cole</t>
  </si>
  <si>
    <t>Santiago</t>
  </si>
  <si>
    <t>Ethan</t>
  </si>
  <si>
    <t>James</t>
  </si>
  <si>
    <t>Carter</t>
  </si>
  <si>
    <t>Edward</t>
  </si>
  <si>
    <t>Lawrence</t>
  </si>
  <si>
    <t>Campbell</t>
  </si>
  <si>
    <t>Amy</t>
  </si>
  <si>
    <t>Schmidt</t>
  </si>
  <si>
    <t>Alexander</t>
  </si>
  <si>
    <t>Shirley</t>
  </si>
  <si>
    <t>Keith</t>
  </si>
  <si>
    <t>Carolyn</t>
  </si>
  <si>
    <t>Raj</t>
  </si>
  <si>
    <t>Williams</t>
  </si>
  <si>
    <t>Wright</t>
  </si>
  <si>
    <t>Andrea</t>
  </si>
  <si>
    <t>Michael</t>
  </si>
  <si>
    <t>Aguilar</t>
  </si>
  <si>
    <t>Angela</t>
  </si>
  <si>
    <t>Christopher</t>
  </si>
  <si>
    <t>Davis</t>
  </si>
  <si>
    <t>Vasquez</t>
  </si>
  <si>
    <t>George</t>
  </si>
  <si>
    <t>Wagner</t>
  </si>
  <si>
    <t>Kwame</t>
  </si>
  <si>
    <t>Johnston</t>
  </si>
  <si>
    <t>Elijah</t>
  </si>
  <si>
    <t>Laura</t>
  </si>
  <si>
    <t>Mendoza</t>
  </si>
  <si>
    <t>Timothy</t>
  </si>
  <si>
    <t>Joan</t>
  </si>
  <si>
    <t>Simpson</t>
  </si>
  <si>
    <t>Julia</t>
  </si>
  <si>
    <t>Wheeler</t>
  </si>
  <si>
    <t>Foster</t>
  </si>
  <si>
    <t>Arnold</t>
  </si>
  <si>
    <t>Webb</t>
  </si>
  <si>
    <t>Coleman</t>
  </si>
  <si>
    <t>Duncan</t>
  </si>
  <si>
    <t>Janice</t>
  </si>
  <si>
    <t>Dunn</t>
  </si>
  <si>
    <t>Wayne</t>
  </si>
  <si>
    <t>Turner</t>
  </si>
  <si>
    <t>Wang</t>
  </si>
  <si>
    <t>Sharma</t>
  </si>
  <si>
    <t>Theresa</t>
  </si>
  <si>
    <t>Jean</t>
  </si>
  <si>
    <t>Clark</t>
  </si>
  <si>
    <t>Charles</t>
  </si>
  <si>
    <t>Moreno</t>
  </si>
  <si>
    <t>Valdez</t>
  </si>
  <si>
    <t>Arthur</t>
  </si>
  <si>
    <t>Alexis</t>
  </si>
  <si>
    <t>Patel</t>
  </si>
  <si>
    <t>timothy.ali@ourbusiness.biz</t>
  </si>
  <si>
    <t>Marie</t>
  </si>
  <si>
    <t>McDonald</t>
  </si>
  <si>
    <t>Omar</t>
  </si>
  <si>
    <t>Tucker</t>
  </si>
  <si>
    <t>Thompson</t>
  </si>
  <si>
    <t>Gary</t>
  </si>
  <si>
    <t>Sanchez</t>
  </si>
  <si>
    <t>Amber</t>
  </si>
  <si>
    <t>Martin</t>
  </si>
  <si>
    <t>Patrick</t>
  </si>
  <si>
    <t>Tran</t>
  </si>
  <si>
    <t>Steven</t>
  </si>
  <si>
    <t>Parker</t>
  </si>
  <si>
    <t>Marilyn</t>
  </si>
  <si>
    <t>Chen</t>
  </si>
  <si>
    <t>Dennis</t>
  </si>
  <si>
    <t>Mills</t>
  </si>
  <si>
    <t>Rebecca</t>
  </si>
  <si>
    <t>Ivanov</t>
  </si>
  <si>
    <t>Elizabeth</t>
  </si>
  <si>
    <t>Carl</t>
  </si>
  <si>
    <t>Munoz</t>
  </si>
  <si>
    <t>Deepa</t>
  </si>
  <si>
    <t>Margaret</t>
  </si>
  <si>
    <t>Jin</t>
  </si>
  <si>
    <t>Simmons</t>
  </si>
  <si>
    <t>Mendez</t>
  </si>
  <si>
    <t>Roy</t>
  </si>
  <si>
    <t>Nicole</t>
  </si>
  <si>
    <t>Nakamura</t>
  </si>
  <si>
    <t>Miguel</t>
  </si>
  <si>
    <t>Novak</t>
  </si>
  <si>
    <t>Madison</t>
  </si>
  <si>
    <t>Harper</t>
  </si>
  <si>
    <t>Porter</t>
  </si>
  <si>
    <t>Ashley</t>
  </si>
  <si>
    <t>Howard</t>
  </si>
  <si>
    <t>Willie</t>
  </si>
  <si>
    <t>Jennifer</t>
  </si>
  <si>
    <t>christian.wilson@ourbusiness.biz</t>
  </si>
  <si>
    <t>Hicks</t>
  </si>
  <si>
    <t>Kavita</t>
  </si>
  <si>
    <t>george.kowalski@ourbusiness.biz</t>
  </si>
  <si>
    <t>Bryan</t>
  </si>
  <si>
    <t>Victoria</t>
  </si>
  <si>
    <t>Carr</t>
  </si>
  <si>
    <t>Barnes</t>
  </si>
  <si>
    <t>Dmitri</t>
  </si>
  <si>
    <t>Kathleen</t>
  </si>
  <si>
    <t>Betty</t>
  </si>
  <si>
    <t>Jenkins</t>
  </si>
  <si>
    <t>Hoffman</t>
  </si>
  <si>
    <t>Donna</t>
  </si>
  <si>
    <t>Brenda</t>
  </si>
  <si>
    <t>Brittany</t>
  </si>
  <si>
    <t>White</t>
  </si>
  <si>
    <t>Alvarez</t>
  </si>
  <si>
    <t>Abigail</t>
  </si>
  <si>
    <t>Berry</t>
  </si>
  <si>
    <t>Roger</t>
  </si>
  <si>
    <t>Hunt</t>
  </si>
  <si>
    <t>Bruce</t>
  </si>
  <si>
    <t>Derek</t>
  </si>
  <si>
    <t>Diego</t>
  </si>
  <si>
    <t>Wells</t>
  </si>
  <si>
    <t>Lane</t>
  </si>
  <si>
    <t>Jung</t>
  </si>
  <si>
    <t>Amanda</t>
  </si>
  <si>
    <t>Kelly</t>
  </si>
  <si>
    <t>Richards</t>
  </si>
  <si>
    <t>Mason</t>
  </si>
  <si>
    <t>Patricia</t>
  </si>
  <si>
    <t>Powell</t>
  </si>
  <si>
    <t>Valeria</t>
  </si>
  <si>
    <t>Matthews</t>
  </si>
  <si>
    <t>Lawson</t>
  </si>
  <si>
    <t>Hansen</t>
  </si>
  <si>
    <t>Maldonado</t>
  </si>
  <si>
    <t>Ralph</t>
  </si>
  <si>
    <t>Barbara</t>
  </si>
  <si>
    <t>ivan.kelly@ourbusiness.biz</t>
  </si>
  <si>
    <t>Adam</t>
  </si>
  <si>
    <t>Daniels</t>
  </si>
  <si>
    <t>Gonzalez</t>
  </si>
  <si>
    <t>Justin</t>
  </si>
  <si>
    <t>Morgan</t>
  </si>
  <si>
    <t>Sullivan</t>
  </si>
  <si>
    <t>Samantha</t>
  </si>
  <si>
    <t>Cruz</t>
  </si>
  <si>
    <t>Natalie</t>
  </si>
  <si>
    <t>Patterson</t>
  </si>
  <si>
    <t>natalie.patterson@ourbusiness.biz</t>
  </si>
  <si>
    <t>Hamilton</t>
  </si>
  <si>
    <t>Okafor</t>
  </si>
  <si>
    <t>Martha</t>
  </si>
  <si>
    <t>Silva</t>
  </si>
  <si>
    <t>Robertson</t>
  </si>
  <si>
    <t>Heather</t>
  </si>
  <si>
    <t>Dominguez</t>
  </si>
  <si>
    <t>Jacqueline</t>
  </si>
  <si>
    <t>Vargas</t>
  </si>
  <si>
    <t>Raymond</t>
  </si>
  <si>
    <t>Joseph</t>
  </si>
  <si>
    <t>Lucia</t>
  </si>
  <si>
    <t>Hannah</t>
  </si>
  <si>
    <t>Larson</t>
  </si>
  <si>
    <t>Willis</t>
  </si>
  <si>
    <t>Haddad</t>
  </si>
  <si>
    <t>Hughes</t>
  </si>
  <si>
    <t>Christina</t>
  </si>
  <si>
    <t>Ananya</t>
  </si>
  <si>
    <t>Beverly</t>
  </si>
  <si>
    <t>Jeffrey</t>
  </si>
  <si>
    <t>Hawkins</t>
  </si>
  <si>
    <t>Henderson</t>
  </si>
  <si>
    <t>Fisher</t>
  </si>
  <si>
    <t>Tanaka</t>
  </si>
  <si>
    <t>Ann</t>
  </si>
  <si>
    <t>Dylan</t>
  </si>
  <si>
    <t>Liu</t>
  </si>
  <si>
    <t>Donald</t>
  </si>
  <si>
    <t>Allen</t>
  </si>
  <si>
    <t>Bradley</t>
  </si>
  <si>
    <t>Castillo</t>
  </si>
  <si>
    <t>Isabella</t>
  </si>
  <si>
    <t>Sandoval</t>
  </si>
  <si>
    <t>Adams</t>
  </si>
  <si>
    <t>Albert</t>
  </si>
  <si>
    <t>Spencer</t>
  </si>
  <si>
    <t>Andrews</t>
  </si>
  <si>
    <t>Black</t>
  </si>
  <si>
    <t>Holmes</t>
  </si>
  <si>
    <t>Alice</t>
  </si>
  <si>
    <t>Grant</t>
  </si>
  <si>
    <t>Robinson</t>
  </si>
  <si>
    <t>Luis</t>
  </si>
  <si>
    <t>Charlotte</t>
  </si>
  <si>
    <t>charlotte.ross@ourbusiness.biz</t>
  </si>
  <si>
    <t>Richardson</t>
  </si>
  <si>
    <t>Kenneth</t>
  </si>
  <si>
    <t>Pierce</t>
  </si>
  <si>
    <t>Nikhil</t>
  </si>
  <si>
    <t>raymond.carlson@ourbusiness.biz</t>
  </si>
  <si>
    <t>Pena</t>
  </si>
  <si>
    <t>Romero</t>
  </si>
  <si>
    <t>Noah</t>
  </si>
  <si>
    <t>Warren</t>
  </si>
  <si>
    <t>Morrison</t>
  </si>
  <si>
    <t>Huang</t>
  </si>
  <si>
    <t>Chapman</t>
  </si>
  <si>
    <t>Ray</t>
  </si>
  <si>
    <t>Bailey</t>
  </si>
  <si>
    <t>Flores</t>
  </si>
  <si>
    <t>William</t>
  </si>
  <si>
    <t>Diana</t>
  </si>
  <si>
    <t>Park</t>
  </si>
  <si>
    <t>Ahmed</t>
  </si>
  <si>
    <t>Watkins</t>
  </si>
  <si>
    <t>Thomas</t>
  </si>
  <si>
    <t>Judith</t>
  </si>
  <si>
    <t>Herrera</t>
  </si>
  <si>
    <t>Reynolds</t>
  </si>
  <si>
    <t>Perkins</t>
  </si>
  <si>
    <t>Amara</t>
  </si>
  <si>
    <t>Linda</t>
  </si>
  <si>
    <t>Hunter</t>
  </si>
  <si>
    <t>Wallace</t>
  </si>
  <si>
    <t>Freeman</t>
  </si>
  <si>
    <t>Evans</t>
  </si>
  <si>
    <t>Ortega</t>
  </si>
  <si>
    <t>Garza</t>
  </si>
  <si>
    <t>Miller</t>
  </si>
  <si>
    <t>Sharon</t>
  </si>
  <si>
    <t>doris.gutierrez@ourbusiness.biz</t>
  </si>
  <si>
    <t>carolyn.young@ourbusiness.biz</t>
  </si>
  <si>
    <t>Perry</t>
  </si>
  <si>
    <t>Long</t>
  </si>
  <si>
    <t>Darius</t>
  </si>
  <si>
    <t>Bell</t>
  </si>
  <si>
    <t>Randy</t>
  </si>
  <si>
    <t>Graham</t>
  </si>
  <si>
    <t>Cunningham</t>
  </si>
  <si>
    <t>Greene</t>
  </si>
  <si>
    <t>Contractor</t>
  </si>
  <si>
    <t>Part-Time</t>
  </si>
  <si>
    <t>kenneth.novak@ourbusiness.biz</t>
  </si>
  <si>
    <t>West</t>
  </si>
  <si>
    <t>kenneth.west@ourbusiness.biz</t>
  </si>
  <si>
    <t>joe.delgado@ourbusiness.biz</t>
  </si>
  <si>
    <t>steven.holmes@ourbusiness.biz</t>
  </si>
  <si>
    <t>alexis.knight@ourbusiness.biz</t>
  </si>
  <si>
    <t>melissa.carr@ourbusiness.biz</t>
  </si>
  <si>
    <t>amanda.moreno@ourbusiness.biz</t>
  </si>
  <si>
    <t>yuki.greene@ourbusiness.biz</t>
  </si>
  <si>
    <t>Ruiz</t>
  </si>
  <si>
    <t>kathryn.ruiz@ourbusiness.biz</t>
  </si>
  <si>
    <t>dylan.gomez@ourbusiness.biz</t>
  </si>
  <si>
    <t>sara.diaz@ourbusiness.biz</t>
  </si>
  <si>
    <t>priya.gardner@ourbusiness.biz</t>
  </si>
  <si>
    <t>Jessica</t>
  </si>
  <si>
    <t>jessica.herrera@ourbusiness.biz</t>
  </si>
  <si>
    <t>Elliott</t>
  </si>
  <si>
    <t>jessica.elliott@ourbusiness.biz</t>
  </si>
  <si>
    <t>luis.hill@ourbusiness.biz</t>
  </si>
  <si>
    <t>matthew.king@ourbusiness.biz</t>
  </si>
  <si>
    <t>Mark</t>
  </si>
  <si>
    <t>mark.vasquez@ourbusiness.biz</t>
  </si>
  <si>
    <t>john.smith@ourbusiness.biz</t>
  </si>
  <si>
    <t>Sanders</t>
  </si>
  <si>
    <t>judith.sanders@ourbusiness.biz</t>
  </si>
  <si>
    <t>paul.burns@ourbusiness.biz</t>
  </si>
  <si>
    <t>helen.perry@ourbusiness.biz</t>
  </si>
  <si>
    <t>samuel.davis@ourbusiness.biz</t>
  </si>
  <si>
    <t>diane.price@ourbusiness.biz</t>
  </si>
  <si>
    <t>doris.lewis@ourbusiness.biz</t>
  </si>
  <si>
    <t>brandon.hill@ourbusiness.biz</t>
  </si>
  <si>
    <t>william.sanchez@ourbusiness.biz</t>
  </si>
  <si>
    <t>harold.rogers@ourbusiness.biz</t>
  </si>
  <si>
    <t>noah.ruiz@ourbusiness.biz</t>
  </si>
  <si>
    <t>andre.howard@ourbusiness.biz</t>
  </si>
  <si>
    <t>john.powell@ourbusiness.biz</t>
  </si>
  <si>
    <t>Harrison</t>
  </si>
  <si>
    <t>sara.harrison@ourbusiness.biz</t>
  </si>
  <si>
    <t>alexis.powell@ourbusiness.biz</t>
  </si>
  <si>
    <t>derek.harrison@ourbusiness.biz</t>
  </si>
  <si>
    <t>mary.henderson@ourbusiness.biz</t>
  </si>
  <si>
    <t>paul.perkins@ourbusiness.biz</t>
  </si>
  <si>
    <t>rebecca.maldonado@ourbusiness.biz</t>
  </si>
  <si>
    <t>Peters</t>
  </si>
  <si>
    <t>harold.peters@ourbusiness.biz</t>
  </si>
  <si>
    <t>charles.foster@ourbusiness.biz</t>
  </si>
  <si>
    <t>hiroshi.castro@ourbusiness.biz</t>
  </si>
  <si>
    <t>Ward</t>
  </si>
  <si>
    <t>joan.ward@ourbusiness.biz</t>
  </si>
  <si>
    <t>valeria.johnston@ourbusiness.biz</t>
  </si>
  <si>
    <t>patricia.harrison@ourbusiness.biz</t>
  </si>
  <si>
    <t>deepa.sato@ourbusiness.biz</t>
  </si>
  <si>
    <t>raj.perez@ourbusiness.biz</t>
  </si>
  <si>
    <t>kathleen.ferguson@ourbusiness.biz</t>
  </si>
  <si>
    <t>patrick.hill@ourbusiness.biz</t>
  </si>
  <si>
    <t>gabriel.rose@ourbusiness.biz</t>
  </si>
  <si>
    <t>mason.lopez@ourbusiness.biz</t>
  </si>
  <si>
    <t>heather.robertson@ourbusiness.biz</t>
  </si>
  <si>
    <t>janice.valdez@ourbusiness.biz</t>
  </si>
  <si>
    <t>gary.watkins@ourbusiness.biz</t>
  </si>
  <si>
    <t>ananya.armstrong@ourbusiness.biz</t>
  </si>
  <si>
    <t>jack.lopez@ourbusiness.biz</t>
  </si>
  <si>
    <t>lauren.mcdonald@ourbusiness.biz</t>
  </si>
  <si>
    <t>hiroshi.garza@ourbusiness.biz</t>
  </si>
  <si>
    <t>mary.griffin@ourbusiness.biz</t>
  </si>
  <si>
    <t>Jacobs</t>
  </si>
  <si>
    <t>helen.jacobs@ourbusiness.biz</t>
  </si>
  <si>
    <t>heather.west@ourbusiness.biz</t>
  </si>
  <si>
    <t>elijah.mitchell@ourbusiness.biz</t>
  </si>
  <si>
    <t>raj.hoffman@ourbusiness.biz</t>
  </si>
  <si>
    <t>lori.peters@ourbusiness.biz</t>
  </si>
  <si>
    <t>shirley.elliott@ourbusiness.biz</t>
  </si>
  <si>
    <t>jesse.alexander@ourbusiness.biz</t>
  </si>
  <si>
    <t>henry.burns@ourbusiness.biz</t>
  </si>
  <si>
    <t>shirley.lawson@ourbusiness.biz</t>
  </si>
  <si>
    <t>christopher.adeyemi@ourbusiness.biz</t>
  </si>
  <si>
    <t>brandon.pham@ourbusiness.biz</t>
  </si>
  <si>
    <t>steven.murphy@ourbusiness.biz</t>
  </si>
  <si>
    <t>timothy.watson@ourbusiness.biz</t>
  </si>
  <si>
    <t>Monica</t>
  </si>
  <si>
    <t>monica.bradley@ourbusiness.biz</t>
  </si>
  <si>
    <t>jeffrey.henry@ourbusiness.biz</t>
  </si>
  <si>
    <t>Suzuki</t>
  </si>
  <si>
    <t>tanya.suzuki@ourbusiness.biz</t>
  </si>
  <si>
    <t>tomas.dunn@ourbusiness.biz</t>
  </si>
  <si>
    <t>linda.weaver@ourbusiness.biz</t>
  </si>
  <si>
    <t>diana.west@ourbusiness.biz</t>
  </si>
  <si>
    <t>christopher.miller@ourbusiness.biz</t>
  </si>
  <si>
    <t>victoria.collins@ourbusiness.biz</t>
  </si>
  <si>
    <t>ralph.thomas@ourbusiness.biz</t>
  </si>
  <si>
    <t>diana.cook@ourbusiness.biz</t>
  </si>
  <si>
    <t>Benjamin</t>
  </si>
  <si>
    <t>benjamin.flores@ourbusiness.biz</t>
  </si>
  <si>
    <t>Rivera</t>
  </si>
  <si>
    <t>andrew.rivera@ourbusiness.biz</t>
  </si>
  <si>
    <t>arthur.price@ourbusiness.biz</t>
  </si>
  <si>
    <t>nicole.garcia@ourbusiness.biz</t>
  </si>
  <si>
    <t>shirley.hansen@ourbusiness.biz</t>
  </si>
  <si>
    <t>hannah.cook@ourbusiness.biz</t>
  </si>
  <si>
    <t>vincent.perkins@ourbusiness.biz</t>
  </si>
  <si>
    <t>gregory.williams@ourbusiness.biz</t>
  </si>
  <si>
    <t>sharon.lee@ourbusiness.biz</t>
  </si>
  <si>
    <t>alexis.guzman@ourbusiness.biz</t>
  </si>
  <si>
    <t>denise.delgado@ourbusiness.biz</t>
  </si>
  <si>
    <t>Gerald</t>
  </si>
  <si>
    <t>gerald.lewis@ourbusiness.biz</t>
  </si>
  <si>
    <t>stephen.gray@ourbusiness.biz</t>
  </si>
  <si>
    <t>michelle.bradley@ourbusiness.biz</t>
  </si>
  <si>
    <t>christian.alvarez@ourbusiness.biz</t>
  </si>
  <si>
    <t>jerry.schmidt@ourbusiness.biz</t>
  </si>
  <si>
    <t>monica.kowalski@ourbusiness.biz</t>
  </si>
  <si>
    <t>sofia.cunningham@ourbusiness.biz</t>
  </si>
  <si>
    <t>angela.gupta@ourbusiness.biz</t>
  </si>
  <si>
    <t>edward.nelson@ourbusiness.biz</t>
  </si>
  <si>
    <t>dennis.delgado@ourbusiness.biz</t>
  </si>
  <si>
    <t>christian.willis@ourbusiness.biz</t>
  </si>
  <si>
    <t>nicholas.perkins@ourbusiness.biz</t>
  </si>
  <si>
    <t>joe.cook@ourbusiness.biz</t>
  </si>
  <si>
    <t>michael.george@ourbusiness.biz</t>
  </si>
  <si>
    <t>theresa.brown@ourbusiness.biz</t>
  </si>
  <si>
    <t>russell.carr@ourbusiness.biz</t>
  </si>
  <si>
    <t>benjamin.haddad@ourbusiness.biz</t>
  </si>
  <si>
    <t>stephen.barnes@ourbusiness.biz</t>
  </si>
  <si>
    <t>diane.patterson@ourbusiness.biz</t>
  </si>
  <si>
    <t>kavita.pena@ourbusiness.biz</t>
  </si>
  <si>
    <t>fatima.medina@ourbusiness.biz</t>
  </si>
  <si>
    <t>Palmer</t>
  </si>
  <si>
    <t>karen.palmer@ourbusiness.biz</t>
  </si>
  <si>
    <t>michael.cunningham@ourbusiness.biz</t>
  </si>
  <si>
    <t>douglas.mcdonald@ourbusiness.biz</t>
  </si>
  <si>
    <t>martha.liu@ourbusiness.biz</t>
  </si>
  <si>
    <t>natalie.moreno@ourbusiness.biz</t>
  </si>
  <si>
    <t>judith.guerrero@ourbusiness.biz</t>
  </si>
  <si>
    <t>brandon.khan@ourbusiness.biz</t>
  </si>
  <si>
    <t>margaret.garza@ourbusiness.biz</t>
  </si>
  <si>
    <t>nancy.ward@ourbusiness.biz</t>
  </si>
  <si>
    <t>roy.rodriguez@ourbusiness.biz</t>
  </si>
  <si>
    <t>dennis.larson@ourbusiness.biz</t>
  </si>
  <si>
    <t>billy.vasquez@ourbusiness.biz</t>
  </si>
  <si>
    <t>Lisa</t>
  </si>
  <si>
    <t>lisa.matthews@ourbusiness.biz</t>
  </si>
  <si>
    <t>fatima.russell@ourbusiness.biz</t>
  </si>
  <si>
    <t>heather.petrov@ourbusiness.biz</t>
  </si>
  <si>
    <t>Juan</t>
  </si>
  <si>
    <t>juan.rivera@ourbusiness.biz</t>
  </si>
  <si>
    <t>christine.sharma@ourbusiness.biz</t>
  </si>
  <si>
    <t>debra.bennett@ourbusiness.biz</t>
  </si>
  <si>
    <t>elena.elliott@ourbusiness.biz</t>
  </si>
  <si>
    <t>jeffrey.berry@ourbusiness.biz</t>
  </si>
  <si>
    <t>victoria.kennedy@ourbusiness.biz</t>
  </si>
  <si>
    <t>latoya.bryant@ourbusiness.biz</t>
  </si>
  <si>
    <t>alice.walker@ourbusiness.biz</t>
  </si>
  <si>
    <t>tariq.ortiz@ourbusiness.biz</t>
  </si>
  <si>
    <t>donna.cooper@ourbusiness.biz</t>
  </si>
  <si>
    <t>dennis.valdez@ourbusiness.biz</t>
  </si>
  <si>
    <t>dennis.bradley@ourbusiness.biz</t>
  </si>
  <si>
    <t>abigail.contreras@ourbusiness.biz</t>
  </si>
  <si>
    <t>Stone</t>
  </si>
  <si>
    <t>christopher.stone@ourbusiness.biz</t>
  </si>
  <si>
    <t>carol.chavez@ourbusiness.biz</t>
  </si>
  <si>
    <t>Bobby</t>
  </si>
  <si>
    <t>bobby.nakamura@ourbusiness.biz</t>
  </si>
  <si>
    <t>peter.vazquez@ourbusiness.biz</t>
  </si>
  <si>
    <t>priya.hoffman@ourbusiness.biz</t>
  </si>
  <si>
    <t>judy.miller@ourbusiness.biz</t>
  </si>
  <si>
    <t>joe.ford@ourbusiness.biz</t>
  </si>
  <si>
    <t>lori.allen@ourbusiness.biz</t>
  </si>
  <si>
    <t>brittany.contreras@ourbusiness.biz</t>
  </si>
  <si>
    <t>katherine.estrada@ourbusiness.biz</t>
  </si>
  <si>
    <t>albert.gupta@ourbusiness.biz</t>
  </si>
  <si>
    <t>steven.henry@ourbusiness.biz</t>
  </si>
  <si>
    <t>joshua.berry@ourbusiness.biz</t>
  </si>
  <si>
    <t>kayla.davis@ourbusiness.biz</t>
  </si>
  <si>
    <t>Jackson</t>
  </si>
  <si>
    <t>janet.jackson@ourbusiness.biz</t>
  </si>
  <si>
    <t>alice.martin@ourbusiness.biz</t>
  </si>
  <si>
    <t>frances.young@ourbusiness.biz</t>
  </si>
  <si>
    <t>david.elliott@ourbusiness.biz</t>
  </si>
  <si>
    <t>maria.mitchell@ourbusiness.biz</t>
  </si>
  <si>
    <t>ahmed.howard@ourbusiness.biz</t>
  </si>
  <si>
    <t>albert.rodriguez@ourbusiness.biz</t>
  </si>
  <si>
    <t>Wood</t>
  </si>
  <si>
    <t>ananya.wood@ourbusiness.biz</t>
  </si>
  <si>
    <t>martha.haddad@ourbusiness.biz</t>
  </si>
  <si>
    <t>sofia.clark@ourbusiness.biz</t>
  </si>
  <si>
    <t>martha.simmons@ourbusiness.biz</t>
  </si>
  <si>
    <t>anthony.arnold@ourbusiness.biz</t>
  </si>
  <si>
    <t>Camila</t>
  </si>
  <si>
    <t>camila.ruiz@ourbusiness.biz</t>
  </si>
  <si>
    <t>diego.robertson@ourbusiness.biz</t>
  </si>
  <si>
    <t>jin.zhang@ourbusiness.biz</t>
  </si>
  <si>
    <t>Baker</t>
  </si>
  <si>
    <t>sarah.baker@ourbusiness.biz</t>
  </si>
  <si>
    <t>hyun.kennedy@ourbusiness.biz</t>
  </si>
  <si>
    <t>julie.mcdonald@ourbusiness.biz</t>
  </si>
  <si>
    <t>danielle.armstrong@ourbusiness.biz</t>
  </si>
  <si>
    <t>kathryn.dominguez@ourbusiness.biz</t>
  </si>
  <si>
    <t>deepa.wells@ourbusiness.biz</t>
  </si>
  <si>
    <t>shirley.morris@ourbusiness.biz</t>
  </si>
  <si>
    <t>martha.miller@ourbusiness.biz</t>
  </si>
  <si>
    <t>amy.olson@ourbusiness.biz</t>
  </si>
  <si>
    <t>brandon.bryant@ourbusiness.biz</t>
  </si>
  <si>
    <t>hannah.griffin@ourbusiness.biz</t>
  </si>
  <si>
    <t>russell.simpson@ourbusiness.biz</t>
  </si>
  <si>
    <t>carol.reynolds@ourbusiness.biz</t>
  </si>
  <si>
    <t>albert.hassan@ourbusiness.biz</t>
  </si>
  <si>
    <t>Fernandez</t>
  </si>
  <si>
    <t>tomas.fernandez@ourbusiness.biz</t>
  </si>
  <si>
    <t>natalie.kennedy@ourbusiness.biz</t>
  </si>
  <si>
    <t>gloria.smith@ourbusiness.biz</t>
  </si>
  <si>
    <t>michael.ruiz@ourbusiness.biz</t>
  </si>
  <si>
    <t>russell.hassan@ourbusiness.biz</t>
  </si>
  <si>
    <t>jose.stephens@ourbusiness.biz</t>
  </si>
  <si>
    <t>timothy.lee@ourbusiness.biz</t>
  </si>
  <si>
    <t>justin.delgado@ourbusiness.biz</t>
  </si>
  <si>
    <t>christopher.powell@ourbusiness.biz</t>
  </si>
  <si>
    <t>amanda.soto@ourbusiness.biz</t>
  </si>
  <si>
    <t>fatima.perry@ourbusiness.biz</t>
  </si>
  <si>
    <t>evelyn.mitchell@ourbusiness.biz</t>
  </si>
  <si>
    <t>kenneth.owens@ourbusiness.biz</t>
  </si>
  <si>
    <t>andrew.evans@ourbusiness.biz</t>
  </si>
  <si>
    <t>russell.haddad@ourbusiness.biz</t>
  </si>
  <si>
    <t>laura.james@ourbusiness.biz</t>
  </si>
  <si>
    <t>gregory.sato@ourbusiness.biz</t>
  </si>
  <si>
    <t>david.simmons@ourbusiness.biz</t>
  </si>
  <si>
    <t>andre.dominguez@ourbusiness.biz</t>
  </si>
  <si>
    <t>marilyn.santiago@ourbusiness.biz</t>
  </si>
  <si>
    <t>ronald.morris@ourbusiness.biz</t>
  </si>
  <si>
    <t>lori.rogers@ourbusiness.biz</t>
  </si>
  <si>
    <t>wayne.santiago@ourbusiness.biz</t>
  </si>
  <si>
    <t>Hayes</t>
  </si>
  <si>
    <t>ralph.hayes@ourbusiness.biz</t>
  </si>
  <si>
    <t>marilyn.wood@ourbusiness.biz</t>
  </si>
  <si>
    <t>roger.pham@ourbusiness.biz</t>
  </si>
  <si>
    <t>jeffrey.olson@ourbusiness.biz</t>
  </si>
  <si>
    <t>larry.cruz@ourbusiness.biz</t>
  </si>
  <si>
    <t>susan.payne@ourbusiness.biz</t>
  </si>
  <si>
    <t>roger.green@ourbusiness.biz</t>
  </si>
  <si>
    <t>nathan.armstrong@ourbusiness.biz</t>
  </si>
  <si>
    <t>gary.burke@ourbusiness.biz</t>
  </si>
  <si>
    <t>cheryl.dunn@ourbusiness.biz</t>
  </si>
  <si>
    <t>teresa.morris@ourbusiness.biz</t>
  </si>
  <si>
    <t>billy.campbell@ourbusiness.biz</t>
  </si>
  <si>
    <t>Singh</t>
  </si>
  <si>
    <t>david.singh@ourbusiness.biz</t>
  </si>
  <si>
    <t>heather.lawrence@ourbusiness.biz</t>
  </si>
  <si>
    <t>joe.gray@ourbusiness.biz</t>
  </si>
  <si>
    <t>raj.cunningham@ourbusiness.biz</t>
  </si>
  <si>
    <t>sofia.zhang@ourbusiness.biz</t>
  </si>
  <si>
    <t>doris.garcia@ourbusiness.biz</t>
  </si>
  <si>
    <t>kayla.burns@ourbusiness.biz</t>
  </si>
  <si>
    <t>pamela.henderson@ourbusiness.biz</t>
  </si>
  <si>
    <t>diego.stone@ourbusiness.biz</t>
  </si>
  <si>
    <t>jeremy.larson@ourbusiness.biz</t>
  </si>
  <si>
    <t>carol.guzman@ourbusiness.biz</t>
  </si>
  <si>
    <t>marie.rose@ourbusiness.biz</t>
  </si>
  <si>
    <t>anna.nunez@ourbusiness.biz</t>
  </si>
  <si>
    <t>terry.phillips@ourbusiness.biz</t>
  </si>
  <si>
    <t>min.alexander@ourbusiness.biz</t>
  </si>
  <si>
    <t>jeremy.richardson@ourbusiness.biz</t>
  </si>
  <si>
    <t>peter.sandoval@ourbusiness.biz</t>
  </si>
  <si>
    <t>megan.tucker@ourbusiness.biz</t>
  </si>
  <si>
    <t>kayla.santiago@ourbusiness.biz</t>
  </si>
  <si>
    <t>jack.watkins@ourbusiness.biz</t>
  </si>
  <si>
    <t>debra.sandoval@ourbusiness.biz</t>
  </si>
  <si>
    <t>helen.ramos@ourbusiness.biz</t>
  </si>
  <si>
    <t>elena.singh@ourbusiness.biz</t>
  </si>
  <si>
    <t>frances.lawrence@ourbusiness.biz</t>
  </si>
  <si>
    <t>douglas.khan@ourbusiness.biz</t>
  </si>
  <si>
    <t>darius.mendez@ourbusiness.biz</t>
  </si>
  <si>
    <t>fatima.fox@ourbusiness.biz</t>
  </si>
  <si>
    <t>samantha.young@ourbusiness.biz</t>
  </si>
  <si>
    <t>peter.johnston@ourbusiness.biz</t>
  </si>
  <si>
    <t>betty.bell@ourbusiness.biz</t>
  </si>
  <si>
    <t>lawrence.rogers@ourbusiness.biz</t>
  </si>
  <si>
    <t>stephen.morris@ourbusiness.biz</t>
  </si>
  <si>
    <t>ashley.carpenter@ourbusiness.biz</t>
  </si>
  <si>
    <t>thomas.ali@ourbusiness.biz</t>
  </si>
  <si>
    <t>stephanie.carlson@ourbusiness.biz</t>
  </si>
  <si>
    <t>helen.fisher@ourbusiness.biz</t>
  </si>
  <si>
    <t>ann.harper@ourbusiness.biz</t>
  </si>
  <si>
    <t>jose.cox@ourbusiness.biz</t>
  </si>
  <si>
    <t>kelly.ray@ourbusiness.biz</t>
  </si>
  <si>
    <t>victoria.jimenez@ourbusiness.biz</t>
  </si>
  <si>
    <t>eric.singh@ourbusiness.biz</t>
  </si>
  <si>
    <t>christine.thomas@ourbusiness.biz</t>
  </si>
  <si>
    <t>elena.daniels@ourbusiness.biz</t>
  </si>
  <si>
    <t>cheryl.meyer@ourbusiness.biz</t>
  </si>
  <si>
    <t>mei.gordon@ourbusiness.biz</t>
  </si>
  <si>
    <t>andre.brown@ourbusiness.biz</t>
  </si>
  <si>
    <t>karen.bell@ourbusiness.biz</t>
  </si>
  <si>
    <t>aaron.fisher@ourbusiness.biz</t>
  </si>
  <si>
    <t>susan.porter@ourbusiness.biz</t>
  </si>
  <si>
    <t>jack.harrison@ourbusiness.biz</t>
  </si>
  <si>
    <t>terry.rivera@ourbusiness.biz</t>
  </si>
  <si>
    <t>jason.perkins@ourbusiness.biz</t>
  </si>
  <si>
    <t>henry.washington@ourbusiness.biz</t>
  </si>
  <si>
    <t>lucia.porter@ourbusiness.biz</t>
  </si>
  <si>
    <t>elizabeth.hall@ourbusiness.biz</t>
  </si>
  <si>
    <t>teresa.evans@ourbusiness.biz</t>
  </si>
  <si>
    <t>monica.weaver@ourbusiness.biz</t>
  </si>
  <si>
    <t>russell.moreno@ourbusiness.biz</t>
  </si>
  <si>
    <t>beverly.anderson@ourbusiness.biz</t>
  </si>
  <si>
    <t>amanda.munoz@ourbusiness.biz</t>
  </si>
  <si>
    <t>natalie.morgan@ourbusiness.biz</t>
  </si>
  <si>
    <t>peter.jung@ourbusiness.biz</t>
  </si>
  <si>
    <t>kyle.richards@ourbusiness.biz</t>
  </si>
  <si>
    <t>margaret.santiago@ourbusiness.biz</t>
  </si>
  <si>
    <t>susan.nelson@ourbusiness.biz</t>
  </si>
  <si>
    <t>hyun.carr@ourbusiness.biz</t>
  </si>
  <si>
    <t>edward.zhang@ourbusiness.biz</t>
  </si>
  <si>
    <t>marilyn.reed@ourbusiness.biz</t>
  </si>
  <si>
    <t>jacob.gray@ourbusiness.biz</t>
  </si>
  <si>
    <t>christine.coleman@ourbusiness.biz</t>
  </si>
  <si>
    <t>abigail.crawford@ourbusiness.biz</t>
  </si>
  <si>
    <t>tyler.elliott@ourbusiness.biz</t>
  </si>
  <si>
    <t>abigail.wagner@ourbusiness.biz</t>
  </si>
  <si>
    <t>kyle.evans@ourbusiness.biz</t>
  </si>
  <si>
    <t>amy.fisher@ourbusiness.biz</t>
  </si>
  <si>
    <t>richard.burke@ourbusiness.biz</t>
  </si>
  <si>
    <t>fatima.hamilton@ourbusiness.biz</t>
  </si>
  <si>
    <t>alice.gomez@ourbusiness.biz</t>
  </si>
  <si>
    <t>carl.tucker@ourbusiness.biz</t>
  </si>
  <si>
    <t>benjamin.wells@ourbusiness.biz</t>
  </si>
  <si>
    <t>cheryl.adeyemi@ourbusiness.biz</t>
  </si>
  <si>
    <t>kwame.freeman@ourbusiness.biz</t>
  </si>
  <si>
    <t>lawrence.cunningham@ourbusiness.biz</t>
  </si>
  <si>
    <t>shirley.peterson@ourbusiness.biz</t>
  </si>
  <si>
    <t>alexander.vargas@ourbusiness.biz</t>
  </si>
  <si>
    <t>mason.stephens@ourbusiness.biz</t>
  </si>
  <si>
    <t>alexis.holmes@ourbusiness.biz</t>
  </si>
  <si>
    <t>camila.pena@ourbusiness.biz</t>
  </si>
  <si>
    <t>gregory.webb@ourbusiness.biz</t>
  </si>
  <si>
    <t>tariq.scott@ourbusiness.biz</t>
  </si>
  <si>
    <t>timothy.henderson@ourbusiness.biz</t>
  </si>
  <si>
    <t>christian.reed@ourbusiness.biz</t>
  </si>
  <si>
    <t>darius.barnes@ourbusiness.biz</t>
  </si>
  <si>
    <t>madison.anderson@ourbusiness.biz</t>
  </si>
  <si>
    <t>hiroshi.yang@ourbusiness.biz</t>
  </si>
  <si>
    <t>debra.wallace@ourbusiness.biz</t>
  </si>
  <si>
    <t>scott.silva@ourbusiness.biz</t>
  </si>
  <si>
    <t>patricia.woods@ourbusiness.biz</t>
  </si>
  <si>
    <t>peter.carter@ourbusiness.biz</t>
  </si>
  <si>
    <t>diane.black@ourbusiness.biz</t>
  </si>
  <si>
    <t>ronald.hayes@ourbusiness.biz</t>
  </si>
  <si>
    <t>katherine.king@ourbusiness.biz</t>
  </si>
  <si>
    <t>dennis.mcdonald@ourbusiness.biz</t>
  </si>
  <si>
    <t>juan.hayes@ourbusiness.biz</t>
  </si>
  <si>
    <t>noah.pham@ourbusiness.biz</t>
  </si>
  <si>
    <t>natalie.khan@ourbusiness.biz</t>
  </si>
  <si>
    <t>brenda.lee@ourbusiness.biz</t>
  </si>
  <si>
    <t>edward.cooper@ourbusiness.biz</t>
  </si>
  <si>
    <t>raj.hawkins@ourbusiness.biz</t>
  </si>
  <si>
    <t>danielle.weaver@ourbusiness.biz</t>
  </si>
  <si>
    <t>bryan.tran@ourbusiness.biz</t>
  </si>
  <si>
    <t>jack.herrera@ourbusiness.biz</t>
  </si>
  <si>
    <t>judy.hall@ourbusiness.biz</t>
  </si>
  <si>
    <t>roger.nguyen@ourbusiness.biz</t>
  </si>
  <si>
    <t>raymond.wheeler@ourbusiness.biz</t>
  </si>
  <si>
    <t>denise.snyder@ourbusiness.biz</t>
  </si>
  <si>
    <t>jesse.grant@ourbusiness.biz</t>
  </si>
  <si>
    <t>elijah.arnold@ourbusiness.biz</t>
  </si>
  <si>
    <t>grace.brooks@ourbusiness.biz</t>
  </si>
  <si>
    <t>sharon.davis@ourbusiness.biz</t>
  </si>
  <si>
    <t>diana.long@ourbusiness.biz</t>
  </si>
  <si>
    <t>Jonathan</t>
  </si>
  <si>
    <t>jonathan.valdez@ourbusiness.biz</t>
  </si>
  <si>
    <t>michelle.taylor@ourbusiness.biz</t>
  </si>
  <si>
    <t>ahmed.maldonado@ourbusiness.biz</t>
  </si>
  <si>
    <t>zachary.diaz@ourbusiness.biz</t>
  </si>
  <si>
    <t>steven.warren@ourbusiness.biz</t>
  </si>
  <si>
    <t>thomas.wheeler@ourbusiness.biz</t>
  </si>
  <si>
    <t>jean.ortega@ourbusiness.biz</t>
  </si>
  <si>
    <t>brittany.white@ourbusiness.biz</t>
  </si>
  <si>
    <t>nicholas.smith@ourbusiness.biz</t>
  </si>
  <si>
    <t>samantha.evans@ourbusiness.biz</t>
  </si>
  <si>
    <t>ahmed.johnston@ourbusiness.biz</t>
  </si>
  <si>
    <t>grace.thomas@ourbusiness.biz</t>
  </si>
  <si>
    <t>nathan.jacobs@ourbusiness.biz</t>
  </si>
  <si>
    <t>megan.suzuki@ourbusiness.biz</t>
  </si>
  <si>
    <t>stephanie.holmes@ourbusiness.biz</t>
  </si>
  <si>
    <t>ronald.collins@ourbusiness.biz</t>
  </si>
  <si>
    <t>andrea.price@ourbusiness.biz</t>
  </si>
  <si>
    <t>miguel.ortega@ourbusiness.biz</t>
  </si>
  <si>
    <t>ethan.castro@ourbusiness.biz</t>
  </si>
  <si>
    <t>hyun.lawson@ourbusiness.biz</t>
  </si>
  <si>
    <t>maria.jordan@ourbusiness.biz</t>
  </si>
  <si>
    <t>lisa.harper@ourbusiness.biz</t>
  </si>
  <si>
    <t>Kevin</t>
  </si>
  <si>
    <t>kevin.watson@ourbusiness.biz</t>
  </si>
  <si>
    <t>carolyn.fisher@ourbusiness.biz</t>
  </si>
  <si>
    <t>teresa.yang@ourbusiness.biz</t>
  </si>
  <si>
    <t>frances.castro@ourbusiness.biz</t>
  </si>
  <si>
    <t>margaret.jimenez@ourbusiness.biz</t>
  </si>
  <si>
    <t>adam.porter@ourbusiness.biz</t>
  </si>
  <si>
    <t>steven.perkins@ourbusiness.biz</t>
  </si>
  <si>
    <t>lori.stephens@ourbusiness.biz</t>
  </si>
  <si>
    <t>jose.reed@ourbusiness.biz</t>
  </si>
  <si>
    <t>larry.andrews@ourbusiness.biz</t>
  </si>
  <si>
    <t>ahmed.yang@ourbusiness.biz</t>
  </si>
  <si>
    <t>theresa.reed@ourbusiness.biz</t>
  </si>
  <si>
    <t>bobby.shaw@ourbusiness.biz</t>
  </si>
  <si>
    <t>sandra.reed@ourbusiness.biz</t>
  </si>
  <si>
    <t>margaret.smith@ourbusiness.biz</t>
  </si>
  <si>
    <t>debra.lewis@ourbusiness.biz</t>
  </si>
  <si>
    <t>mary.castro@ourbusiness.biz</t>
  </si>
  <si>
    <t>jacqueline.mcdonald@ourbusiness.biz</t>
  </si>
  <si>
    <t>hannah.chen@ourbusiness.biz</t>
  </si>
  <si>
    <t>dylan.hall@ourbusiness.biz</t>
  </si>
  <si>
    <t>ethan.young@ourbusiness.biz</t>
  </si>
  <si>
    <t>ralph.simmons@ourbusiness.biz</t>
  </si>
  <si>
    <t>edward.snyder@ourbusiness.biz</t>
  </si>
  <si>
    <t>kayla.castillo@ourbusiness.biz</t>
  </si>
  <si>
    <t>kelly.armstrong@ourbusiness.biz</t>
  </si>
  <si>
    <t>bruce.russell@ourbusiness.biz</t>
  </si>
  <si>
    <t>ivan.petrov@ourbusiness.biz</t>
  </si>
  <si>
    <t>patrick.snyder@ourbusiness.biz</t>
  </si>
  <si>
    <t>deepa.guzman@ourbusiness.biz</t>
  </si>
  <si>
    <t>sara.kowalski@ourbusiness.biz</t>
  </si>
  <si>
    <t>michael.gupta@ourbusiness.biz</t>
  </si>
  <si>
    <t>laura.perez@ourbusiness.biz</t>
  </si>
  <si>
    <t>walter.choi@ourbusiness.biz</t>
  </si>
  <si>
    <t>Rice</t>
  </si>
  <si>
    <t>william.rice@ourbusiness.biz</t>
  </si>
  <si>
    <t>hannah.edwards@ourbusiness.biz</t>
  </si>
  <si>
    <t>frances.mills@ourbusiness.biz</t>
  </si>
  <si>
    <t>janice.johnson@ourbusiness.biz</t>
  </si>
  <si>
    <t>pamela.ortega@ourbusiness.biz</t>
  </si>
  <si>
    <t>scott.thomas@ourbusiness.biz</t>
  </si>
  <si>
    <t>aisha.freeman@ourbusiness.biz</t>
  </si>
  <si>
    <t>amy.long@ourbusiness.biz</t>
  </si>
  <si>
    <t>danielle.white@ourbusiness.biz</t>
  </si>
  <si>
    <t>juan.shah@ourbusiness.biz</t>
  </si>
  <si>
    <t>thomas.burns@ourbusiness.biz</t>
  </si>
  <si>
    <t>frank.jenkins@ourbusiness.biz</t>
  </si>
  <si>
    <t>sophia.johnson@ourbusiness.biz</t>
  </si>
  <si>
    <t>brittany.hill@ourbusiness.biz</t>
  </si>
  <si>
    <t>kwame.arnold@ourbusiness.biz</t>
  </si>
  <si>
    <t>Joyce</t>
  </si>
  <si>
    <t>Myers</t>
  </si>
  <si>
    <t>joyce.myers@ourbusiness.biz</t>
  </si>
  <si>
    <t>judith.freeman@ourbusiness.biz</t>
  </si>
  <si>
    <t>willie.snyder@ourbusiness.biz</t>
  </si>
  <si>
    <t>martha.torres@ourbusiness.biz</t>
  </si>
  <si>
    <t>wayne.jenkins@ourbusiness.biz</t>
  </si>
  <si>
    <t>ivan.weaver@ourbusiness.biz</t>
  </si>
  <si>
    <t>james.vazquez@ourbusiness.biz</t>
  </si>
  <si>
    <t>rebecca.rogers@ourbusiness.biz</t>
  </si>
  <si>
    <t>vincent.henderson@ourbusiness.biz</t>
  </si>
  <si>
    <t>sandra.phillips@ourbusiness.biz</t>
  </si>
  <si>
    <t>sophia.guzman@ourbusiness.biz</t>
  </si>
  <si>
    <t>Brian</t>
  </si>
  <si>
    <t>brian.palmer@ourbusiness.biz</t>
  </si>
  <si>
    <t>Kim</t>
  </si>
  <si>
    <t>danielle.kim@ourbusiness.biz</t>
  </si>
  <si>
    <t>sean.tanaka@ourbusiness.biz</t>
  </si>
  <si>
    <t>jean.aguilar@ourbusiness.biz</t>
  </si>
  <si>
    <t>derek.patterson@ourbusiness.biz</t>
  </si>
  <si>
    <t>kavita.andrews@ourbusiness.biz</t>
  </si>
  <si>
    <t>edward.martin@ourbusiness.biz</t>
  </si>
  <si>
    <t>natalie.robinson@ourbusiness.biz</t>
  </si>
  <si>
    <t>nikhil.webb@ourbusiness.biz</t>
  </si>
  <si>
    <t>frances.bennett@ourbusiness.biz</t>
  </si>
  <si>
    <t>tariq.silva@ourbusiness.biz</t>
  </si>
  <si>
    <t>marcus.armstrong@ourbusiness.biz</t>
  </si>
  <si>
    <t>derek.barnes@ourbusiness.biz</t>
  </si>
  <si>
    <t>priya.hughes@ourbusiness.biz</t>
  </si>
  <si>
    <t>stephen.freeman@ourbusiness.biz</t>
  </si>
  <si>
    <t>sophia.riley@ourbusiness.biz</t>
  </si>
  <si>
    <t>brenda.ray@ourbusiness.biz</t>
  </si>
  <si>
    <t>Butler</t>
  </si>
  <si>
    <t>julia.butler@ourbusiness.biz</t>
  </si>
  <si>
    <t>ana.hassan@ourbusiness.biz</t>
  </si>
  <si>
    <t>jesse.ellis@ourbusiness.biz</t>
  </si>
  <si>
    <t>kathleen.castro@ourbusiness.biz</t>
  </si>
  <si>
    <t>lisa.hunt@ourbusiness.biz</t>
  </si>
  <si>
    <t>lucia.wang@ourbusiness.biz</t>
  </si>
  <si>
    <t>isabella.alvarado@ourbusiness.biz</t>
  </si>
  <si>
    <t>frank.suzuki@ourbusiness.biz</t>
  </si>
  <si>
    <t>dmitri.ward@ourbusiness.biz</t>
  </si>
  <si>
    <t>harold.allen@ourbusiness.biz</t>
  </si>
  <si>
    <t>jack.wagner@ourbusiness.biz</t>
  </si>
  <si>
    <t>joan.wilson@ourbusiness.biz</t>
  </si>
  <si>
    <t>jason.kennedy@ourbusiness.biz</t>
  </si>
  <si>
    <t>jose.evans@ourbusiness.biz</t>
  </si>
  <si>
    <t>tanya.gupta@ourbusiness.biz</t>
  </si>
  <si>
    <t>ahmed.suzuki@ourbusiness.biz</t>
  </si>
  <si>
    <t>jin.harper@ourbusiness.biz</t>
  </si>
  <si>
    <t>olga.peters@ourbusiness.biz</t>
  </si>
  <si>
    <t>dennis.castillo@ourbusiness.biz</t>
  </si>
  <si>
    <t>eric.dixon@ourbusiness.biz</t>
  </si>
  <si>
    <t>jeremy.griffin@ourbusiness.biz</t>
  </si>
  <si>
    <t>Deborah</t>
  </si>
  <si>
    <t>deborah.turner@ourbusiness.biz</t>
  </si>
  <si>
    <t>ralph.valdez@ourbusiness.biz</t>
  </si>
  <si>
    <t>william.palmer@ourbusiness.biz</t>
  </si>
  <si>
    <t>Moore</t>
  </si>
  <si>
    <t>henry.moore@ourbusiness.biz</t>
  </si>
  <si>
    <t>sarah.scott@ourbusiness.biz</t>
  </si>
  <si>
    <t>angela.martin@ourbusiness.biz</t>
  </si>
  <si>
    <t>benjamin.woods@ourbusiness.biz</t>
  </si>
  <si>
    <t>richard.moreno@ourbusiness.biz</t>
  </si>
  <si>
    <t>kyle.ellis@ourbusiness.biz</t>
  </si>
  <si>
    <t>brittany.dominguez@ourbusiness.biz</t>
  </si>
  <si>
    <t>nikhil.jones@ourbusiness.biz</t>
  </si>
  <si>
    <t>terry.edwards@ourbusiness.biz</t>
  </si>
  <si>
    <t>emily.elliott@ourbusiness.biz</t>
  </si>
  <si>
    <t>margaret.patterson@ourbusiness.biz</t>
  </si>
  <si>
    <t>kavita.nakamura@ourbusiness.biz</t>
  </si>
  <si>
    <t>joan.guerrero@ourbusiness.biz</t>
  </si>
  <si>
    <t>john.brown@ourbusiness.biz</t>
  </si>
  <si>
    <t>kathleen.ramos@ourbusiness.biz</t>
  </si>
  <si>
    <t>brian.white@ourbusiness.biz</t>
  </si>
  <si>
    <t>jason.parker@ourbusiness.biz</t>
  </si>
  <si>
    <t>janice.carr@ourbusiness.biz</t>
  </si>
  <si>
    <t>paul.gordon@ourbusiness.biz</t>
  </si>
  <si>
    <t>gloria.webb@ourbusiness.biz</t>
  </si>
  <si>
    <t>monica.mendez@ourbusiness.biz</t>
  </si>
  <si>
    <t>joan.collins@ourbusiness.biz</t>
  </si>
  <si>
    <t>larry.harrison@ourbusiness.biz</t>
  </si>
  <si>
    <t>valeria.okafor@ourbusiness.biz</t>
  </si>
  <si>
    <t>monica.mills@ourbusiness.biz</t>
  </si>
  <si>
    <t>kathleen.yang@ourbusiness.biz</t>
  </si>
  <si>
    <t>russell.diaz@ourbusiness.biz</t>
  </si>
  <si>
    <t>christopher.rivera@ourbusiness.biz</t>
  </si>
  <si>
    <t>arjun.collins@ourbusiness.biz</t>
  </si>
  <si>
    <t>robert.guzman@ourbusiness.biz</t>
  </si>
  <si>
    <t>albert.cole@ourbusiness.biz</t>
  </si>
  <si>
    <t>timothy.stevens@ourbusiness.biz</t>
  </si>
  <si>
    <t>sarah.palmer@ourbusiness.biz</t>
  </si>
  <si>
    <t>lucia.thompson@ourbusiness.biz</t>
  </si>
  <si>
    <t>rachel.morrison@ourbusiness.biz</t>
  </si>
  <si>
    <t>fatima.hicks@ourbusiness.biz</t>
  </si>
  <si>
    <t>rachel.adeyemi@ourbusiness.biz</t>
  </si>
  <si>
    <t>melissa.hamilton@ourbusiness.biz</t>
  </si>
  <si>
    <t>elijah.moore@ourbusiness.biz</t>
  </si>
  <si>
    <t>ryan.shah@ourbusiness.biz</t>
  </si>
  <si>
    <t>raj.adams@ourbusiness.biz</t>
  </si>
  <si>
    <t>olga.wright@ourbusiness.biz</t>
  </si>
  <si>
    <t>rachel.gupta@ourbusiness.biz</t>
  </si>
  <si>
    <t>patrick.gutierrez@ourbusiness.biz</t>
  </si>
  <si>
    <t>sara.munoz@ourbusiness.biz</t>
  </si>
  <si>
    <t>margaret.hall@ourbusiness.biz</t>
  </si>
  <si>
    <t>marcus.gardner@ourbusiness.biz</t>
  </si>
  <si>
    <t>nathan.walker@ourbusiness.biz</t>
  </si>
  <si>
    <t>terry.hernandez@ourbusiness.biz</t>
  </si>
  <si>
    <t>noah.khan@ourbusiness.biz</t>
  </si>
  <si>
    <t>lisa.lawson@ourbusiness.biz</t>
  </si>
  <si>
    <t>arthur.franklin@ourbusiness.biz</t>
  </si>
  <si>
    <t>derek.simmons@ourbusiness.biz</t>
  </si>
  <si>
    <t>christian.webb@ourbusiness.biz</t>
  </si>
  <si>
    <t>scott.boyd@ourbusiness.biz</t>
  </si>
  <si>
    <t>jack.price@ourbusiness.biz</t>
  </si>
  <si>
    <t>debra.chavez@ourbusiness.biz</t>
  </si>
  <si>
    <t>elizabeth.henry@ourbusiness.biz</t>
  </si>
  <si>
    <t>tanya.choi@ourbusiness.biz</t>
  </si>
  <si>
    <t>deepa.jones@ourbusiness.biz</t>
  </si>
  <si>
    <t>nicholas.henry@ourbusiness.biz</t>
  </si>
  <si>
    <t>fatima.murray@ourbusiness.biz</t>
  </si>
  <si>
    <t>carolyn.elliott@ourbusiness.biz</t>
  </si>
  <si>
    <t>randy.ramos@ourbusiness.biz</t>
  </si>
  <si>
    <t>emma.martin@ourbusiness.biz</t>
  </si>
  <si>
    <t>janice.daniels@ourbusiness.biz</t>
  </si>
  <si>
    <t>martha.santiago@ourbusiness.biz</t>
  </si>
  <si>
    <t>ahmed.ramos@ourbusiness.biz</t>
  </si>
  <si>
    <t>peter.cook@ourbusiness.biz</t>
  </si>
  <si>
    <t>emily.castro@ourbusiness.biz</t>
  </si>
  <si>
    <t>doris.hall@ourbusiness.biz</t>
  </si>
  <si>
    <t>miguel.ivanov@ourbusiness.biz</t>
  </si>
  <si>
    <t>diane.mills@ourbusiness.biz</t>
  </si>
  <si>
    <t>stephen.sharma@ourbusiness.biz</t>
  </si>
  <si>
    <t>camila.watson@ourbusiness.biz</t>
  </si>
  <si>
    <t>samantha.lawson@ourbusiness.biz</t>
  </si>
  <si>
    <t>kwame.vasquez@ourbusiness.biz</t>
  </si>
  <si>
    <t>billy.wang@ourbusiness.biz</t>
  </si>
  <si>
    <t>olivia.riley@ourbusiness.biz</t>
  </si>
  <si>
    <t>david.morgan@ourbusiness.biz</t>
  </si>
  <si>
    <t>jerry.daniels@ourbusiness.biz</t>
  </si>
  <si>
    <t>linda.maldonado@ourbusiness.biz</t>
  </si>
  <si>
    <t>andrea.bennett@ourbusiness.biz</t>
  </si>
  <si>
    <t>diana.pierce@ourbusiness.biz</t>
  </si>
  <si>
    <t>Roberts</t>
  </si>
  <si>
    <t>amanda.roberts@ourbusiness.biz</t>
  </si>
  <si>
    <t>samantha.cole@ourbusiness.biz</t>
  </si>
  <si>
    <t>sophia.lewis@ourbusiness.biz</t>
  </si>
  <si>
    <t>teresa.martinez@ourbusiness.biz</t>
  </si>
  <si>
    <t>russell.sanders@ourbusiness.biz</t>
  </si>
  <si>
    <t>jacqueline.pena@ourbusiness.biz</t>
  </si>
  <si>
    <t>juan.lawson@ourbusiness.biz</t>
  </si>
  <si>
    <t>richard.park@ourbusiness.biz</t>
  </si>
  <si>
    <t>gloria.ross@ourbusiness.biz</t>
  </si>
  <si>
    <t>alexis.fox@ourbusiness.biz</t>
  </si>
  <si>
    <t>sean.ellis@ourbusiness.biz</t>
  </si>
  <si>
    <t>janice.ivanov@ourbusiness.biz</t>
  </si>
  <si>
    <t>judith.garza@ourbusiness.biz</t>
  </si>
  <si>
    <t>diego.guerrero@ourbusiness.biz</t>
  </si>
  <si>
    <t>kwame.morris@ourbusiness.biz</t>
  </si>
  <si>
    <t>christian.adams@ourbusiness.biz</t>
  </si>
  <si>
    <t>jin.davis@ourbusiness.biz</t>
  </si>
  <si>
    <t>Santos</t>
  </si>
  <si>
    <t>eric.santos@ourbusiness.biz</t>
  </si>
  <si>
    <t>dennis.adams@ourbusiness.biz</t>
  </si>
  <si>
    <t>latoya.munoz@ourbusiness.biz</t>
  </si>
  <si>
    <t>thomas.silva@ourbusiness.biz</t>
  </si>
  <si>
    <t>ananya.ellis@ourbusiness.biz</t>
  </si>
  <si>
    <t>amy.morris@ourbusiness.biz</t>
  </si>
  <si>
    <t>sanjay.mills@ourbusiness.biz</t>
  </si>
  <si>
    <t>denise.johnston@ourbusiness.biz</t>
  </si>
  <si>
    <t>hyun.richardson@ourbusiness.biz</t>
  </si>
  <si>
    <t>charlotte.roberts@ourbusiness.biz</t>
  </si>
  <si>
    <t>theresa.russell@ourbusiness.biz</t>
  </si>
  <si>
    <t>min.jones@ourbusiness.biz</t>
  </si>
  <si>
    <t>elijah.bailey@ourbusiness.biz</t>
  </si>
  <si>
    <t>joseph.foster@ourbusiness.biz</t>
  </si>
  <si>
    <t>frank.riley@ourbusiness.biz</t>
  </si>
  <si>
    <t>david.sharma@ourbusiness.biz</t>
  </si>
  <si>
    <t>barbara.edwards@ourbusiness.biz</t>
  </si>
  <si>
    <t>carol.evans@ourbusiness.biz</t>
  </si>
  <si>
    <t>fatima.taylor@ourbusiness.biz</t>
  </si>
  <si>
    <t>hiroshi.lopez@ourbusiness.biz</t>
  </si>
  <si>
    <t>barbara.hassan@ourbusiness.biz</t>
  </si>
  <si>
    <t>logan.parker@ourbusiness.biz</t>
  </si>
  <si>
    <t>paul.ali@ourbusiness.biz</t>
  </si>
  <si>
    <t>sharon.castillo@ourbusiness.biz</t>
  </si>
  <si>
    <t>joyce.johnson@ourbusiness.biz</t>
  </si>
  <si>
    <t>marilyn.hart@ourbusiness.biz</t>
  </si>
  <si>
    <t>mei.sato@ourbusiness.biz</t>
  </si>
  <si>
    <t>christine.mendez@ourbusiness.biz</t>
  </si>
  <si>
    <t>anna.kelly@ourbusiness.biz</t>
  </si>
  <si>
    <t>lauren.allen@ourbusiness.biz</t>
  </si>
  <si>
    <t>richard.chen@ourbusiness.biz</t>
  </si>
  <si>
    <t>lisa.pierce@ourbusiness.biz</t>
  </si>
  <si>
    <t>janet.warren@ourbusiness.biz</t>
  </si>
  <si>
    <t>hyun.bradley@ourbusiness.biz</t>
  </si>
  <si>
    <t>isabella.liu@ourbusiness.biz</t>
  </si>
  <si>
    <t>janice.harper@ourbusiness.biz</t>
  </si>
  <si>
    <t>sofia.johnson@ourbusiness.biz</t>
  </si>
  <si>
    <t>beverly.liu@ourbusiness.biz</t>
  </si>
  <si>
    <t>kevin.porter@ourbusiness.biz</t>
  </si>
  <si>
    <t>yuki.walker@ourbusiness.biz</t>
  </si>
  <si>
    <t>grace.scott@ourbusiness.biz</t>
  </si>
  <si>
    <t>hiroshi.foster@ourbusiness.biz</t>
  </si>
  <si>
    <t>tariq.pham@ourbusiness.biz</t>
  </si>
  <si>
    <t>joyce.chavez@ourbusiness.biz</t>
  </si>
  <si>
    <t>mark.henry@ourbusiness.biz</t>
  </si>
  <si>
    <t>megan.pham@ourbusiness.biz</t>
  </si>
  <si>
    <t>katherine.gupta@ourbusiness.biz</t>
  </si>
  <si>
    <t>grace.valdez@ourbusiness.biz</t>
  </si>
  <si>
    <t>jessica.lane@ourbusiness.biz</t>
  </si>
  <si>
    <t>michelle.castro@ourbusiness.biz</t>
  </si>
  <si>
    <t>sophia.webb@ourbusiness.biz</t>
  </si>
  <si>
    <t>elena.wright@ourbusiness.biz</t>
  </si>
  <si>
    <t>andrea.spencer@ourbusiness.biz</t>
  </si>
  <si>
    <t>roger.cruz@ourbusiness.biz</t>
  </si>
  <si>
    <t>karen.wallace@ourbusiness.biz</t>
  </si>
  <si>
    <t>diane.sanchez@ourbusiness.biz</t>
  </si>
  <si>
    <t>zachary.russell@ourbusiness.biz</t>
  </si>
  <si>
    <t>Forklift Operator</t>
  </si>
  <si>
    <t>jean.sanders@ourbusiness.biz</t>
  </si>
  <si>
    <t>Warehouse Associate</t>
  </si>
  <si>
    <t>wayne.vasquez@ourbusiness.biz</t>
  </si>
  <si>
    <t>Director of Shipping &amp; Logistics</t>
  </si>
  <si>
    <t>grace.hunt@ourbusiness.biz</t>
  </si>
  <si>
    <t>larry.fernandez@ourbusiness.biz</t>
  </si>
  <si>
    <t>joan.castro@ourbusiness.biz</t>
  </si>
  <si>
    <t>Memphis</t>
  </si>
  <si>
    <t>Shipping Coordinator</t>
  </si>
  <si>
    <t>adam.wood@ourbusiness.biz</t>
  </si>
  <si>
    <t>marie.dunn@ourbusiness.biz</t>
  </si>
  <si>
    <t>danielle.gibson@ourbusiness.biz</t>
  </si>
  <si>
    <t>abigail.warren@ourbusiness.biz</t>
  </si>
  <si>
    <t>alan.carlson@ourbusiness.biz</t>
  </si>
  <si>
    <t>stephanie.cole@ourbusiness.biz</t>
  </si>
  <si>
    <t>scott.haddad@ourbusiness.biz</t>
  </si>
  <si>
    <t>christopher.robertson@ourbusiness.biz</t>
  </si>
  <si>
    <t>katherine.franklin@ourbusiness.biz</t>
  </si>
  <si>
    <t>alexander.foster@ourbusiness.biz</t>
  </si>
  <si>
    <t>megan.george@ourbusiness.biz</t>
  </si>
  <si>
    <t>ananya.davis@ourbusiness.biz</t>
  </si>
  <si>
    <t>helen.gordon@ourbusiness.biz</t>
  </si>
  <si>
    <t>beverly.moreno@ourbusiness.biz</t>
  </si>
  <si>
    <t>terry.cox@ourbusiness.biz</t>
  </si>
  <si>
    <t>lawrence.crawford@ourbusiness.biz</t>
  </si>
  <si>
    <t>judith.payne@ourbusiness.biz</t>
  </si>
  <si>
    <t>brittany.franklin@ourbusiness.biz</t>
  </si>
  <si>
    <t>ann.moreno@ourbusiness.biz</t>
  </si>
  <si>
    <t>janice.johnston@ourbusiness.biz</t>
  </si>
  <si>
    <t>Logistics Manager</t>
  </si>
  <si>
    <t>patrick.larson@ourbusiness.biz</t>
  </si>
  <si>
    <t>kevin.burns@ourbusiness.biz</t>
  </si>
  <si>
    <t>kimberly.rivera@ourbusiness.biz</t>
  </si>
  <si>
    <t>Warehouse Supervisor</t>
  </si>
  <si>
    <t>amara.phillips@ourbusiness.biz</t>
  </si>
  <si>
    <t>bobby.richardson@ourbusiness.biz</t>
  </si>
  <si>
    <t>andre.ortega@ourbusiness.biz</t>
  </si>
  <si>
    <t>samuel.jimenez@ourbusiness.biz</t>
  </si>
  <si>
    <t>aaron.sharma@ourbusiness.biz</t>
  </si>
  <si>
    <t>arjun.vargas@ourbusiness.biz</t>
  </si>
  <si>
    <t>ahmed.scott@ourbusiness.biz</t>
  </si>
  <si>
    <t>teresa.pham@ourbusiness.biz</t>
  </si>
  <si>
    <t>scott.phillips@ourbusiness.biz</t>
  </si>
  <si>
    <t>marcus.lopez@ourbusiness.biz</t>
  </si>
  <si>
    <t>samantha.greene@ourbusiness.biz</t>
  </si>
  <si>
    <t>Logistics Analyst</t>
  </si>
  <si>
    <t>raymond.kowalski@ourbusiness.biz</t>
  </si>
  <si>
    <t>margaret.evans@ourbusiness.biz</t>
  </si>
  <si>
    <t>steven.campbell@ourbusiness.biz</t>
  </si>
  <si>
    <t>jason.white@ourbusiness.biz</t>
  </si>
  <si>
    <t>bryan.munoz@ourbusiness.biz</t>
  </si>
  <si>
    <t>henry.harper@ourbusiness.biz</t>
  </si>
  <si>
    <t>grace.maldonado@ourbusiness.biz</t>
  </si>
  <si>
    <t>russell.nelson@ourbusiness.biz</t>
  </si>
  <si>
    <t>stephen.george@ourbusiness.biz</t>
  </si>
  <si>
    <t>kevin.stevens@ourbusiness.biz</t>
  </si>
  <si>
    <t>doris.wilson@ourbusiness.biz</t>
  </si>
  <si>
    <t>james.richardson@ourbusiness.biz</t>
  </si>
  <si>
    <t>cynthia.wagner@ourbusiness.biz</t>
  </si>
  <si>
    <t>min.dixon@ourbusiness.biz</t>
  </si>
  <si>
    <t>kyle.yang@ourbusiness.biz</t>
  </si>
  <si>
    <t>diana.meyer@ourbusiness.biz</t>
  </si>
  <si>
    <t>isabella.hall@ourbusiness.biz</t>
  </si>
  <si>
    <t>donna.thomas@ourbusiness.biz</t>
  </si>
  <si>
    <t>scott.sanders@ourbusiness.biz</t>
  </si>
  <si>
    <t>ethan.patel@ourbusiness.biz</t>
  </si>
  <si>
    <t>valeria.meyer@ourbusiness.biz</t>
  </si>
  <si>
    <t>lawrence.vasquez@ourbusiness.biz</t>
  </si>
  <si>
    <t>miguel.guzman@ourbusiness.biz</t>
  </si>
  <si>
    <t>lori.brooks@ourbusiness.biz</t>
  </si>
  <si>
    <t>patrick.wells@ourbusiness.biz</t>
  </si>
  <si>
    <t>james.kim@ourbusiness.biz</t>
  </si>
  <si>
    <t>arthur.taylor@ourbusiness.biz</t>
  </si>
  <si>
    <t>samantha.delgado@ourbusiness.biz</t>
  </si>
  <si>
    <t>angela.guzman@ourbusiness.biz</t>
  </si>
  <si>
    <t>paul.carter@ourbusiness.biz</t>
  </si>
  <si>
    <t>roy.hart@ourbusiness.biz</t>
  </si>
  <si>
    <t>omar.james@ourbusiness.biz</t>
  </si>
  <si>
    <t>judith.cook@ourbusiness.biz</t>
  </si>
  <si>
    <t>raymond.martin@ourbusiness.biz</t>
  </si>
  <si>
    <t>joan.haddad@ourbusiness.biz</t>
  </si>
  <si>
    <t>noah.liu@ourbusiness.biz</t>
  </si>
  <si>
    <t>maria.grant@ourbusiness.biz</t>
  </si>
  <si>
    <t>christina.mason@ourbusiness.biz</t>
  </si>
  <si>
    <t>amber.richardson@ourbusiness.biz</t>
  </si>
  <si>
    <t>joe.parker@ourbusiness.biz</t>
  </si>
  <si>
    <t>jessica.carlson@ourbusiness.biz</t>
  </si>
  <si>
    <t>margaret.perkins@ourbusiness.biz</t>
  </si>
  <si>
    <t>arjun.ali@ourbusiness.biz</t>
  </si>
  <si>
    <t>janet.stevens@ourbusiness.biz</t>
  </si>
  <si>
    <t>henry.simpson@ourbusiness.biz</t>
  </si>
  <si>
    <t>wei.moore@ourbusiness.biz</t>
  </si>
  <si>
    <t>dmitri.stone@ourbusiness.biz</t>
  </si>
  <si>
    <t>daniel.woods@ourbusiness.biz</t>
  </si>
  <si>
    <t>alice.gonzalez@ourbusiness.biz</t>
  </si>
  <si>
    <t>ethan.foster@ourbusiness.biz</t>
  </si>
  <si>
    <t>anna.maldonado@ourbusiness.biz</t>
  </si>
  <si>
    <t>henry.robinson@ourbusiness.biz</t>
  </si>
  <si>
    <t>latoya.maldonado@ourbusiness.biz</t>
  </si>
  <si>
    <t>sarah.medina@ourbusiness.biz</t>
  </si>
  <si>
    <t>jonathan.carpenter@ourbusiness.biz</t>
  </si>
  <si>
    <t>daniel.diaz@ourbusiness.biz</t>
  </si>
  <si>
    <t>ann.cunningham@ourbusiness.biz</t>
  </si>
  <si>
    <t>victoria.carpenter@ourbusiness.biz</t>
  </si>
  <si>
    <t>lucia.woods@ourbusiness.biz</t>
  </si>
  <si>
    <t>diego.pham@ourbusiness.biz</t>
  </si>
  <si>
    <t>amara.chen@ourbusiness.biz</t>
  </si>
  <si>
    <t>david.brown@ourbusiness.biz</t>
  </si>
  <si>
    <t>sandra.morris@ourbusiness.biz</t>
  </si>
  <si>
    <t>mary.lane@ourbusiness.biz</t>
  </si>
  <si>
    <t>hannah.armstrong@ourbusiness.biz</t>
  </si>
  <si>
    <t>vincent.hawkins@ourbusiness.biz</t>
  </si>
  <si>
    <t>alexander.edwards@ourbusiness.biz</t>
  </si>
  <si>
    <t>walter.morris@ourbusiness.biz</t>
  </si>
  <si>
    <t>carlos.bradley@ourbusiness.biz</t>
  </si>
  <si>
    <t>diane.phillips@ourbusiness.biz</t>
  </si>
  <si>
    <t>ann.nakamura@ourbusiness.biz</t>
  </si>
  <si>
    <t>mark.sato@ourbusiness.biz</t>
  </si>
  <si>
    <t>ralph.robertson@ourbusiness.biz</t>
  </si>
  <si>
    <t>walter.nelson@ourbusiness.biz</t>
  </si>
  <si>
    <t>yuki.myers@ourbusiness.biz</t>
  </si>
  <si>
    <t>marilyn.pierce@ourbusiness.biz</t>
  </si>
  <si>
    <t>wei.graham@ourbusiness.biz</t>
  </si>
  <si>
    <t>amara.ramos@ourbusiness.biz</t>
  </si>
  <si>
    <t>jessica.robinson@ourbusiness.biz</t>
  </si>
  <si>
    <t>frank.perkins@ourbusiness.biz</t>
  </si>
  <si>
    <t>tanya.graham@ourbusiness.biz</t>
  </si>
  <si>
    <t>william.robinson@ourbusiness.biz</t>
  </si>
  <si>
    <t>henry.sharma@ourbusiness.biz</t>
  </si>
  <si>
    <t>sharon.perry@ourbusiness.biz</t>
  </si>
  <si>
    <t>ananya.barnes@ourbusiness.biz</t>
  </si>
  <si>
    <t>sean.wells@ourbusiness.biz</t>
  </si>
  <si>
    <t>megan.marshall@ourbusiness.biz</t>
  </si>
  <si>
    <t>melissa.andrews@ourbusiness.biz</t>
  </si>
  <si>
    <t>mason.boyd@ourbusiness.biz</t>
  </si>
  <si>
    <t>olivia.gray@ourbusiness.biz</t>
  </si>
  <si>
    <t>william.adams@ourbusiness.biz</t>
  </si>
  <si>
    <t>teresa.moreno@ourbusiness.biz</t>
  </si>
  <si>
    <t>samuel.morrison@ourbusiness.biz</t>
  </si>
  <si>
    <t>katherine.holmes@ourbusiness.biz</t>
  </si>
  <si>
    <t>elijah.vasquez@ourbusiness.biz</t>
  </si>
  <si>
    <t>rebecca.estrada@ourbusiness.biz</t>
  </si>
  <si>
    <t>walter.ford@ourbusiness.biz</t>
  </si>
  <si>
    <t>arjun.lopez@ourbusiness.biz</t>
  </si>
  <si>
    <t>anna.sato@ourbusiness.biz</t>
  </si>
  <si>
    <t>carolyn.castro@ourbusiness.biz</t>
  </si>
  <si>
    <t>russell.soto@ourbusiness.biz</t>
  </si>
  <si>
    <t>shirley.duncan@ourbusiness.biz</t>
  </si>
  <si>
    <t>adam.cook@ourbusiness.biz</t>
  </si>
  <si>
    <t>amber.watson@ourbusiness.biz</t>
  </si>
  <si>
    <t>megan.parker@ourbusiness.biz</t>
  </si>
  <si>
    <t>lisa.hicks@ourbusiness.biz</t>
  </si>
  <si>
    <t>george.pierce@ourbusiness.biz</t>
  </si>
  <si>
    <t>jack.olson@ourbusiness.biz</t>
  </si>
  <si>
    <t>VP of Sales</t>
  </si>
  <si>
    <t>brian.franklin@ourbusiness.biz</t>
  </si>
  <si>
    <t>Sales Development Representative</t>
  </si>
  <si>
    <t>joe.martinez@ourbusiness.biz</t>
  </si>
  <si>
    <t>Remote</t>
  </si>
  <si>
    <t>Account Executive</t>
  </si>
  <si>
    <t>adam.fisher@ourbusiness.biz</t>
  </si>
  <si>
    <t>Chicago</t>
  </si>
  <si>
    <t>Senior Account Executive</t>
  </si>
  <si>
    <t>joan.munoz@ourbusiness.biz</t>
  </si>
  <si>
    <t>julie.singh@ourbusiness.biz</t>
  </si>
  <si>
    <t>Inside Sales Associate</t>
  </si>
  <si>
    <t>shirley.boyd@ourbusiness.biz</t>
  </si>
  <si>
    <t>Atlanta</t>
  </si>
  <si>
    <t>charles.carpenter@ourbusiness.biz</t>
  </si>
  <si>
    <t>Dallas</t>
  </si>
  <si>
    <t>kayla.ortiz@ourbusiness.biz</t>
  </si>
  <si>
    <t>benjamin.henry@ourbusiness.biz</t>
  </si>
  <si>
    <t>Denver</t>
  </si>
  <si>
    <t>jennifer.sanchez@ourbusiness.biz</t>
  </si>
  <si>
    <t>wayne.walker@ourbusiness.biz</t>
  </si>
  <si>
    <t>melissa.knight@ourbusiness.biz</t>
  </si>
  <si>
    <t>carol.gomez@ourbusiness.biz</t>
  </si>
  <si>
    <t>Sales Operations Analyst</t>
  </si>
  <si>
    <t>edward.bell@ourbusiness.biz</t>
  </si>
  <si>
    <t>mark.soto@ourbusiness.biz</t>
  </si>
  <si>
    <t>alexis.martin@ourbusiness.biz</t>
  </si>
  <si>
    <t>mason.graham@ourbusiness.biz</t>
  </si>
  <si>
    <t>Regional Sales Director</t>
  </si>
  <si>
    <t>lori.mendoza@ourbusiness.biz</t>
  </si>
  <si>
    <t>mason.knight@ourbusiness.biz</t>
  </si>
  <si>
    <t>paul.ivanov@ourbusiness.biz</t>
  </si>
  <si>
    <t>marie.johnston@ourbusiness.biz</t>
  </si>
  <si>
    <t>alan.munoz@ourbusiness.biz</t>
  </si>
  <si>
    <t>judy.rivera@ourbusiness.biz</t>
  </si>
  <si>
    <t>amara.valdez@ourbusiness.biz</t>
  </si>
  <si>
    <t>Sales Manager</t>
  </si>
  <si>
    <t>judith.hall@ourbusiness.biz</t>
  </si>
  <si>
    <t>kathleen.arnold@ourbusiness.biz</t>
  </si>
  <si>
    <t>ryan.bell@ourbusiness.biz</t>
  </si>
  <si>
    <t>marie.evans@ourbusiness.biz</t>
  </si>
  <si>
    <t>jessica.cook@ourbusiness.biz</t>
  </si>
  <si>
    <t>donna.wallace@ourbusiness.biz</t>
  </si>
  <si>
    <t>marcus.ferguson@ourbusiness.biz</t>
  </si>
  <si>
    <t>jonathan.hawkins@ourbusiness.biz</t>
  </si>
  <si>
    <t>barbara.west@ourbusiness.biz</t>
  </si>
  <si>
    <t>madison.carlson@ourbusiness.biz</t>
  </si>
  <si>
    <t>omar.miller@ourbusiness.biz</t>
  </si>
  <si>
    <t>nicole.jung@ourbusiness.biz</t>
  </si>
  <si>
    <t>roy.price@ourbusiness.biz</t>
  </si>
  <si>
    <t>charles.kennedy@ourbusiness.biz</t>
  </si>
  <si>
    <t>aisha.cunningham@ourbusiness.biz</t>
  </si>
  <si>
    <t>billy.morales@ourbusiness.biz</t>
  </si>
  <si>
    <t>robert.thomas@ourbusiness.biz</t>
  </si>
  <si>
    <t>raymond.armstrong@ourbusiness.biz</t>
  </si>
  <si>
    <t>stephen.gibson@ourbusiness.biz</t>
  </si>
  <si>
    <t>nancy.marshall@ourbusiness.biz</t>
  </si>
  <si>
    <t>jessica.davis@ourbusiness.biz</t>
  </si>
  <si>
    <t>ralph.berry@ourbusiness.biz</t>
  </si>
  <si>
    <t>christina.taylor@ourbusiness.biz</t>
  </si>
  <si>
    <t>deborah.guerrero@ourbusiness.biz</t>
  </si>
  <si>
    <t>emma.spencer@ourbusiness.biz</t>
  </si>
  <si>
    <t>amanda.suzuki@ourbusiness.biz</t>
  </si>
  <si>
    <t>judith.sato@ourbusiness.biz</t>
  </si>
  <si>
    <t>judith.james@ourbusiness.biz</t>
  </si>
  <si>
    <t>russell.alvarado@ourbusiness.biz</t>
  </si>
  <si>
    <t>kelly.king@ourbusiness.biz</t>
  </si>
  <si>
    <t>willie.mcdonald@ourbusiness.biz</t>
  </si>
  <si>
    <t>fatima.perez@ourbusiness.biz</t>
  </si>
  <si>
    <t>amara.castillo@ourbusiness.biz</t>
  </si>
  <si>
    <t>patricia.walker@ourbusiness.biz</t>
  </si>
  <si>
    <t>lisa.cole@ourbusiness.biz</t>
  </si>
  <si>
    <t>sarah.weaver@ourbusiness.biz</t>
  </si>
  <si>
    <t>stephen.rogers@ourbusiness.biz</t>
  </si>
  <si>
    <t>judy.nakamura@ourbusiness.biz</t>
  </si>
  <si>
    <t>ivan.gomez@ourbusiness.biz</t>
  </si>
  <si>
    <t>darius.turner@ourbusiness.biz</t>
  </si>
  <si>
    <t>stephen.jackson@ourbusiness.biz</t>
  </si>
  <si>
    <t>Salazar</t>
  </si>
  <si>
    <t>raj.salazar@ourbusiness.biz</t>
  </si>
  <si>
    <t>kwame.alexander@ourbusiness.biz</t>
  </si>
  <si>
    <t>sophia.vazquez@ourbusiness.biz</t>
  </si>
  <si>
    <t>elijah.okafor@ourbusiness.biz</t>
  </si>
  <si>
    <t>george.andrews@ourbusiness.biz</t>
  </si>
  <si>
    <t>douglas.gupta@ourbusiness.biz</t>
  </si>
  <si>
    <t>helen.boyd@ourbusiness.biz</t>
  </si>
  <si>
    <t>amy.murray@ourbusiness.biz</t>
  </si>
  <si>
    <t>nancy.thompson@ourbusiness.biz</t>
  </si>
  <si>
    <t>janice.anderson@ourbusiness.biz</t>
  </si>
  <si>
    <t>kathryn.pham@ourbusiness.biz</t>
  </si>
  <si>
    <t>donna.white@ourbusiness.biz</t>
  </si>
  <si>
    <t>jerry.rios@ourbusiness.biz</t>
  </si>
  <si>
    <t>bobby.allen@ourbusiness.biz</t>
  </si>
  <si>
    <t>samantha.wilson@ourbusiness.biz</t>
  </si>
  <si>
    <t>alexander.jones@ourbusiness.biz</t>
  </si>
  <si>
    <t>jacqueline.white@ourbusiness.biz</t>
  </si>
  <si>
    <t>kayla.nunez@ourbusiness.biz</t>
  </si>
  <si>
    <t>jeremy.white@ourbusiness.biz</t>
  </si>
  <si>
    <t>michael.freeman@ourbusiness.biz</t>
  </si>
  <si>
    <t>evelyn.munoz@ourbusiness.biz</t>
  </si>
  <si>
    <t>samuel.castillo@ourbusiness.biz</t>
  </si>
  <si>
    <t>sandra.walker@ourbusiness.biz</t>
  </si>
  <si>
    <t>andrea.reed@ourbusiness.biz</t>
  </si>
  <si>
    <t>michelle.shah@ourbusiness.biz</t>
  </si>
  <si>
    <t>logan.sullivan@ourbusiness.biz</t>
  </si>
  <si>
    <t>sophia.long@ourbusiness.biz</t>
  </si>
  <si>
    <t>cynthia.robertson@ourbusiness.biz</t>
  </si>
  <si>
    <t>michael.wheeler@ourbusiness.biz</t>
  </si>
  <si>
    <t>russell.sullivan@ourbusiness.biz</t>
  </si>
  <si>
    <t>anna.allen@ourbusiness.biz</t>
  </si>
  <si>
    <t>donald.robinson@ourbusiness.biz</t>
  </si>
  <si>
    <t>ana.jung@ourbusiness.biz</t>
  </si>
  <si>
    <t>theresa.pierce@ourbusiness.biz</t>
  </si>
  <si>
    <t>tariq.larson@ourbusiness.biz</t>
  </si>
  <si>
    <t>alexander.garcia@ourbusiness.biz</t>
  </si>
  <si>
    <t>jin.aguilar@ourbusiness.biz</t>
  </si>
  <si>
    <t>ethan.long@ourbusiness.biz</t>
  </si>
  <si>
    <t>fatima.foster@ourbusiness.biz</t>
  </si>
  <si>
    <t>tomas.jones@ourbusiness.biz</t>
  </si>
  <si>
    <t>samuel.ward@ourbusiness.biz</t>
  </si>
  <si>
    <t>patrick.carlson@ourbusiness.biz</t>
  </si>
  <si>
    <t>matthew.lawson@ourbusiness.biz</t>
  </si>
  <si>
    <t>julie.scott@ourbusiness.biz</t>
  </si>
  <si>
    <t>karen.larson@ourbusiness.biz</t>
  </si>
  <si>
    <t>john.fox@ourbusiness.biz</t>
  </si>
  <si>
    <t>marilyn.guzman@ourbusiness.biz</t>
  </si>
  <si>
    <t>roy.ellis@ourbusiness.biz</t>
  </si>
  <si>
    <t>Content Strategist</t>
  </si>
  <si>
    <t>marcus.salazar@ourbusiness.biz</t>
  </si>
  <si>
    <t>VP of Marketing</t>
  </si>
  <si>
    <t>dennis.estrada@ourbusiness.biz</t>
  </si>
  <si>
    <t>Graphic Designer</t>
  </si>
  <si>
    <t>charlotte.liu@ourbusiness.biz</t>
  </si>
  <si>
    <t>Marketing Analyst</t>
  </si>
  <si>
    <t>benjamin.holmes@ourbusiness.biz</t>
  </si>
  <si>
    <t>Senior Marketing Specialist</t>
  </si>
  <si>
    <t>kavita.holmes@ourbusiness.biz</t>
  </si>
  <si>
    <t>Digital Marketing Specialist</t>
  </si>
  <si>
    <t>tomas.miller@ourbusiness.biz</t>
  </si>
  <si>
    <t>Director of Brand</t>
  </si>
  <si>
    <t>angela.adeyemi@ourbusiness.biz</t>
  </si>
  <si>
    <t>russell.robinson@ourbusiness.biz</t>
  </si>
  <si>
    <t>Marketing Coordinator</t>
  </si>
  <si>
    <t>raj.jenkins@ourbusiness.biz</t>
  </si>
  <si>
    <t>Marketing Manager</t>
  </si>
  <si>
    <t>kelly.gutierrez@ourbusiness.biz</t>
  </si>
  <si>
    <t>New York</t>
  </si>
  <si>
    <t>sanjay.brooks@ourbusiness.biz</t>
  </si>
  <si>
    <t>stephen.arnold@ourbusiness.biz</t>
  </si>
  <si>
    <t>monica.gupta@ourbusiness.biz</t>
  </si>
  <si>
    <t>brian.willis@ourbusiness.biz</t>
  </si>
  <si>
    <t>dennis.herrera@ourbusiness.biz</t>
  </si>
  <si>
    <t>matthew.henderson@ourbusiness.biz</t>
  </si>
  <si>
    <t>mark.jackson@ourbusiness.biz</t>
  </si>
  <si>
    <t>albert.greene@ourbusiness.biz</t>
  </si>
  <si>
    <t>ashley.contreras@ourbusiness.biz</t>
  </si>
  <si>
    <t>ivan.long@ourbusiness.biz</t>
  </si>
  <si>
    <t>dennis.schmidt@ourbusiness.biz</t>
  </si>
  <si>
    <t>ethan.wagner@ourbusiness.biz</t>
  </si>
  <si>
    <t>janet.singh@ourbusiness.biz</t>
  </si>
  <si>
    <t>fatima.alvarez@ourbusiness.biz</t>
  </si>
  <si>
    <t>lauren.johnson@ourbusiness.biz</t>
  </si>
  <si>
    <t>jacob.nelson@ourbusiness.biz</t>
  </si>
  <si>
    <t>jose.rose@ourbusiness.biz</t>
  </si>
  <si>
    <t>olga.sharma@ourbusiness.biz</t>
  </si>
  <si>
    <t>marcus.hughes@ourbusiness.biz</t>
  </si>
  <si>
    <t>elijah.freeman@ourbusiness.biz</t>
  </si>
  <si>
    <t>carol.lopez@ourbusiness.biz</t>
  </si>
  <si>
    <t>victoria.martin@ourbusiness.biz</t>
  </si>
  <si>
    <t>adam.patel@ourbusiness.biz</t>
  </si>
  <si>
    <t>frank.mendoza@ourbusiness.biz</t>
  </si>
  <si>
    <t>emily.roberts@ourbusiness.biz</t>
  </si>
  <si>
    <t>karen.howard@ourbusiness.biz</t>
  </si>
  <si>
    <t>patricia.parker@ourbusiness.biz</t>
  </si>
  <si>
    <t>ralph.riley@ourbusiness.biz</t>
  </si>
  <si>
    <t>ann.greene@ourbusiness.biz</t>
  </si>
  <si>
    <t>tariq.walker@ourbusiness.biz</t>
  </si>
  <si>
    <t>albert.arnold@ourbusiness.biz</t>
  </si>
  <si>
    <t>shirley.mills@ourbusiness.biz</t>
  </si>
  <si>
    <t>Director of Customer Support</t>
  </si>
  <si>
    <t>omar.fernandez@ourbusiness.biz</t>
  </si>
  <si>
    <t>Senior Support Specialist</t>
  </si>
  <si>
    <t>jordan.morgan@ourbusiness.biz</t>
  </si>
  <si>
    <t>Support Specialist</t>
  </si>
  <si>
    <t>ronald.robertson@ourbusiness.biz</t>
  </si>
  <si>
    <t>Tier 1 Support Agent</t>
  </si>
  <si>
    <t>deborah.bryant@ourbusiness.biz</t>
  </si>
  <si>
    <t>noah.munoz@ourbusiness.biz</t>
  </si>
  <si>
    <t>deepa.stone@ourbusiness.biz</t>
  </si>
  <si>
    <t>natalie.wagner@ourbusiness.biz</t>
  </si>
  <si>
    <t>evelyn.carroll@ourbusiness.biz</t>
  </si>
  <si>
    <t>juan.hall@ourbusiness.biz</t>
  </si>
  <si>
    <t>lisa.yang@ourbusiness.biz</t>
  </si>
  <si>
    <t>eric.palmer@ourbusiness.biz</t>
  </si>
  <si>
    <t>Technical Support Engineer</t>
  </si>
  <si>
    <t>yuki.cook@ourbusiness.biz</t>
  </si>
  <si>
    <t>charlotte.johnson@ourbusiness.biz</t>
  </si>
  <si>
    <t>stephanie.long@ourbusiness.biz</t>
  </si>
  <si>
    <t>tanya.wood@ourbusiness.biz</t>
  </si>
  <si>
    <t>evelyn.kim@ourbusiness.biz</t>
  </si>
  <si>
    <t>frances.bailey@ourbusiness.biz</t>
  </si>
  <si>
    <t>denise.martinez@ourbusiness.biz</t>
  </si>
  <si>
    <t>jose.gordon@ourbusiness.biz</t>
  </si>
  <si>
    <t>jack.crawford@ourbusiness.biz</t>
  </si>
  <si>
    <t>jordan.marshall@ourbusiness.biz</t>
  </si>
  <si>
    <t>kenneth.mitchell@ourbusiness.biz</t>
  </si>
  <si>
    <t>olivia.myers@ourbusiness.biz</t>
  </si>
  <si>
    <t>Support Manager</t>
  </si>
  <si>
    <t>wei.liu@ourbusiness.biz</t>
  </si>
  <si>
    <t>juan.reed@ourbusiness.biz</t>
  </si>
  <si>
    <t>william.burke@ourbusiness.biz</t>
  </si>
  <si>
    <t>Team Lead</t>
  </si>
  <si>
    <t>abigail.haddad@ourbusiness.biz</t>
  </si>
  <si>
    <t>walter.washington@ourbusiness.biz</t>
  </si>
  <si>
    <t>beverly.meyer@ourbusiness.biz</t>
  </si>
  <si>
    <t>heather.ivanov@ourbusiness.biz</t>
  </si>
  <si>
    <t>kathryn.berry@ourbusiness.biz</t>
  </si>
  <si>
    <t>jacqueline.rios@ourbusiness.biz</t>
  </si>
  <si>
    <t>juan.washington@ourbusiness.biz</t>
  </si>
  <si>
    <t>ryan.ortega@ourbusiness.biz</t>
  </si>
  <si>
    <t>ahmed.campbell@ourbusiness.biz</t>
  </si>
  <si>
    <t>olga.barnes@ourbusiness.biz</t>
  </si>
  <si>
    <t>emily.santos@ourbusiness.biz</t>
  </si>
  <si>
    <t>ivan.warren@ourbusiness.biz</t>
  </si>
  <si>
    <t>danielle.park@ourbusiness.biz</t>
  </si>
  <si>
    <t>christopher.perkins@ourbusiness.biz</t>
  </si>
  <si>
    <t>alexander.reynolds@ourbusiness.biz</t>
  </si>
  <si>
    <t>douglas.robertson@ourbusiness.biz</t>
  </si>
  <si>
    <t>charles.adeyemi@ourbusiness.biz</t>
  </si>
  <si>
    <t>emily.west@ourbusiness.biz</t>
  </si>
  <si>
    <t>zachary.vazquez@ourbusiness.biz</t>
  </si>
  <si>
    <t>ronald.brown@ourbusiness.biz</t>
  </si>
  <si>
    <t>alice.wright@ourbusiness.biz</t>
  </si>
  <si>
    <t>katherine.lawson@ourbusiness.biz</t>
  </si>
  <si>
    <t>rachel.nakamura@ourbusiness.biz</t>
  </si>
  <si>
    <t>rebecca.james@ourbusiness.biz</t>
  </si>
  <si>
    <t>jordan.duncan@ourbusiness.biz</t>
  </si>
  <si>
    <t>matthew.gibson@ourbusiness.biz</t>
  </si>
  <si>
    <t>katherine.garza@ourbusiness.biz</t>
  </si>
  <si>
    <t>miguel.gardner@ourbusiness.biz</t>
  </si>
  <si>
    <t>matthew.long@ourbusiness.biz</t>
  </si>
  <si>
    <t>danielle.rodriguez@ourbusiness.biz</t>
  </si>
  <si>
    <t>arjun.hayes@ourbusiness.biz</t>
  </si>
  <si>
    <t>maria.hill@ourbusiness.biz</t>
  </si>
  <si>
    <t>jennifer.novak@ourbusiness.biz</t>
  </si>
  <si>
    <t>marie.ellis@ourbusiness.biz</t>
  </si>
  <si>
    <t>sarah.clark@ourbusiness.biz</t>
  </si>
  <si>
    <t>jessica.alvarado@ourbusiness.biz</t>
  </si>
  <si>
    <t>hannah.patel@ourbusiness.biz</t>
  </si>
  <si>
    <t>helen.turner@ourbusiness.biz</t>
  </si>
  <si>
    <t>michael.scott@ourbusiness.biz</t>
  </si>
  <si>
    <t>elijah.martinez@ourbusiness.biz</t>
  </si>
  <si>
    <t>stephen.mills@ourbusiness.biz</t>
  </si>
  <si>
    <t>frank.myers@ourbusiness.biz</t>
  </si>
  <si>
    <t>julia.ellis@ourbusiness.biz</t>
  </si>
  <si>
    <t>judy.peters@ourbusiness.biz</t>
  </si>
  <si>
    <t>scott.williams@ourbusiness.biz</t>
  </si>
  <si>
    <t>sandra.guerrero@ourbusiness.biz</t>
  </si>
  <si>
    <t>min.wells@ourbusiness.biz</t>
  </si>
  <si>
    <t>arjun.johnston@ourbusiness.biz</t>
  </si>
  <si>
    <t>beverly.robinson@ourbusiness.biz</t>
  </si>
  <si>
    <t>carolyn.vazquez@ourbusiness.biz</t>
  </si>
  <si>
    <t>george.rice@ourbusiness.biz</t>
  </si>
  <si>
    <t>natalie.mills@ourbusiness.biz</t>
  </si>
  <si>
    <t>abigail.medina@ourbusiness.biz</t>
  </si>
  <si>
    <t>abigail.jackson@ourbusiness.biz</t>
  </si>
  <si>
    <t>matthew.lopez@ourbusiness.biz</t>
  </si>
  <si>
    <t>marilyn.fernandez@ourbusiness.biz</t>
  </si>
  <si>
    <t>deepa.long@ourbusiness.biz</t>
  </si>
  <si>
    <t>hannah.hunter@ourbusiness.biz</t>
  </si>
  <si>
    <t>elena.nakamura@ourbusiness.biz</t>
  </si>
  <si>
    <t>emma.lawrence@ourbusiness.biz</t>
  </si>
  <si>
    <t>margaret.webb@ourbusiness.biz</t>
  </si>
  <si>
    <t>gabriel.lawrence@ourbusiness.biz</t>
  </si>
  <si>
    <t>kenneth.carter@ourbusiness.biz</t>
  </si>
  <si>
    <t>matthew.carpenter@ourbusiness.biz</t>
  </si>
  <si>
    <t>sean.garza@ourbusiness.biz</t>
  </si>
  <si>
    <t>harold.hunter@ourbusiness.biz</t>
  </si>
  <si>
    <t>albert.diaz@ourbusiness.biz</t>
  </si>
  <si>
    <t>jason.cruz@ourbusiness.biz</t>
  </si>
  <si>
    <t>benjamin.simmons@ourbusiness.biz</t>
  </si>
  <si>
    <t>bruce.west@ourbusiness.biz</t>
  </si>
  <si>
    <t>russell.shah@ourbusiness.biz</t>
  </si>
  <si>
    <t>omar.harper@ourbusiness.biz</t>
  </si>
  <si>
    <t>donna.lawson@ourbusiness.biz</t>
  </si>
  <si>
    <t>jacqueline.shah@ourbusiness.biz</t>
  </si>
  <si>
    <t>theresa.walker@ourbusiness.biz</t>
  </si>
  <si>
    <t>kimberly.richardson@ourbusiness.biz</t>
  </si>
  <si>
    <t>lawrence.peterson@ourbusiness.biz</t>
  </si>
  <si>
    <t>cheryl.soto@ourbusiness.biz</t>
  </si>
  <si>
    <t>ahmed.warren@ourbusiness.biz</t>
  </si>
  <si>
    <t>judith.carter@ourbusiness.biz</t>
  </si>
  <si>
    <t>tanya.martinez@ourbusiness.biz</t>
  </si>
  <si>
    <t>carlos.russell@ourbusiness.biz</t>
  </si>
  <si>
    <t>deepa.simmons@ourbusiness.biz</t>
  </si>
  <si>
    <t>angela.gonzalez@ourbusiness.biz</t>
  </si>
  <si>
    <t>barbara.cruz@ourbusiness.biz</t>
  </si>
  <si>
    <t>Hudson</t>
  </si>
  <si>
    <t>VP of Finance</t>
  </si>
  <si>
    <t>scott.hudson@ourbusiness.biz</t>
  </si>
  <si>
    <t>Financial Analyst</t>
  </si>
  <si>
    <t>cynthia.west@ourbusiness.biz</t>
  </si>
  <si>
    <t>Junior Financial Analyst</t>
  </si>
  <si>
    <t>theresa.sato@ourbusiness.biz</t>
  </si>
  <si>
    <t>Senior Financial Analyst</t>
  </si>
  <si>
    <t>susan.holmes@ourbusiness.biz</t>
  </si>
  <si>
    <t>FP&amp;A Director</t>
  </si>
  <si>
    <t>amber.aguilar@ourbusiness.biz</t>
  </si>
  <si>
    <t>Finance Manager</t>
  </si>
  <si>
    <t>ashley.hayes@ourbusiness.biz</t>
  </si>
  <si>
    <t>diane.okafor@ourbusiness.biz</t>
  </si>
  <si>
    <t>elena.reyes@ourbusiness.biz</t>
  </si>
  <si>
    <t>andre.meyer@ourbusiness.biz</t>
  </si>
  <si>
    <t>julia.green@ourbusiness.biz</t>
  </si>
  <si>
    <t>sean.jordan@ourbusiness.biz</t>
  </si>
  <si>
    <t>theresa.dixon@ourbusiness.biz</t>
  </si>
  <si>
    <t>gabriel.long@ourbusiness.biz</t>
  </si>
  <si>
    <t>marilyn.liu@ourbusiness.biz</t>
  </si>
  <si>
    <t>ethan.hunt@ourbusiness.biz</t>
  </si>
  <si>
    <t>shirley.watkins@ourbusiness.biz</t>
  </si>
  <si>
    <t>mark.pham@ourbusiness.biz</t>
  </si>
  <si>
    <t>jacqueline.sharma@ourbusiness.biz</t>
  </si>
  <si>
    <t>camila.rodriguez@ourbusiness.biz</t>
  </si>
  <si>
    <t>katherine.park@ourbusiness.biz</t>
  </si>
  <si>
    <t>sophia.nelson@ourbusiness.biz</t>
  </si>
  <si>
    <t>janice.bryant@ourbusiness.biz</t>
  </si>
  <si>
    <t>nathan.dixon@ourbusiness.biz</t>
  </si>
  <si>
    <t>bryan.murray@ourbusiness.biz</t>
  </si>
  <si>
    <t>samantha.khan@ourbusiness.biz</t>
  </si>
  <si>
    <t>mason.ferguson@ourbusiness.biz</t>
  </si>
  <si>
    <t>amara.murphy@ourbusiness.biz</t>
  </si>
  <si>
    <t>joshua.daniels@ourbusiness.biz</t>
  </si>
  <si>
    <t>Controller</t>
  </si>
  <si>
    <t>katherine.munoz@ourbusiness.biz</t>
  </si>
  <si>
    <t>Senior Accountant</t>
  </si>
  <si>
    <t>olga.henderson@ourbusiness.biz</t>
  </si>
  <si>
    <t>Accounting Manager</t>
  </si>
  <si>
    <t>evelyn.sharma@ourbusiness.biz</t>
  </si>
  <si>
    <t>Accounts Payable Specialist</t>
  </si>
  <si>
    <t>derek.willis@ourbusiness.biz</t>
  </si>
  <si>
    <t>Accounts Receivable Specialist</t>
  </si>
  <si>
    <t>danielle.burke@ourbusiness.biz</t>
  </si>
  <si>
    <t>Staff Accountant</t>
  </si>
  <si>
    <t>megan.yang@ourbusiness.biz</t>
  </si>
  <si>
    <t>Accounting Supervisor</t>
  </si>
  <si>
    <t>olivia.sharma@ourbusiness.biz</t>
  </si>
  <si>
    <t>jacob.nguyen@ourbusiness.biz</t>
  </si>
  <si>
    <t>lauren.simpson@ourbusiness.biz</t>
  </si>
  <si>
    <t>matthew.salazar@ourbusiness.biz</t>
  </si>
  <si>
    <t>nikhil.haddad@ourbusiness.biz</t>
  </si>
  <si>
    <t>Payroll Specialist</t>
  </si>
  <si>
    <t>diane.liu@ourbusiness.biz</t>
  </si>
  <si>
    <t>janet.perry@ourbusiness.biz</t>
  </si>
  <si>
    <t>daniel.martin@ourbusiness.biz</t>
  </si>
  <si>
    <t>aaron.russell@ourbusiness.biz</t>
  </si>
  <si>
    <t>mary.grant@ourbusiness.biz</t>
  </si>
  <si>
    <t>roy.soto@ourbusiness.biz</t>
  </si>
  <si>
    <t>scott.nakamura@ourbusiness.biz</t>
  </si>
  <si>
    <t>brian.johnston@ourbusiness.biz</t>
  </si>
  <si>
    <t>mason.alvarez@ourbusiness.biz</t>
  </si>
  <si>
    <t>gabriel.morrison@ourbusiness.biz</t>
  </si>
  <si>
    <t>jacqueline.morrison@ourbusiness.biz</t>
  </si>
  <si>
    <t>sara.edwards@ourbusiness.biz</t>
  </si>
  <si>
    <t>bobby.cruz@ourbusiness.biz</t>
  </si>
  <si>
    <t>nathan.brown@ourbusiness.biz</t>
  </si>
  <si>
    <t>nikhil.king@ourbusiness.biz</t>
  </si>
  <si>
    <t>shirley.knight@ourbusiness.biz</t>
  </si>
  <si>
    <t>scott.webb@ourbusiness.biz</t>
  </si>
  <si>
    <t>edward.cruz@ourbusiness.biz</t>
  </si>
  <si>
    <t>jennifer.burns@ourbusiness.biz</t>
  </si>
  <si>
    <t>tariq.weaver@ourbusiness.biz</t>
  </si>
  <si>
    <t>jesse.porter@ourbusiness.biz</t>
  </si>
  <si>
    <t>gabriel.james@ourbusiness.biz</t>
  </si>
  <si>
    <t>frances.pena@ourbusiness.biz</t>
  </si>
  <si>
    <t>Accounting Clerk</t>
  </si>
  <si>
    <t>raymond.russell@ourbusiness.biz</t>
  </si>
  <si>
    <t>steven.dominguez@ourbusiness.biz</t>
  </si>
  <si>
    <t>diane.fisher@ourbusiness.biz</t>
  </si>
  <si>
    <t>wayne.barnes@ourbusiness.biz</t>
  </si>
  <si>
    <t>michelle.franklin@ourbusiness.biz</t>
  </si>
  <si>
    <t>monica.estrada@ourbusiness.biz</t>
  </si>
  <si>
    <t>doris.cunningham@ourbusiness.biz</t>
  </si>
  <si>
    <t>angela.petrov@ourbusiness.biz</t>
  </si>
  <si>
    <t>isabella.gonzalez@ourbusiness.biz</t>
  </si>
  <si>
    <t>ivan.washington@ourbusiness.biz</t>
  </si>
  <si>
    <t>willie.perry@ourbusiness.biz</t>
  </si>
  <si>
    <t>Director of Human Resources</t>
  </si>
  <si>
    <t>patricia.west@ourbusiness.biz</t>
  </si>
  <si>
    <t>HR Coordinator</t>
  </si>
  <si>
    <t>min.guerrero@ourbusiness.biz</t>
  </si>
  <si>
    <t>Senior HR Generalist</t>
  </si>
  <si>
    <t>jason.scott@ourbusiness.biz</t>
  </si>
  <si>
    <t>Recruiter</t>
  </si>
  <si>
    <t>teresa.lawrence@ourbusiness.biz</t>
  </si>
  <si>
    <t>HR Manager</t>
  </si>
  <si>
    <t>luis.guzman@ourbusiness.biz</t>
  </si>
  <si>
    <t>HR Generalist</t>
  </si>
  <si>
    <t>jason.jenkins@ourbusiness.biz</t>
  </si>
  <si>
    <t>rachel.freeman@ourbusiness.biz</t>
  </si>
  <si>
    <t>angela.olson@ourbusiness.biz</t>
  </si>
  <si>
    <t>randy.moreno@ourbusiness.biz</t>
  </si>
  <si>
    <t>aaron.olson@ourbusiness.biz</t>
  </si>
  <si>
    <t>kayla.dixon@ourbusiness.biz</t>
  </si>
  <si>
    <t>danielle.ruiz@ourbusiness.biz</t>
  </si>
  <si>
    <t>carol.watson@ourbusiness.biz</t>
  </si>
  <si>
    <t>sharon.harper@ourbusiness.biz</t>
  </si>
  <si>
    <t>elizabeth.tanaka@ourbusiness.biz</t>
  </si>
  <si>
    <t>roy.bradley@ourbusiness.biz</t>
  </si>
  <si>
    <t>Benefits Specialist</t>
  </si>
  <si>
    <t>judith.rogers@ourbusiness.biz</t>
  </si>
  <si>
    <t>michael.snyder@ourbusiness.biz</t>
  </si>
  <si>
    <t>larry.cooper@ourbusiness.biz</t>
  </si>
  <si>
    <t>larry.simmons@ourbusiness.biz</t>
  </si>
  <si>
    <t>barbara.ray@ourbusiness.biz</t>
  </si>
  <si>
    <t>mark.herrera@ourbusiness.biz</t>
  </si>
  <si>
    <t>joseph.watkins@ourbusiness.biz</t>
  </si>
  <si>
    <t>linda.shah@ourbusiness.biz</t>
  </si>
  <si>
    <t>joshua.jimenez@ourbusiness.biz</t>
  </si>
  <si>
    <t>hyun.morales@ourbusiness.biz</t>
  </si>
  <si>
    <t>pamela.vazquez@ourbusiness.biz</t>
  </si>
  <si>
    <t>diane.cruz@ourbusiness.biz</t>
  </si>
  <si>
    <t>VP of Engineering</t>
  </si>
  <si>
    <t>theresa.stephens@ourbusiness.biz</t>
  </si>
  <si>
    <t>Senior Engineer</t>
  </si>
  <si>
    <t>barbara.riley@ourbusiness.biz</t>
  </si>
  <si>
    <t>Director of Engineering</t>
  </si>
  <si>
    <t>tanya.hamilton@ourbusiness.biz</t>
  </si>
  <si>
    <t>Electrical Engineer</t>
  </si>
  <si>
    <t>sanjay.bailey@ourbusiness.biz</t>
  </si>
  <si>
    <t>Engineering Technician</t>
  </si>
  <si>
    <t>adam.ali@ourbusiness.biz</t>
  </si>
  <si>
    <t>ahmed.jones@ourbusiness.biz</t>
  </si>
  <si>
    <t>Associate Engineer</t>
  </si>
  <si>
    <t>barbara.meyer@ourbusiness.biz</t>
  </si>
  <si>
    <t>brian.ross@ourbusiness.biz</t>
  </si>
  <si>
    <t>roger.lee@ourbusiness.biz</t>
  </si>
  <si>
    <t>Mechanical Engineer</t>
  </si>
  <si>
    <t>sandra.nguyen@ourbusiness.biz</t>
  </si>
  <si>
    <t>sarah.jimenez@ourbusiness.biz</t>
  </si>
  <si>
    <t>david.gonzalez@ourbusiness.biz</t>
  </si>
  <si>
    <t>carolyn.snyder@ourbusiness.biz</t>
  </si>
  <si>
    <t>brittany.mason@ourbusiness.biz</t>
  </si>
  <si>
    <t>kevin.perry@ourbusiness.biz</t>
  </si>
  <si>
    <t>ronald.hill@ourbusiness.biz</t>
  </si>
  <si>
    <t>kenneth.bell@ourbusiness.biz</t>
  </si>
  <si>
    <t>jennifer.snyder@ourbusiness.biz</t>
  </si>
  <si>
    <t>lawrence.jones@ourbusiness.biz</t>
  </si>
  <si>
    <t>mary.suzuki@ourbusiness.biz</t>
  </si>
  <si>
    <t>randy.james@ourbusiness.biz</t>
  </si>
  <si>
    <t>Engineering Manager</t>
  </si>
  <si>
    <t>steven.jackson@ourbusiness.biz</t>
  </si>
  <si>
    <t>sofia.carpenter@ourbusiness.biz</t>
  </si>
  <si>
    <t>sharon.murphy@ourbusiness.biz</t>
  </si>
  <si>
    <t>nicholas.sanchez@ourbusiness.biz</t>
  </si>
  <si>
    <t>patricia.long@ourbusiness.biz</t>
  </si>
  <si>
    <t>paul.chen@ourbusiness.biz</t>
  </si>
  <si>
    <t>kwame.hudson@ourbusiness.biz</t>
  </si>
  <si>
    <t>joan.king@ourbusiness.biz</t>
  </si>
  <si>
    <t>cheryl.king@ourbusiness.biz</t>
  </si>
  <si>
    <t>keith.castillo@ourbusiness.biz</t>
  </si>
  <si>
    <t>fatima.brown@ourbusiness.biz</t>
  </si>
  <si>
    <t>aisha.arnold@ourbusiness.biz</t>
  </si>
  <si>
    <t>christopher.jackson@ourbusiness.biz</t>
  </si>
  <si>
    <t>wei.armstrong@ourbusiness.biz</t>
  </si>
  <si>
    <t>thomas.alvarado@ourbusiness.biz</t>
  </si>
  <si>
    <t>albert.alexander@ourbusiness.biz</t>
  </si>
  <si>
    <t>madison.guzman@ourbusiness.biz</t>
  </si>
  <si>
    <t>john.griffin@ourbusiness.biz</t>
  </si>
  <si>
    <t>diana.gonzalez@ourbusiness.biz</t>
  </si>
  <si>
    <t>jeffrey.petrov@ourbusiness.biz</t>
  </si>
  <si>
    <t>judith.schmidt@ourbusiness.biz</t>
  </si>
  <si>
    <t>douglas.turner@ourbusiness.biz</t>
  </si>
  <si>
    <t>richard.lane@ourbusiness.biz</t>
  </si>
  <si>
    <t>adam.berry@ourbusiness.biz</t>
  </si>
  <si>
    <t>Principal Engineer</t>
  </si>
  <si>
    <t>peter.perry@ourbusiness.biz</t>
  </si>
  <si>
    <t>bruce.gomez@ourbusiness.biz</t>
  </si>
  <si>
    <t>monica.bell@ourbusiness.biz</t>
  </si>
  <si>
    <t>shirley.ivanov@ourbusiness.biz</t>
  </si>
  <si>
    <t>derek.graham@ourbusiness.biz</t>
  </si>
  <si>
    <t>katherine.white@ourbusiness.biz</t>
  </si>
  <si>
    <t>jerry.wilson@ourbusiness.biz</t>
  </si>
  <si>
    <t>mark.brown@ourbusiness.biz</t>
  </si>
  <si>
    <t>theresa.franklin@ourbusiness.biz</t>
  </si>
  <si>
    <t>helen.baker@ourbusiness.biz</t>
  </si>
  <si>
    <t>harold.edwards@ourbusiness.biz</t>
  </si>
  <si>
    <t>dylan.cole@ourbusiness.biz</t>
  </si>
  <si>
    <t>barbara.snyder@ourbusiness.biz</t>
  </si>
  <si>
    <t>jeffrey.harper@ourbusiness.biz</t>
  </si>
  <si>
    <t>charles.jones@ourbusiness.biz</t>
  </si>
  <si>
    <t>rachel.flores@ourbusiness.biz</t>
  </si>
  <si>
    <t>kevin.scott@ourbusiness.biz</t>
  </si>
  <si>
    <t>doris.singh@ourbusiness.biz</t>
  </si>
  <si>
    <t>wayne.haddad@ourbusiness.biz</t>
  </si>
  <si>
    <t>alice.mitchell@ourbusiness.biz</t>
  </si>
  <si>
    <t>alice.fernandez@ourbusiness.biz</t>
  </si>
  <si>
    <t>noah.rodriguez@ourbusiness.biz</t>
  </si>
  <si>
    <t>ronald.reyes@ourbusiness.biz</t>
  </si>
  <si>
    <t>debra.haddad@ourbusiness.biz</t>
  </si>
  <si>
    <t>joan.butler@ourbusiness.biz</t>
  </si>
  <si>
    <t>julie.roberts@ourbusiness.biz</t>
  </si>
  <si>
    <t>jason.cook@ourbusiness.biz</t>
  </si>
  <si>
    <t>elena.west@ourbusiness.biz</t>
  </si>
  <si>
    <t>joshua.wright@ourbusiness.biz</t>
  </si>
  <si>
    <t>logan.rogers@ourbusiness.biz</t>
  </si>
  <si>
    <t>richard.sharma@ourbusiness.biz</t>
  </si>
  <si>
    <t>andrew.morgan@ourbusiness.biz</t>
  </si>
  <si>
    <t>heather.webb@ourbusiness.biz</t>
  </si>
  <si>
    <t>laura.hunt@ourbusiness.biz</t>
  </si>
  <si>
    <t>robert.murray@ourbusiness.biz</t>
  </si>
  <si>
    <t>theresa.wang@ourbusiness.biz</t>
  </si>
  <si>
    <t>darius.vazquez@ourbusiness.biz</t>
  </si>
  <si>
    <t>betty.moore@ourbusiness.biz</t>
  </si>
  <si>
    <t>richard.lopez@ourbusiness.biz</t>
  </si>
  <si>
    <t>margaret.butler@ourbusiness.biz</t>
  </si>
  <si>
    <t>tomas.gibson@ourbusiness.biz</t>
  </si>
  <si>
    <t>lucia.andrews@ourbusiness.biz</t>
  </si>
  <si>
    <t>frank.valdez@ourbusiness.biz</t>
  </si>
  <si>
    <t>roger.peterson@ourbusiness.biz</t>
  </si>
  <si>
    <t>judy.dominguez@ourbusiness.biz</t>
  </si>
  <si>
    <t>ryan.chapman@ourbusiness.biz</t>
  </si>
  <si>
    <t>sofia.hayes@ourbusiness.biz</t>
  </si>
  <si>
    <t>hannah.payne@ourbusiness.biz</t>
  </si>
  <si>
    <t>carolyn.morris@ourbusiness.biz</t>
  </si>
  <si>
    <t>abigail.weaver@ourbusiness.biz</t>
  </si>
  <si>
    <t>henry.vargas@ourbusiness.biz</t>
  </si>
  <si>
    <t>alice.rodriguez@ourbusiness.biz</t>
  </si>
  <si>
    <t>cheryl.jacobs@ourbusiness.biz</t>
  </si>
  <si>
    <t>ana.lawrence@ourbusiness.biz</t>
  </si>
  <si>
    <t>min.miller@ourbusiness.biz</t>
  </si>
  <si>
    <t>rebecca.ramos@ourbusiness.biz</t>
  </si>
  <si>
    <t>jonathan.kelly@ourbusiness.biz</t>
  </si>
  <si>
    <t>walter.nguyen@ourbusiness.biz</t>
  </si>
  <si>
    <t>keith.brooks@ourbusiness.biz</t>
  </si>
  <si>
    <t>paul.campbell@ourbusiness.biz</t>
  </si>
  <si>
    <t>kavita.arnold@ourbusiness.biz</t>
  </si>
  <si>
    <t>latoya.wright@ourbusiness.biz</t>
  </si>
  <si>
    <t>jose.chavez@ourbusiness.biz</t>
  </si>
  <si>
    <t>olivia.armstrong@ourbusiness.biz</t>
  </si>
  <si>
    <t>ahmed.walker@ourbusiness.biz</t>
  </si>
  <si>
    <t>sharon.hansen@ourbusiness.biz</t>
  </si>
  <si>
    <t>sara.rice@ourbusiness.biz</t>
  </si>
  <si>
    <t>olga.huang@ourbusiness.biz</t>
  </si>
  <si>
    <t>christian.wheeler@ourbusiness.biz</t>
  </si>
  <si>
    <t>pamela.wagner@ourbusiness.biz</t>
  </si>
  <si>
    <t>kayla.rice@ourbusiness.biz</t>
  </si>
  <si>
    <t>paul.gardner@ourbusiness.biz</t>
  </si>
  <si>
    <t>cynthia.nelson@ourbusiness.biz</t>
  </si>
  <si>
    <t>wayne.soto@ourbusiness.biz</t>
  </si>
  <si>
    <t>jessica.clark@ourbusiness.biz</t>
  </si>
  <si>
    <t>ahmed.kowalski@ourbusiness.biz</t>
  </si>
  <si>
    <t>daniel.mendoza@ourbusiness.biz</t>
  </si>
  <si>
    <t>zachary.snyder@ourbusiness.biz</t>
  </si>
  <si>
    <t>charlotte.hunt@ourbusiness.biz</t>
  </si>
  <si>
    <t>ahmed.griffin@ourbusiness.biz</t>
  </si>
  <si>
    <t>ann.duncan@ourbusiness.biz</t>
  </si>
  <si>
    <t>juan.santiago@ourbusiness.biz</t>
  </si>
  <si>
    <t>brittany.porter@ourbusiness.biz</t>
  </si>
  <si>
    <t>pamela.gray@ourbusiness.biz</t>
  </si>
  <si>
    <t>douglas.porter@ourbusiness.biz</t>
  </si>
  <si>
    <t>elizabeth.black@ourbusiness.biz</t>
  </si>
  <si>
    <t>elijah.cox@ourbusiness.biz</t>
  </si>
  <si>
    <t>laura.walker@ourbusiness.biz</t>
  </si>
  <si>
    <t>omar.santos@ourbusiness.biz</t>
  </si>
  <si>
    <t>gregory.carroll@ourbusiness.biz</t>
  </si>
  <si>
    <t>grace.jordan@ourbusiness.biz</t>
  </si>
  <si>
    <t>larry.turner@ourbusiness.biz</t>
  </si>
  <si>
    <t>fatima.ramirez@ourbusiness.biz</t>
  </si>
  <si>
    <t>omar.ellis@ourbusiness.biz</t>
  </si>
  <si>
    <t>bryan.patel@ourbusiness.biz</t>
  </si>
  <si>
    <t>elizabeth.jones@ourbusiness.biz</t>
  </si>
  <si>
    <t>Director of Procurement</t>
  </si>
  <si>
    <t>charles.daniels@ourbusiness.biz</t>
  </si>
  <si>
    <t>Senior Buyer</t>
  </si>
  <si>
    <t>andrea.taylor@ourbusiness.biz</t>
  </si>
  <si>
    <t>Buyer</t>
  </si>
  <si>
    <t>hiroshi.singh@ourbusiness.biz</t>
  </si>
  <si>
    <t>Supply Chain Analyst</t>
  </si>
  <si>
    <t>kevin.grant@ourbusiness.biz</t>
  </si>
  <si>
    <t>Procurement Manager</t>
  </si>
  <si>
    <t>olivia.cooper@ourbusiness.biz</t>
  </si>
  <si>
    <t>evelyn.hernandez@ourbusiness.biz</t>
  </si>
  <si>
    <t>jesse.guzman@ourbusiness.biz</t>
  </si>
  <si>
    <t>danielle.estrada@ourbusiness.biz</t>
  </si>
  <si>
    <t>andrew.riley@ourbusiness.biz</t>
  </si>
  <si>
    <t>patricia.henry@ourbusiness.biz</t>
  </si>
  <si>
    <t>miguel.price@ourbusiness.biz</t>
  </si>
  <si>
    <t>pamela.brown@ourbusiness.biz</t>
  </si>
  <si>
    <t>stephanie.freeman@ourbusiness.biz</t>
  </si>
  <si>
    <t>Purchasing Assistant</t>
  </si>
  <si>
    <t>brandon.sullivan@ourbusiness.biz</t>
  </si>
  <si>
    <t>aaron.webb@ourbusiness.biz</t>
  </si>
  <si>
    <t>elena.freeman@ourbusiness.biz</t>
  </si>
  <si>
    <t>susan.harris@ourbusiness.biz</t>
  </si>
  <si>
    <t>jennifer.gibson@ourbusiness.biz</t>
  </si>
  <si>
    <t>keith.morgan@ourbusiness.biz</t>
  </si>
  <si>
    <t>sara.ivanov@ourbusiness.biz</t>
  </si>
  <si>
    <t>peter.weaver@ourbusiness.biz</t>
  </si>
  <si>
    <t>nathan.kennedy@ourbusiness.biz</t>
  </si>
  <si>
    <t>carlos.green@ourbusiness.biz</t>
  </si>
  <si>
    <t>camila.berry@ourbusiness.biz</t>
  </si>
  <si>
    <t>margaret.reyes@ourbusiness.biz</t>
  </si>
  <si>
    <t>jose.larson@ourbusiness.biz</t>
  </si>
  <si>
    <t>kavita.murray@ourbusiness.biz</t>
  </si>
  <si>
    <t>willie.salazar@ourbusiness.biz</t>
  </si>
  <si>
    <t>harold.meyer@ourbusiness.biz</t>
  </si>
  <si>
    <t>alan.valdez@ourbusiness.biz</t>
  </si>
  <si>
    <t>hiroshi.elliott@ourbusiness.biz</t>
  </si>
  <si>
    <t>julia.rogers@ourbusiness.biz</t>
  </si>
  <si>
    <t>matthew.nichols@ourbusiness.biz</t>
  </si>
  <si>
    <t>valeria.kim@ourbusiness.biz</t>
  </si>
  <si>
    <t>pamela.sullivan@ourbusiness.biz</t>
  </si>
  <si>
    <t>Director of Information Technology</t>
  </si>
  <si>
    <t>jose.armstrong@ourbusiness.biz</t>
  </si>
  <si>
    <t>Network Engineer</t>
  </si>
  <si>
    <t>amanda.gordon@ourbusiness.biz</t>
  </si>
  <si>
    <t>Help Desk Analyst</t>
  </si>
  <si>
    <t>fatima.gray@ourbusiness.biz</t>
  </si>
  <si>
    <t>Application Developer</t>
  </si>
  <si>
    <t>heather.rice@ourbusiness.biz</t>
  </si>
  <si>
    <t>Systems Administrator</t>
  </si>
  <si>
    <t>margaret.salazar@ourbusiness.biz</t>
  </si>
  <si>
    <t>IT Manager</t>
  </si>
  <si>
    <t>tanya.aguilar@ourbusiness.biz</t>
  </si>
  <si>
    <t>katherine.salazar@ourbusiness.biz</t>
  </si>
  <si>
    <t>ahmed.snyder@ourbusiness.biz</t>
  </si>
  <si>
    <t>Cybersecurity Analyst</t>
  </si>
  <si>
    <t>donna.meyer@ourbusiness.biz</t>
  </si>
  <si>
    <t>tariq.valdez@ourbusiness.biz</t>
  </si>
  <si>
    <t>IT Support Technician</t>
  </si>
  <si>
    <t>abigail.reyes@ourbusiness.biz</t>
  </si>
  <si>
    <t>Database Administrator</t>
  </si>
  <si>
    <t>ana.aguilar@ourbusiness.biz</t>
  </si>
  <si>
    <t>helen.stephens@ourbusiness.biz</t>
  </si>
  <si>
    <t>Senior Systems Engineer</t>
  </si>
  <si>
    <t>daniel.guzman@ourbusiness.biz</t>
  </si>
  <si>
    <t>derek.roberts@ourbusiness.biz</t>
  </si>
  <si>
    <t>larry.lee@ourbusiness.biz</t>
  </si>
  <si>
    <t>kyle.zhang@ourbusiness.biz</t>
  </si>
  <si>
    <t>priya.lopez@ourbusiness.biz</t>
  </si>
  <si>
    <t>sara.kim@ourbusiness.biz</t>
  </si>
  <si>
    <t>jordan.sullivan@ourbusiness.biz</t>
  </si>
  <si>
    <t>beverly.morrison@ourbusiness.biz</t>
  </si>
  <si>
    <t>arthur.gibson@ourbusiness.biz</t>
  </si>
  <si>
    <t>ahmed.santiago@ourbusiness.biz</t>
  </si>
  <si>
    <t>mei.choi@ourbusiness.biz</t>
  </si>
  <si>
    <t>randy.butler@ourbusiness.biz</t>
  </si>
  <si>
    <t>kathryn.vasquez@ourbusiness.biz</t>
  </si>
  <si>
    <t>ana.mendez@ourbusiness.biz</t>
  </si>
  <si>
    <t>diana.thompson@ourbusiness.biz</t>
  </si>
  <si>
    <t>mary.pena@ourbusiness.biz</t>
  </si>
  <si>
    <t>aaron.romero@ourbusiness.biz</t>
  </si>
  <si>
    <t>gary.shah@ourbusiness.biz</t>
  </si>
  <si>
    <t>rebecca.schmidt@ourbusiness.biz</t>
  </si>
  <si>
    <t>billy.rogers@ourbusiness.biz</t>
  </si>
  <si>
    <t>tomas.simmons@ourbusiness.biz</t>
  </si>
  <si>
    <t>dylan.jones@ourbusiness.biz</t>
  </si>
  <si>
    <t>ananya.johnston@ourbusiness.biz</t>
  </si>
  <si>
    <t>raj.washington@ourbusiness.biz</t>
  </si>
  <si>
    <t>donald.carlson@ourbusiness.biz</t>
  </si>
  <si>
    <t>thomas.vargas@ourbusiness.biz</t>
  </si>
  <si>
    <t>lawrence.pena@ourbusiness.biz</t>
  </si>
  <si>
    <t>luis.bryant@ourbusiness.biz</t>
  </si>
  <si>
    <t>sarah.mendoza@ourbusiness.biz</t>
  </si>
  <si>
    <t>marie.gibson@ourbusiness.biz</t>
  </si>
  <si>
    <t>diana.moreno@ourbusiness.biz</t>
  </si>
  <si>
    <t>gary.murphy@ourbusiness.biz</t>
  </si>
  <si>
    <t>dylan.knight@ourbusiness.biz</t>
  </si>
  <si>
    <t>amber.gardner@ourbusiness.biz</t>
  </si>
  <si>
    <t>jacqueline.moreno@ourbusiness.biz</t>
  </si>
  <si>
    <t>debra.cooper@ourbusiness.biz</t>
  </si>
  <si>
    <t>roger.campbell@ourbusiness.biz</t>
  </si>
  <si>
    <t>aaron.wilson@ourbusiness.biz</t>
  </si>
  <si>
    <t>teresa.silva@ourbusiness.biz</t>
  </si>
  <si>
    <t>amanda.jones@ourbusiness.biz</t>
  </si>
  <si>
    <t>john.bradley@ourbusiness.biz</t>
  </si>
  <si>
    <t>pamela.murphy@ourbusiness.biz</t>
  </si>
  <si>
    <t>joseph.scott@ourbusiness.biz</t>
  </si>
  <si>
    <t>timothy.gray@ourbusiness.biz</t>
  </si>
  <si>
    <t>billy.boyd@ourbusiness.biz</t>
  </si>
  <si>
    <t>nikhil.ruiz@ourbusiness.biz</t>
  </si>
  <si>
    <t>elijah.barnes@ourbusiness.biz</t>
  </si>
  <si>
    <t>brian.hudson@ourbusiness.biz</t>
  </si>
  <si>
    <t>harold.kim@ourbusiness.biz</t>
  </si>
  <si>
    <t>QA Engineer</t>
  </si>
  <si>
    <t>min.shah@ourbusiness.biz</t>
  </si>
  <si>
    <t>Director of Quality Assurance</t>
  </si>
  <si>
    <t>deepa.rios@ourbusiness.biz</t>
  </si>
  <si>
    <t>QA Manager</t>
  </si>
  <si>
    <t>eric.washington@ourbusiness.biz</t>
  </si>
  <si>
    <t>Senior QA Engineer</t>
  </si>
  <si>
    <t>christina.singh@ourbusiness.biz</t>
  </si>
  <si>
    <t>QA Technician</t>
  </si>
  <si>
    <t>ivan.castillo@ourbusiness.biz</t>
  </si>
  <si>
    <t>Quality Inspector</t>
  </si>
  <si>
    <t>andrew.vargas@ourbusiness.biz</t>
  </si>
  <si>
    <t>darius.carpenter@ourbusiness.biz</t>
  </si>
  <si>
    <t>noah.hill@ourbusiness.biz</t>
  </si>
  <si>
    <t>nikhil.porter@ourbusiness.biz</t>
  </si>
  <si>
    <t>beverly.santiago@ourbusiness.biz</t>
  </si>
  <si>
    <t>keith.novak@ourbusiness.biz</t>
  </si>
  <si>
    <t>dennis.gray@ourbusiness.biz</t>
  </si>
  <si>
    <t>wei.carroll@ourbusiness.biz</t>
  </si>
  <si>
    <t>QA Supervisor</t>
  </si>
  <si>
    <t>nicole.howard@ourbusiness.biz</t>
  </si>
  <si>
    <t>sofia.guerrero@ourbusiness.biz</t>
  </si>
  <si>
    <t>brenda.vargas@ourbusiness.biz</t>
  </si>
  <si>
    <t>maria.flores@ourbusiness.biz</t>
  </si>
  <si>
    <t>stephen.daniels@ourbusiness.biz</t>
  </si>
  <si>
    <t>grace.peters@ourbusiness.biz</t>
  </si>
  <si>
    <t>danielle.brooks@ourbusiness.biz</t>
  </si>
  <si>
    <t>natalie.hunter@ourbusiness.biz</t>
  </si>
  <si>
    <t>james.huang@ourbusiness.biz</t>
  </si>
  <si>
    <t>mei.carlson@ourbusiness.biz</t>
  </si>
  <si>
    <t>russell.nguyen@ourbusiness.biz</t>
  </si>
  <si>
    <t>julie.stewart@ourbusiness.biz</t>
  </si>
  <si>
    <t>mark.griffin@ourbusiness.biz</t>
  </si>
  <si>
    <t>joe.berry@ourbusiness.biz</t>
  </si>
  <si>
    <t>min.kowalski@ourbusiness.biz</t>
  </si>
  <si>
    <t>diego.ward@ourbusiness.biz</t>
  </si>
  <si>
    <t>carl.yang@ourbusiness.biz</t>
  </si>
  <si>
    <t>wayne.valdez@ourbusiness.biz</t>
  </si>
  <si>
    <t>albert.meyer@ourbusiness.biz</t>
  </si>
  <si>
    <t>olivia.carpenter@ourbusiness.biz</t>
  </si>
  <si>
    <t>joe.guzman@ourbusiness.biz</t>
  </si>
  <si>
    <t>kimberly.morris@ourbusiness.biz</t>
  </si>
  <si>
    <t>scott.adams@ourbusiness.biz</t>
  </si>
  <si>
    <t>cynthia.brooks@ourbusiness.biz</t>
  </si>
  <si>
    <t>helen.tanaka@ourbusiness.biz</t>
  </si>
  <si>
    <t>lauren.carter@ourbusiness.biz</t>
  </si>
  <si>
    <t>charlotte.clark@ourbusiness.biz</t>
  </si>
  <si>
    <t>russell.shaw@ourbusiness.biz</t>
  </si>
  <si>
    <t>latoya.hoffman@ourbusiness.biz</t>
  </si>
  <si>
    <t>katherine.dunn@ourbusiness.biz</t>
  </si>
  <si>
    <t>kavita.marshall@ourbusiness.biz</t>
  </si>
  <si>
    <t>ahmed.romero@ourbusiness.biz</t>
  </si>
  <si>
    <t>adam.snyder@ourbusiness.biz</t>
  </si>
  <si>
    <t>jean.carr@ourbusiness.biz</t>
  </si>
  <si>
    <t>ann.castro@ourbusiness.biz</t>
  </si>
  <si>
    <t>willie.sullivan@ourbusiness.biz</t>
  </si>
  <si>
    <t>harold.vazquez@ourbusiness.biz</t>
  </si>
  <si>
    <t>deepa.daniels@ourbusiness.biz</t>
  </si>
  <si>
    <t>isabella.cruz@ourbusiness.biz</t>
  </si>
  <si>
    <t>jacqueline.freeman@ourbusiness.biz</t>
  </si>
  <si>
    <t>sharon.lopez@ourbusiness.biz</t>
  </si>
  <si>
    <t>brenda.barnes@ourbusiness.biz</t>
  </si>
  <si>
    <t>kenneth.hansen@ourbusiness.biz</t>
  </si>
  <si>
    <t>kimberly.alexander@ourbusiness.biz</t>
  </si>
  <si>
    <t>sara.patel@ourbusiness.biz</t>
  </si>
  <si>
    <t>sanjay.gardner@ourbusiness.biz</t>
  </si>
  <si>
    <t>marie.olson@ourbusiness.biz</t>
  </si>
  <si>
    <t>Deputy General Counsel</t>
  </si>
  <si>
    <t>jack.lane@ourbusiness.biz</t>
  </si>
  <si>
    <t>Corporate Attorney</t>
  </si>
  <si>
    <t>ashley.rodriguez@ourbusiness.biz</t>
  </si>
  <si>
    <t>Paralegal</t>
  </si>
  <si>
    <t>tanya.warren@ourbusiness.biz</t>
  </si>
  <si>
    <t>Compliance Manager</t>
  </si>
  <si>
    <t>eric.williams@ourbusiness.biz</t>
  </si>
  <si>
    <t>Senior Counsel</t>
  </si>
  <si>
    <t>amanda.george@ourbusiness.biz</t>
  </si>
  <si>
    <t>Legal Assistant</t>
  </si>
  <si>
    <t>ahmed.evans@ourbusiness.biz</t>
  </si>
  <si>
    <t>joe.lawson@ourbusiness.biz</t>
  </si>
  <si>
    <t>charlotte.grant@ourbusiness.biz</t>
  </si>
  <si>
    <t>willie.kim@ourbusiness.biz</t>
  </si>
  <si>
    <t>betty.cox@ourbusiness.biz</t>
  </si>
  <si>
    <t>logan.cunningham@ourbusiness.biz</t>
  </si>
  <si>
    <t>Compliance Analyst</t>
  </si>
  <si>
    <t>gary.matthews@ourbusiness.biz</t>
  </si>
  <si>
    <t>kayla.rose@ourbusiness.biz</t>
  </si>
  <si>
    <t>Director of Facilities</t>
  </si>
  <si>
    <t>jeffrey.novak@ourbusiness.biz</t>
  </si>
  <si>
    <t>Facilities Manager</t>
  </si>
  <si>
    <t>nicole.washington@ourbusiness.biz</t>
  </si>
  <si>
    <t>Custodian</t>
  </si>
  <si>
    <t>ronald.jacobs@ourbusiness.biz</t>
  </si>
  <si>
    <t>Groundskeeper</t>
  </si>
  <si>
    <t>terry.alvarado@ourbusiness.biz</t>
  </si>
  <si>
    <t>ralph.vazquez@ourbusiness.biz</t>
  </si>
  <si>
    <t>Maintenance Technician</t>
  </si>
  <si>
    <t>nancy.guzman@ourbusiness.biz</t>
  </si>
  <si>
    <t>HVAC Technician</t>
  </si>
  <si>
    <t>christine.johnson@ourbusiness.biz</t>
  </si>
  <si>
    <t>Maintenance Supervisor</t>
  </si>
  <si>
    <t>janice.morrison@ourbusiness.biz</t>
  </si>
  <si>
    <t>Electrician</t>
  </si>
  <si>
    <t>mason.ramirez@ourbusiness.biz</t>
  </si>
  <si>
    <t>deepa.lopez@ourbusiness.biz</t>
  </si>
  <si>
    <t>janet.mcdonald@ourbusiness.biz</t>
  </si>
  <si>
    <t>Security Officer</t>
  </si>
  <si>
    <t>kwame.moore@ourbusiness.biz</t>
  </si>
  <si>
    <t>zachary.carlson@ourbusiness.biz</t>
  </si>
  <si>
    <t>julia.chen@ourbusiness.biz</t>
  </si>
  <si>
    <t>evelyn.hart@ourbusiness.biz</t>
  </si>
  <si>
    <t>alan.james@ourbusiness.biz</t>
  </si>
  <si>
    <t>susan.ortiz@ourbusiness.biz</t>
  </si>
  <si>
    <t>emily.brooks@ourbusiness.biz</t>
  </si>
  <si>
    <t>ralph.delgado@ourbusiness.biz</t>
  </si>
  <si>
    <t>madison.kennedy@ourbusiness.biz</t>
  </si>
  <si>
    <t>christian.jung@ourbusiness.biz</t>
  </si>
  <si>
    <t>amanda.bryant@ourbusiness.biz</t>
  </si>
  <si>
    <t>christian.smith@ourbusiness.biz</t>
  </si>
  <si>
    <t>sharon.romero@ourbusiness.biz</t>
  </si>
  <si>
    <t>nikhil.west@ourbusiness.biz</t>
  </si>
  <si>
    <t>donald.wells@ourbusiness.biz</t>
  </si>
  <si>
    <t>steven.gonzalez@ourbusiness.biz</t>
  </si>
  <si>
    <t>sandra.simpson@ourbusiness.biz</t>
  </si>
  <si>
    <t>lucia.hudson@ourbusiness.biz</t>
  </si>
  <si>
    <t>janice.hassan@ourbusiness.biz</t>
  </si>
  <si>
    <t>donna.kelly@ourbusiness.biz</t>
  </si>
  <si>
    <t>christian.edwards@ourbusiness.biz</t>
  </si>
  <si>
    <t>ralph.bradley@ourbusiness.biz</t>
  </si>
  <si>
    <t>bruce.simpson@ourbusiness.biz</t>
  </si>
  <si>
    <t>brittany.gardner@ourbusiness.biz</t>
  </si>
  <si>
    <t>arthur.hoffman@ourbusiness.biz</t>
  </si>
  <si>
    <t>carlos.collins@ourbusiness.biz</t>
  </si>
  <si>
    <t>laura.reed@ourbusiness.biz</t>
  </si>
  <si>
    <t>ivan.collins@ourbusiness.biz</t>
  </si>
  <si>
    <t>ronald.sato@ourbusiness.biz</t>
  </si>
  <si>
    <t>dylan.johnston@ourbusiness.biz</t>
  </si>
  <si>
    <t>elijah.mendoza@ourbusiness.biz</t>
  </si>
  <si>
    <t>doris.collins@ourbusiness.biz</t>
  </si>
  <si>
    <t>michelle.carpenter@ourbusiness.biz</t>
  </si>
  <si>
    <t>yuki.carpenter@ourbusiness.biz</t>
  </si>
  <si>
    <t>andre.marshall@ourbusiness.biz</t>
  </si>
  <si>
    <t>yuki.payne@ourbusiness.biz</t>
  </si>
  <si>
    <t>timothy.campbell@ourbusiness.biz</t>
  </si>
  <si>
    <t>joan.hamilton@ourbusiness.biz</t>
  </si>
  <si>
    <t>Data Dictionary</t>
  </si>
  <si>
    <t>Table</t>
  </si>
  <si>
    <t>Field Name</t>
  </si>
  <si>
    <t>Data Type</t>
  </si>
  <si>
    <t>Unit / Format</t>
  </si>
  <si>
    <t>Key</t>
  </si>
  <si>
    <t>Nullable</t>
  </si>
  <si>
    <t>Allowed Values / Range</t>
  </si>
  <si>
    <t>Source / Generation (from original repo)</t>
  </si>
  <si>
    <t>Example (live, from data)</t>
  </si>
  <si>
    <t>Blank Count (live)</t>
  </si>
  <si>
    <t>Notes</t>
  </si>
  <si>
    <t>Employees</t>
  </si>
  <si>
    <t>Employee ID number</t>
  </si>
  <si>
    <t>INTEGER</t>
  </si>
  <si>
    <t>Whole number (displayed 0000)</t>
  </si>
  <si>
    <t>PK</t>
  </si>
  <si>
    <t>N</t>
  </si>
  <si>
    <t>Positive integer, unique</t>
  </si>
  <si>
    <t>First name</t>
  </si>
  <si>
    <t>VARCHAR(50)</t>
  </si>
  <si>
    <t>Text</t>
  </si>
  <si>
    <t>Last name</t>
  </si>
  <si>
    <t>Date of birth</t>
  </si>
  <si>
    <t>DATE</t>
  </si>
  <si>
    <t>yyyy-mm-dd</t>
  </si>
  <si>
    <t>Employee aged 18+ at HIRE_DATE</t>
  </si>
  <si>
    <t>Stored as Excel date serial; load as DATE.</t>
  </si>
  <si>
    <t>Job title</t>
  </si>
  <si>
    <t>VARCHAR(100)</t>
  </si>
  <si>
    <t>One of ~118 titles; each title maps to a single LEVEL</t>
  </si>
  <si>
    <t>Level of position</t>
  </si>
  <si>
    <t>SMALLINT</t>
  </si>
  <si>
    <t>Whole number</t>
  </si>
  <si>
    <t>1 to 10</t>
  </si>
  <si>
    <t>Email address</t>
  </si>
  <si>
    <t>UNIQUE</t>
  </si>
  <si>
    <t>Lower-case first.last@ourbusiness.biz</t>
  </si>
  <si>
    <t>Employee ID of the employee's manager</t>
  </si>
  <si>
    <t>FK → Employees.EMPLOYEE_ID</t>
  </si>
  <si>
    <t>Y</t>
  </si>
  <si>
    <t>Existing EMPLOYEE_ID; blank only for the CEO</t>
  </si>
  <si>
    <t>Current manager only; no manager history. Example shown from row 3 because the CEO (row 2) is blank.</t>
  </si>
  <si>
    <t>Work location</t>
  </si>
  <si>
    <t>Remote, HQ, or a city name</t>
  </si>
  <si>
    <t>Employee_History</t>
  </si>
  <si>
    <t>Existing EMPLOYEE_ID</t>
  </si>
  <si>
    <t>One row per employee today; for true history use effective-dated rows.</t>
  </si>
  <si>
    <t>Department the employee belongs to</t>
  </si>
  <si>
    <t>FK → Departments.DEPARTMENT_ID</t>
  </si>
  <si>
    <t>Existing DEPARTMENT_ID</t>
  </si>
  <si>
    <t>Date of hiring</t>
  </si>
  <si>
    <t>On or after the department FOUNDING_DATE</t>
  </si>
  <si>
    <t>Date of termination</t>
  </si>
  <si>
    <t>Blank = still employed; must be on or after HIRE_DATE</t>
  </si>
  <si>
    <t>Status of employment</t>
  </si>
  <si>
    <t>VARCHAR(20)</t>
  </si>
  <si>
    <t>Full-Time, Part-Time, Contractor</t>
  </si>
  <si>
    <t>Compensation</t>
  </si>
  <si>
    <t>One row per employee; no effective date.</t>
  </si>
  <si>
    <t>Salary</t>
  </si>
  <si>
    <t>DECIMAL(12,2)</t>
  </si>
  <si>
    <t>USD, whole dollars (no scaling)</t>
  </si>
  <si>
    <t>Greater than 0</t>
  </si>
  <si>
    <t>Performance rating</t>
  </si>
  <si>
    <t>1 to 5</t>
  </si>
  <si>
    <t>Departments</t>
  </si>
  <si>
    <t>Department ID number</t>
  </si>
  <si>
    <t>Department name</t>
  </si>
  <si>
    <t>Department budget for 2025</t>
  </si>
  <si>
    <t>DECIMAL(15,2)</t>
  </si>
  <si>
    <t>Greater than or equal to 0</t>
  </si>
  <si>
    <t>Unique (as BUDGET)</t>
  </si>
  <si>
    <t>CORRECTED: original repo said "Millions" and had a single BUDGET field. Recommend long format (DEPARTMENT_ID, FISCAL_YEAR, BUDGET_USD).</t>
  </si>
  <si>
    <t>Department budget for 2026</t>
  </si>
  <si>
    <t>See BUDGET_2025.</t>
  </si>
  <si>
    <t>Department budget for 2027</t>
  </si>
  <si>
    <t>Date the department was founded</t>
  </si>
  <si>
    <t>On or before earliest HIRE_DATE in the department</t>
  </si>
  <si>
    <t>Not in original repo</t>
  </si>
  <si>
    <t>Added to the dictionary; was undocumented.</t>
  </si>
  <si>
    <t>ID of the parent department</t>
  </si>
  <si>
    <t>Existing DEPARTMENT_ID; blank only for the root (Executive)</t>
  </si>
  <si>
    <t>Current headcount of the department</t>
  </si>
  <si>
    <t>Equals active employees (blank TERM_DATE) in Employee_History</t>
  </si>
  <si>
    <t>Self-referencing hierarchy. Example shown from row 3 because the root department (row 2) is blank.</t>
  </si>
  <si>
    <t>CORRECTED: original repo said "Thousands" but values are whole dollars. Annual salary (confirmed by data owner).</t>
  </si>
  <si>
    <t>EMPLOYMENT_STATE</t>
  </si>
  <si>
    <t>POSITION_ID</t>
  </si>
  <si>
    <t>POSITION_TITLE</t>
  </si>
  <si>
    <t>EMPLOYEE_COUNT</t>
  </si>
  <si>
    <t>ACTIVE_COUNT</t>
  </si>
  <si>
    <t>LOCATION_ID</t>
  </si>
  <si>
    <t>LOCATION_NAME</t>
  </si>
  <si>
    <t>LOCATION_TYPE</t>
  </si>
  <si>
    <t>Site</t>
  </si>
  <si>
    <t>Data Quality Checks</t>
  </si>
  <si>
    <t>Live checks against the Employees, Employee_History, Compensation, Departments, Positions and Locations sheets. Expected values are inputs (blue); Actual values are formulas.</t>
  </si>
  <si>
    <t>Checks failing</t>
  </si>
  <si>
    <t>Total checks</t>
  </si>
  <si>
    <t>#</t>
  </si>
  <si>
    <t>Category</t>
  </si>
  <si>
    <t>Check</t>
  </si>
  <si>
    <t>Table(s)</t>
  </si>
  <si>
    <t>Expected</t>
  </si>
  <si>
    <t>Actual</t>
  </si>
  <si>
    <t>Status</t>
  </si>
  <si>
    <t>Row counts</t>
  </si>
  <si>
    <t>Employees row count = Employee_History row count</t>
  </si>
  <si>
    <t>Difference in row counts (Employees minus Employee_History).</t>
  </si>
  <si>
    <t>Employees row count = Compensation row count</t>
  </si>
  <si>
    <t>Difference in row counts (Employees minus Compensation).</t>
  </si>
  <si>
    <t>Uniqueness</t>
  </si>
  <si>
    <t>Duplicate EMPLOYEE_ID in Employees</t>
  </si>
  <si>
    <t>EMPLOYEE_ID must be unique (PK).</t>
  </si>
  <si>
    <t>Duplicate EMAIL in Employees</t>
  </si>
  <si>
    <t>EMAIL must be unique.</t>
  </si>
  <si>
    <t>Duplicate EMPLOYEE_ID in Employee_History</t>
  </si>
  <si>
    <t>Currently one history row per employee.</t>
  </si>
  <si>
    <t>Duplicate EMPLOYEE_ID in Compensation</t>
  </si>
  <si>
    <t>Currently one compensation row per employee.</t>
  </si>
  <si>
    <t>Duplicate DEPARTMENT_ID in Departments</t>
  </si>
  <si>
    <t>DEPARTMENT_ID must be unique (PK).</t>
  </si>
  <si>
    <t>Referential integrity</t>
  </si>
  <si>
    <t>Employee_History rows with no matching Employee</t>
  </si>
  <si>
    <t>FK: Employee_History.EMPLOYEE_ID → Employees.</t>
  </si>
  <si>
    <t>Employees with no Employee_History row</t>
  </si>
  <si>
    <t>Every employee needs a history row.</t>
  </si>
  <si>
    <t>Compensation rows with no matching Employee</t>
  </si>
  <si>
    <t>FK: Compensation.EMPLOYEE_ID → Employees.</t>
  </si>
  <si>
    <t>Employees with no Compensation row</t>
  </si>
  <si>
    <t>Every employee needs a compensation row.</t>
  </si>
  <si>
    <t>MGR_ID not found in Employees</t>
  </si>
  <si>
    <t>FK: Employees.MGR_ID → Employees.</t>
  </si>
  <si>
    <t>Employees with blank MGR_ID</t>
  </si>
  <si>
    <t>Expected: 1 (the CEO).</t>
  </si>
  <si>
    <t>Employee_History DEPARTMENT_ID not in Departments</t>
  </si>
  <si>
    <t>FK: Employee_History.DEPARTMENT_ID → Departments.</t>
  </si>
  <si>
    <t>PARENT_DEPARTMENT_ID not in Departments</t>
  </si>
  <si>
    <t>FK: self-referencing department hierarchy.</t>
  </si>
  <si>
    <t>Departments with blank PARENT_DEPARTMENT_ID</t>
  </si>
  <si>
    <t>Expected: 1 (root department).</t>
  </si>
  <si>
    <t>Employees with POSITION_ID or LOCATION_ID not found</t>
  </si>
  <si>
    <t>Lookup coverage for Positions and Locations.</t>
  </si>
  <si>
    <t>Domain</t>
  </si>
  <si>
    <t>LEVEL outside 1 to 10</t>
  </si>
  <si>
    <t>Includes non-numeric or blank values.</t>
  </si>
  <si>
    <t>PERF_RATING outside 1 to 5</t>
  </si>
  <si>
    <t>SALARY blank, non-numeric or not positive</t>
  </si>
  <si>
    <t>SALARY must be a positive number.</t>
  </si>
  <si>
    <t>STATUS not Full-Time, Part-Time or Contractor</t>
  </si>
  <si>
    <t>Allowed values per the Data Dictionary.</t>
  </si>
  <si>
    <t>EMAIL not matching first.last@ourbusiness.biz</t>
  </si>
  <si>
    <t>Email follows the naming convention.</t>
  </si>
  <si>
    <t>Dates</t>
  </si>
  <si>
    <t>TERM_DATE before HIRE_DATE</t>
  </si>
  <si>
    <t>Termination cannot precede hiring.</t>
  </si>
  <si>
    <t>HIRE_DATE before department FOUNDING_DATE</t>
  </si>
  <si>
    <t>Employee cannot join a department before it existed.</t>
  </si>
  <si>
    <t>Employees aged under 18 at HIRE_DATE</t>
  </si>
  <si>
    <t>Uses DATE_OF_BIRTH from Employees.</t>
  </si>
  <si>
    <t>Business logic</t>
  </si>
  <si>
    <t>Active employees whose manager is terminated</t>
  </si>
  <si>
    <t>Reporting lines should be reassigned on termination.</t>
  </si>
  <si>
    <t>Sum of department HEADCOUNT − active employees</t>
  </si>
  <si>
    <t>Department headcount ties to the active employee count.</t>
  </si>
  <si>
    <t>Positions mapped to more than one LEVEL</t>
  </si>
  <si>
    <t>Each job title should have a single level.</t>
  </si>
  <si>
    <t>Employee counts: Positions and Locations vs Employees</t>
  </si>
  <si>
    <t>Lookup tables account for every employee.</t>
  </si>
  <si>
    <t>Employees / Employee_History</t>
  </si>
  <si>
    <t>Employees / Compensation</t>
  </si>
  <si>
    <t>Employee_History → Employees</t>
  </si>
  <si>
    <t>Employees → Employee_History</t>
  </si>
  <si>
    <t>Compensation → Employees</t>
  </si>
  <si>
    <t>Employees → Compensation</t>
  </si>
  <si>
    <t>Employees → Employees</t>
  </si>
  <si>
    <t>Employee_History → Departments</t>
  </si>
  <si>
    <t>Departments → Departments</t>
  </si>
  <si>
    <t>Employees → Positions / Locations</t>
  </si>
  <si>
    <t>Employee_History / Departments</t>
  </si>
  <si>
    <t>Employee_History / Employees</t>
  </si>
  <si>
    <t>Departments / Employee_History</t>
  </si>
  <si>
    <t>Positions / Locations / Employees</t>
  </si>
  <si>
    <t>Positions</t>
  </si>
  <si>
    <t>Position ID number</t>
  </si>
  <si>
    <t>Added in v1.2 (new lookup table)</t>
  </si>
  <si>
    <t>Lookup table listing each distinct job title once.</t>
  </si>
  <si>
    <t>Distinct titles used in Employees.POSITION</t>
  </si>
  <si>
    <t>Added in v1.2</t>
  </si>
  <si>
    <t>Level of the position</t>
  </si>
  <si>
    <t>Added in v1.2 (derived from Employees)</t>
  </si>
  <si>
    <t>Derived by formula; each title maps to exactly one level.</t>
  </si>
  <si>
    <t>Number of employees ever holding the title</t>
  </si>
  <si>
    <t>0 or more</t>
  </si>
  <si>
    <t>Added in v1.2 (derived)</t>
  </si>
  <si>
    <t>Reporting column derived by formula; do not load as source data.</t>
  </si>
  <si>
    <t>Number of currently active employees in the title</t>
  </si>
  <si>
    <t>Locations</t>
  </si>
  <si>
    <t>Location ID number</t>
  </si>
  <si>
    <t>Lookup table listing each distinct location once.</t>
  </si>
  <si>
    <t>Location name</t>
  </si>
  <si>
    <t>Distinct values used in Employees.LOCATION</t>
  </si>
  <si>
    <t>Type of location</t>
  </si>
  <si>
    <t>VARCHAR(10)</t>
  </si>
  <si>
    <t>HQ, Site, Remote</t>
  </si>
  <si>
    <t>Site = a named city other than HQ. State and country can be added when available.</t>
  </si>
  <si>
    <t>Number of employees ever at the location</t>
  </si>
  <si>
    <t>Number of currently active employees at the location</t>
  </si>
  <si>
    <t>Employment state derived from TERM_DATE</t>
  </si>
  <si>
    <t>Active, Terminated</t>
  </si>
  <si>
    <t>Formula: Active if TERM_DATE is blank, otherwise Terminated. Resolves STATUS not reflecting terminations.</t>
  </si>
  <si>
    <t>Foreign key to the Positions lookup</t>
  </si>
  <si>
    <t>FK → Positions.POSITION_ID</t>
  </si>
  <si>
    <t>Existing POSITION_ID</t>
  </si>
  <si>
    <t>Derived by formula from POSITION. The POSITION text column is retained.</t>
  </si>
  <si>
    <t>Foreign key to the Locations lookup</t>
  </si>
  <si>
    <t>FK → Locations.LOCATION_ID</t>
  </si>
  <si>
    <t>Existing LOCATION_ID</t>
  </si>
  <si>
    <t>Derived by formula from LOCATION. The LOCATION text column is retained.</t>
  </si>
  <si>
    <t>FK → Positions (via POSITION_ID)</t>
  </si>
  <si>
    <t>FK → Locations (via LOCATION_ID)</t>
  </si>
  <si>
    <t>Lookup built on the Positions sheet; Employees.POSITION_ID links to it. Text column retained.</t>
  </si>
  <si>
    <t>Lookup built on the Locations sheet; Employees.LOCATION_ID links to it. Text column retained.</t>
  </si>
  <si>
    <t>Now a formula: count of Active employees per department (EMPLOYMENT_STATE). Derived; do not load as source data.</t>
  </si>
  <si>
    <t>Not in original repo (derived by formula in v1.2)</t>
  </si>
  <si>
    <t>Original repo had a typo (period instead of comma). Does not indicate terminated employees; use EMPLOYMENT_STATE.</t>
  </si>
  <si>
    <t>Example shown from row 5 (a terminated employee). EMPLOYMENT_STATE is derived from this field.</t>
  </si>
  <si>
    <t>Version 1.2 | Last updated 2026-10-24 | Added EMPLOYMENT_STATE, POSITION_ID, LOCATION_ID, and the Positions and Locations lookups | Replaces the original Metadata Repo tab. Currency: USD, stored in whole dollars; scale to $K/$M only in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</si>
</sst>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yyyy\-mm\-dd;@"/>
    <numFmt numFmtId="165" formatCode="0000"/>
    <numFmt numFmtId="166" formatCode="#,##0;\(#,##0\);\-"/>
    <numFmt numFmtId="167" formatCode="&quot;$&quot;#,##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6"/>
      <color rgb="FF000000"/>
      <name val="Aptos Narrow"/>
      <scheme val="minor"/>
    </font>
    <font>
      <i/>
      <sz val="12"/>
      <color rgb="FF595959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vertical="center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166" fontId="4" fillId="0" borderId="2" xfId="0" applyNumberFormat="1" applyFont="1" applyBorder="1" applyAlignment="1">
      <alignment horizontal="right" vertical="top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167" fontId="0" fillId="0" borderId="0" xfId="0" applyNumberFormat="1"/>
    <xf numFmtId="167" fontId="0" fillId="0" borderId="0" xfId="1" applyNumberFormat="1" applyFont="1"/>
    <xf numFmtId="0" fontId="9" fillId="0" borderId="0" xfId="0" applyFont="1"/>
    <xf numFmtId="165" fontId="3" fillId="0" borderId="0" xfId="0" applyNumberFormat="1" applyFont="1"/>
    <xf numFmtId="0" fontId="8" fillId="3" borderId="0" xfId="0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3" fontId="10" fillId="0" borderId="2" xfId="0" applyNumberFormat="1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center" vertical="top"/>
    </xf>
    <xf numFmtId="0" fontId="8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166" fontId="4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0" fontId="4" fillId="0" borderId="1" xfId="0" applyNumberFormat="1" applyFont="1" applyBorder="1" applyAlignment="1">
      <alignment horizontal="right" vertical="top"/>
    </xf>
    <xf numFmtId="0" fontId="4" fillId="0" borderId="0" xfId="0" applyNumberFormat="1" applyFont="1" applyBorder="1" applyAlignment="1">
      <alignment horizontal="right" vertical="top"/>
    </xf>
    <xf numFmtId="0" fontId="4" fillId="0" borderId="2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4">
    <dxf>
      <font>
        <color rgb="FF006100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1" defaultTableStyle="TableStyleMedium2" defaultPivotStyle="PivotStyleLight16">
    <tableStyle name="Invisible" pivot="0" table="0" count="0" xr9:uid="{8A79D573-2535-4949-8E29-9D416DFA91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F34B61-40CF-4F1B-BAB7-E3969EEFF0A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691332-f016-4553-b24d-00c185b812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9D39-83BB-1E44-99D4-85142F23CCD5}">
  <sheetPr>
    <tabColor rgb="FF00B0F0"/>
  </sheetPr>
  <dimension ref="A1:L42"/>
  <sheetViews>
    <sheetView showGridLines="0" zoomScale="120" zoomScaleNormal="120" workbookViewId="0">
      <pane ySplit="4" topLeftCell="A28" activePane="bottomLeft" state="frozen"/>
      <selection pane="bottomLeft" activeCell="B40" sqref="B40"/>
    </sheetView>
  </sheetViews>
  <sheetFormatPr baseColWidth="10" defaultRowHeight="16" x14ac:dyDescent="0.2"/>
  <cols>
    <col min="1" max="1" width="16.5" customWidth="1"/>
    <col min="2" max="2" width="26.83203125" customWidth="1"/>
    <col min="3" max="3" width="35.1640625" customWidth="1"/>
    <col min="4" max="4" width="16.5" customWidth="1"/>
    <col min="5" max="5" width="29" customWidth="1"/>
    <col min="6" max="6" width="26.83203125" customWidth="1"/>
    <col min="7" max="7" width="10.33203125" customWidth="1"/>
    <col min="8" max="8" width="41.33203125" customWidth="1"/>
    <col min="9" max="9" width="31" customWidth="1"/>
    <col min="10" max="10" width="22.6640625" customWidth="1"/>
    <col min="11" max="11" width="14.5" customWidth="1"/>
    <col min="12" max="12" width="62" customWidth="1"/>
  </cols>
  <sheetData>
    <row r="1" spans="1:12" ht="22" x14ac:dyDescent="0.3">
      <c r="A1" s="7" t="s">
        <v>2200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">
      <c r="A2" s="8" t="s">
        <v>2428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34" customHeight="1" x14ac:dyDescent="0.2">
      <c r="A4" s="10" t="s">
        <v>2201</v>
      </c>
      <c r="B4" s="10" t="s">
        <v>2202</v>
      </c>
      <c r="C4" s="10" t="s">
        <v>16</v>
      </c>
      <c r="D4" s="10" t="s">
        <v>2203</v>
      </c>
      <c r="E4" s="10" t="s">
        <v>2204</v>
      </c>
      <c r="F4" s="10" t="s">
        <v>2205</v>
      </c>
      <c r="G4" s="10" t="s">
        <v>2206</v>
      </c>
      <c r="H4" s="10" t="s">
        <v>2207</v>
      </c>
      <c r="I4" s="10" t="s">
        <v>2208</v>
      </c>
      <c r="J4" s="10" t="s">
        <v>2209</v>
      </c>
      <c r="K4" s="10" t="s">
        <v>2210</v>
      </c>
      <c r="L4" s="10" t="s">
        <v>2211</v>
      </c>
    </row>
    <row r="5" spans="1:12" ht="17" x14ac:dyDescent="0.2">
      <c r="A5" s="20" t="s">
        <v>2212</v>
      </c>
      <c r="B5" s="12" t="s">
        <v>0</v>
      </c>
      <c r="C5" s="13" t="s">
        <v>2213</v>
      </c>
      <c r="D5" s="12" t="s">
        <v>2214</v>
      </c>
      <c r="E5" s="13" t="s">
        <v>2215</v>
      </c>
      <c r="F5" s="13" t="s">
        <v>2216</v>
      </c>
      <c r="G5" s="14" t="s">
        <v>2217</v>
      </c>
      <c r="H5" s="13" t="s">
        <v>2218</v>
      </c>
      <c r="I5" s="13" t="s">
        <v>18</v>
      </c>
      <c r="J5" s="40">
        <f>Employees!A2</f>
        <v>1</v>
      </c>
      <c r="K5" s="15">
        <f>COUNTA(Employees!$A:$A)-COUNTA(Employees!A:A)</f>
        <v>0</v>
      </c>
      <c r="L5" s="13"/>
    </row>
    <row r="6" spans="1:12" ht="17" x14ac:dyDescent="0.2">
      <c r="A6" s="34" t="s">
        <v>2212</v>
      </c>
      <c r="B6" s="35" t="s">
        <v>1</v>
      </c>
      <c r="C6" s="36" t="s">
        <v>2219</v>
      </c>
      <c r="D6" s="35" t="s">
        <v>2220</v>
      </c>
      <c r="E6" s="36" t="s">
        <v>2221</v>
      </c>
      <c r="F6" s="36"/>
      <c r="G6" s="37" t="s">
        <v>2217</v>
      </c>
      <c r="H6" s="36"/>
      <c r="I6" s="36" t="s">
        <v>17</v>
      </c>
      <c r="J6" s="41" t="str">
        <f>Employees!B2</f>
        <v>Daniel</v>
      </c>
      <c r="K6" s="38">
        <f>COUNTA(Employees!$A:$A)-COUNTA(Employees!B:B)</f>
        <v>0</v>
      </c>
      <c r="L6" s="36"/>
    </row>
    <row r="7" spans="1:12" ht="17" x14ac:dyDescent="0.2">
      <c r="A7" s="34" t="s">
        <v>2212</v>
      </c>
      <c r="B7" s="35" t="s">
        <v>2</v>
      </c>
      <c r="C7" s="36" t="s">
        <v>2222</v>
      </c>
      <c r="D7" s="35" t="s">
        <v>2220</v>
      </c>
      <c r="E7" s="36" t="s">
        <v>2221</v>
      </c>
      <c r="F7" s="36"/>
      <c r="G7" s="37" t="s">
        <v>2217</v>
      </c>
      <c r="H7" s="36"/>
      <c r="I7" s="36" t="s">
        <v>17</v>
      </c>
      <c r="J7" s="41" t="str">
        <f>Employees!C2</f>
        <v>Whitaker</v>
      </c>
      <c r="K7" s="38">
        <f>COUNTA(Employees!$A:$A)-COUNTA(Employees!C:C)</f>
        <v>0</v>
      </c>
      <c r="L7" s="36"/>
    </row>
    <row r="8" spans="1:12" ht="17" x14ac:dyDescent="0.2">
      <c r="A8" s="34" t="s">
        <v>2212</v>
      </c>
      <c r="B8" s="35" t="s">
        <v>4</v>
      </c>
      <c r="C8" s="36" t="s">
        <v>2223</v>
      </c>
      <c r="D8" s="35" t="s">
        <v>2224</v>
      </c>
      <c r="E8" s="36" t="s">
        <v>2225</v>
      </c>
      <c r="F8" s="36"/>
      <c r="G8" s="37" t="s">
        <v>2217</v>
      </c>
      <c r="H8" s="36" t="s">
        <v>2226</v>
      </c>
      <c r="I8" s="36" t="s">
        <v>17</v>
      </c>
      <c r="J8" s="41" t="str">
        <f>TEXT(Employees!D2,"yyyy-mm-dd")</f>
        <v>1970-08-22</v>
      </c>
      <c r="K8" s="38">
        <f>COUNTA(Employees!$A:$A)-COUNTA(Employees!D:D)</f>
        <v>0</v>
      </c>
      <c r="L8" s="36" t="s">
        <v>2227</v>
      </c>
    </row>
    <row r="9" spans="1:12" ht="34" x14ac:dyDescent="0.2">
      <c r="A9" s="34" t="s">
        <v>2212</v>
      </c>
      <c r="B9" s="35" t="s">
        <v>12</v>
      </c>
      <c r="C9" s="36" t="s">
        <v>2228</v>
      </c>
      <c r="D9" s="35" t="s">
        <v>2229</v>
      </c>
      <c r="E9" s="36" t="s">
        <v>2221</v>
      </c>
      <c r="F9" s="36" t="s">
        <v>2420</v>
      </c>
      <c r="G9" s="37" t="s">
        <v>2217</v>
      </c>
      <c r="H9" s="36" t="s">
        <v>2230</v>
      </c>
      <c r="I9" s="36" t="s">
        <v>17</v>
      </c>
      <c r="J9" s="41" t="str">
        <f>Employees!E2</f>
        <v>Chief Executive Officer</v>
      </c>
      <c r="K9" s="38">
        <f>COUNTA(Employees!$A:$A)-COUNTA(Employees!E:E)</f>
        <v>0</v>
      </c>
      <c r="L9" s="36" t="s">
        <v>2422</v>
      </c>
    </row>
    <row r="10" spans="1:12" ht="17" x14ac:dyDescent="0.2">
      <c r="A10" s="34" t="s">
        <v>2212</v>
      </c>
      <c r="B10" s="35" t="s">
        <v>15</v>
      </c>
      <c r="C10" s="36" t="s">
        <v>2231</v>
      </c>
      <c r="D10" s="35" t="s">
        <v>2232</v>
      </c>
      <c r="E10" s="36" t="s">
        <v>2233</v>
      </c>
      <c r="F10" s="36"/>
      <c r="G10" s="37" t="s">
        <v>2217</v>
      </c>
      <c r="H10" s="36" t="s">
        <v>2234</v>
      </c>
      <c r="I10" s="36" t="s">
        <v>19</v>
      </c>
      <c r="J10" s="41">
        <f>Employees!F2</f>
        <v>10</v>
      </c>
      <c r="K10" s="38">
        <f>COUNTA(Employees!$A:$A)-COUNTA(Employees!F:F)</f>
        <v>0</v>
      </c>
      <c r="L10" s="36"/>
    </row>
    <row r="11" spans="1:12" ht="17" x14ac:dyDescent="0.2">
      <c r="A11" s="34" t="s">
        <v>2212</v>
      </c>
      <c r="B11" s="35" t="s">
        <v>11</v>
      </c>
      <c r="C11" s="36" t="s">
        <v>2235</v>
      </c>
      <c r="D11" s="35" t="s">
        <v>2229</v>
      </c>
      <c r="E11" s="36" t="s">
        <v>24</v>
      </c>
      <c r="F11" s="36" t="s">
        <v>2236</v>
      </c>
      <c r="G11" s="37" t="s">
        <v>2217</v>
      </c>
      <c r="H11" s="36" t="s">
        <v>2237</v>
      </c>
      <c r="I11" s="36" t="s">
        <v>24</v>
      </c>
      <c r="J11" s="41" t="str">
        <f>Employees!G2</f>
        <v>daniel.whitaker@ourbusiness.biz</v>
      </c>
      <c r="K11" s="38">
        <f>COUNTA(Employees!$A:$A)-COUNTA(Employees!G:G)</f>
        <v>0</v>
      </c>
      <c r="L11" s="36"/>
    </row>
    <row r="12" spans="1:12" ht="34" x14ac:dyDescent="0.2">
      <c r="A12" s="34" t="s">
        <v>2212</v>
      </c>
      <c r="B12" s="35" t="s">
        <v>8</v>
      </c>
      <c r="C12" s="36" t="s">
        <v>2238</v>
      </c>
      <c r="D12" s="35" t="s">
        <v>2214</v>
      </c>
      <c r="E12" s="36" t="s">
        <v>2215</v>
      </c>
      <c r="F12" s="36" t="s">
        <v>2239</v>
      </c>
      <c r="G12" s="37" t="s">
        <v>2240</v>
      </c>
      <c r="H12" s="36" t="s">
        <v>2241</v>
      </c>
      <c r="I12" s="36" t="s">
        <v>21</v>
      </c>
      <c r="J12" s="41">
        <f>Employees!H3</f>
        <v>1</v>
      </c>
      <c r="K12" s="38">
        <f>COUNTA(Employees!$A:$A)-COUNTA(Employees!H:H)</f>
        <v>1</v>
      </c>
      <c r="L12" s="36" t="s">
        <v>2242</v>
      </c>
    </row>
    <row r="13" spans="1:12" ht="34" x14ac:dyDescent="0.2">
      <c r="A13" s="34" t="s">
        <v>2212</v>
      </c>
      <c r="B13" s="35" t="s">
        <v>9</v>
      </c>
      <c r="C13" s="36" t="s">
        <v>2243</v>
      </c>
      <c r="D13" s="35" t="s">
        <v>2220</v>
      </c>
      <c r="E13" s="36" t="s">
        <v>2221</v>
      </c>
      <c r="F13" s="36" t="s">
        <v>2421</v>
      </c>
      <c r="G13" s="37" t="s">
        <v>2217</v>
      </c>
      <c r="H13" s="36" t="s">
        <v>2244</v>
      </c>
      <c r="I13" s="36" t="s">
        <v>22</v>
      </c>
      <c r="J13" s="41" t="str">
        <f>Employees!I2</f>
        <v>HQ</v>
      </c>
      <c r="K13" s="38">
        <f>COUNTA(Employees!$A:$A)-COUNTA(Employees!I:I)</f>
        <v>0</v>
      </c>
      <c r="L13" s="36" t="s">
        <v>2423</v>
      </c>
    </row>
    <row r="14" spans="1:12" ht="17" x14ac:dyDescent="0.2">
      <c r="A14" s="34" t="s">
        <v>2212</v>
      </c>
      <c r="B14" s="35" t="s">
        <v>2288</v>
      </c>
      <c r="C14" s="36" t="s">
        <v>2412</v>
      </c>
      <c r="D14" s="35" t="s">
        <v>2214</v>
      </c>
      <c r="E14" s="36" t="s">
        <v>2215</v>
      </c>
      <c r="F14" s="36" t="s">
        <v>2413</v>
      </c>
      <c r="G14" s="37" t="s">
        <v>2217</v>
      </c>
      <c r="H14" s="36" t="s">
        <v>2414</v>
      </c>
      <c r="I14" s="36" t="s">
        <v>2395</v>
      </c>
      <c r="J14" s="41">
        <f>Employees!J2</f>
        <v>118</v>
      </c>
      <c r="K14" s="38">
        <f>COUNTA(Employees!$A:$A)-COUNTA(Employees!J:J)</f>
        <v>0</v>
      </c>
      <c r="L14" s="36" t="s">
        <v>2415</v>
      </c>
    </row>
    <row r="15" spans="1:12" ht="17" x14ac:dyDescent="0.2">
      <c r="A15" s="34" t="s">
        <v>2212</v>
      </c>
      <c r="B15" s="35" t="s">
        <v>2292</v>
      </c>
      <c r="C15" s="36" t="s">
        <v>2416</v>
      </c>
      <c r="D15" s="35" t="s">
        <v>2214</v>
      </c>
      <c r="E15" s="36" t="s">
        <v>2215</v>
      </c>
      <c r="F15" s="36" t="s">
        <v>2417</v>
      </c>
      <c r="G15" s="37" t="s">
        <v>2217</v>
      </c>
      <c r="H15" s="36" t="s">
        <v>2418</v>
      </c>
      <c r="I15" s="36" t="s">
        <v>2395</v>
      </c>
      <c r="J15" s="41">
        <f>Employees!K2</f>
        <v>1</v>
      </c>
      <c r="K15" s="38">
        <f>COUNTA(Employees!$A:$A)-COUNTA(Employees!K:K)</f>
        <v>0</v>
      </c>
      <c r="L15" s="36" t="s">
        <v>2419</v>
      </c>
    </row>
    <row r="16" spans="1:12" ht="17" x14ac:dyDescent="0.2">
      <c r="A16" s="20" t="s">
        <v>2245</v>
      </c>
      <c r="B16" s="12" t="s">
        <v>0</v>
      </c>
      <c r="C16" s="13" t="s">
        <v>2213</v>
      </c>
      <c r="D16" s="12" t="s">
        <v>2214</v>
      </c>
      <c r="E16" s="13" t="s">
        <v>2215</v>
      </c>
      <c r="F16" s="13" t="s">
        <v>2239</v>
      </c>
      <c r="G16" s="14" t="s">
        <v>2217</v>
      </c>
      <c r="H16" s="13" t="s">
        <v>2246</v>
      </c>
      <c r="I16" s="13" t="s">
        <v>18</v>
      </c>
      <c r="J16" s="40">
        <f>Employee_History!A2</f>
        <v>1</v>
      </c>
      <c r="K16" s="15">
        <f>COUNTA(Employee_History!$A:$A)-COUNTA(Employee_History!A:A)</f>
        <v>0</v>
      </c>
      <c r="L16" s="13" t="s">
        <v>2247</v>
      </c>
    </row>
    <row r="17" spans="1:12" ht="34" x14ac:dyDescent="0.2">
      <c r="A17" s="34" t="s">
        <v>2245</v>
      </c>
      <c r="B17" s="35" t="s">
        <v>14</v>
      </c>
      <c r="C17" s="36" t="s">
        <v>2248</v>
      </c>
      <c r="D17" s="35" t="s">
        <v>2214</v>
      </c>
      <c r="E17" s="36" t="s">
        <v>2233</v>
      </c>
      <c r="F17" s="36" t="s">
        <v>2249</v>
      </c>
      <c r="G17" s="37" t="s">
        <v>2217</v>
      </c>
      <c r="H17" s="36" t="s">
        <v>2250</v>
      </c>
      <c r="I17" s="36" t="s">
        <v>18</v>
      </c>
      <c r="J17" s="41">
        <f>Employee_History!B2</f>
        <v>100</v>
      </c>
      <c r="K17" s="38">
        <f>COUNTA(Employee_History!$A:$A)-COUNTA(Employee_History!B:B)</f>
        <v>0</v>
      </c>
      <c r="L17" s="36"/>
    </row>
    <row r="18" spans="1:12" ht="17" x14ac:dyDescent="0.2">
      <c r="A18" s="34" t="s">
        <v>2245</v>
      </c>
      <c r="B18" s="35" t="s">
        <v>3</v>
      </c>
      <c r="C18" s="36" t="s">
        <v>2251</v>
      </c>
      <c r="D18" s="35" t="s">
        <v>2224</v>
      </c>
      <c r="E18" s="36" t="s">
        <v>2225</v>
      </c>
      <c r="F18" s="36"/>
      <c r="G18" s="37" t="s">
        <v>2217</v>
      </c>
      <c r="H18" s="36" t="s">
        <v>2252</v>
      </c>
      <c r="I18" s="36" t="s">
        <v>17</v>
      </c>
      <c r="J18" s="41" t="str">
        <f>TEXT(Employee_History!C2,"yyyy-mm-dd")</f>
        <v>2019-05-07</v>
      </c>
      <c r="K18" s="38">
        <f>COUNTA(Employee_History!$A:$A)-COUNTA(Employee_History!C:C)</f>
        <v>0</v>
      </c>
      <c r="L18" s="36"/>
    </row>
    <row r="19" spans="1:12" ht="34" x14ac:dyDescent="0.2">
      <c r="A19" s="34" t="s">
        <v>2245</v>
      </c>
      <c r="B19" s="35" t="s">
        <v>5</v>
      </c>
      <c r="C19" s="36" t="s">
        <v>2253</v>
      </c>
      <c r="D19" s="35" t="s">
        <v>2224</v>
      </c>
      <c r="E19" s="36" t="s">
        <v>2225</v>
      </c>
      <c r="F19" s="36"/>
      <c r="G19" s="37" t="s">
        <v>2240</v>
      </c>
      <c r="H19" s="36" t="s">
        <v>2254</v>
      </c>
      <c r="I19" s="36" t="s">
        <v>17</v>
      </c>
      <c r="J19" s="41" t="str">
        <f>TEXT(Employee_History!D5,"yyyy-mm-dd")</f>
        <v>2020-08-28</v>
      </c>
      <c r="K19" s="38">
        <f>COUNTA(Employee_History!$A:$A)-COUNTA(Employee_History!D:D)</f>
        <v>1200</v>
      </c>
      <c r="L19" s="36" t="s">
        <v>2427</v>
      </c>
    </row>
    <row r="20" spans="1:12" ht="34" x14ac:dyDescent="0.2">
      <c r="A20" s="34" t="s">
        <v>2245</v>
      </c>
      <c r="B20" s="35" t="s">
        <v>10</v>
      </c>
      <c r="C20" s="36" t="s">
        <v>2255</v>
      </c>
      <c r="D20" s="35" t="s">
        <v>2256</v>
      </c>
      <c r="E20" s="36" t="s">
        <v>2221</v>
      </c>
      <c r="F20" s="36"/>
      <c r="G20" s="37" t="s">
        <v>2217</v>
      </c>
      <c r="H20" s="36" t="s">
        <v>2257</v>
      </c>
      <c r="I20" s="36" t="s">
        <v>23</v>
      </c>
      <c r="J20" s="41" t="str">
        <f>Employee_History!E2</f>
        <v>Full-Time</v>
      </c>
      <c r="K20" s="38">
        <f>COUNTA(Employee_History!$A:$A)-COUNTA(Employee_History!E:E)</f>
        <v>0</v>
      </c>
      <c r="L20" s="36" t="s">
        <v>2426</v>
      </c>
    </row>
    <row r="21" spans="1:12" ht="34" x14ac:dyDescent="0.2">
      <c r="A21" s="34" t="s">
        <v>2245</v>
      </c>
      <c r="B21" s="35" t="s">
        <v>2287</v>
      </c>
      <c r="C21" s="36" t="s">
        <v>2409</v>
      </c>
      <c r="D21" s="35" t="s">
        <v>2404</v>
      </c>
      <c r="E21" s="36" t="s">
        <v>2221</v>
      </c>
      <c r="F21" s="36"/>
      <c r="G21" s="37" t="s">
        <v>2217</v>
      </c>
      <c r="H21" s="36" t="s">
        <v>2410</v>
      </c>
      <c r="I21" s="36" t="s">
        <v>2395</v>
      </c>
      <c r="J21" s="41" t="str">
        <f>Employee_History!F2</f>
        <v>Active</v>
      </c>
      <c r="K21" s="38">
        <f>COUNTA(Employee_History!$A:$A)-COUNTA(Employee_History!F:F)</f>
        <v>0</v>
      </c>
      <c r="L21" s="36" t="s">
        <v>2411</v>
      </c>
    </row>
    <row r="22" spans="1:12" ht="17" x14ac:dyDescent="0.2">
      <c r="A22" s="20" t="s">
        <v>2258</v>
      </c>
      <c r="B22" s="12" t="s">
        <v>0</v>
      </c>
      <c r="C22" s="13" t="s">
        <v>2213</v>
      </c>
      <c r="D22" s="12" t="s">
        <v>2214</v>
      </c>
      <c r="E22" s="13" t="s">
        <v>2215</v>
      </c>
      <c r="F22" s="13" t="s">
        <v>2239</v>
      </c>
      <c r="G22" s="14" t="s">
        <v>2217</v>
      </c>
      <c r="H22" s="13" t="s">
        <v>2246</v>
      </c>
      <c r="I22" s="13" t="s">
        <v>18</v>
      </c>
      <c r="J22" s="40">
        <f>Compensation!A2</f>
        <v>1</v>
      </c>
      <c r="K22" s="15">
        <f>COUNTA(Compensation!$A:$A)-COUNTA(Compensation!A:A)</f>
        <v>0</v>
      </c>
      <c r="L22" s="13" t="s">
        <v>2259</v>
      </c>
    </row>
    <row r="23" spans="1:12" ht="34" x14ac:dyDescent="0.2">
      <c r="A23" s="34" t="s">
        <v>2258</v>
      </c>
      <c r="B23" s="35" t="s">
        <v>6</v>
      </c>
      <c r="C23" s="36" t="s">
        <v>2260</v>
      </c>
      <c r="D23" s="35" t="s">
        <v>2261</v>
      </c>
      <c r="E23" s="36" t="s">
        <v>2262</v>
      </c>
      <c r="F23" s="36"/>
      <c r="G23" s="37" t="s">
        <v>2217</v>
      </c>
      <c r="H23" s="36" t="s">
        <v>2263</v>
      </c>
      <c r="I23" s="36" t="s">
        <v>17</v>
      </c>
      <c r="J23" s="39">
        <f>Compensation!B2</f>
        <v>520000</v>
      </c>
      <c r="K23" s="38">
        <f>COUNTA(Compensation!$A:$A)-COUNTA(Compensation!B:B)</f>
        <v>0</v>
      </c>
      <c r="L23" s="36" t="s">
        <v>2286</v>
      </c>
    </row>
    <row r="24" spans="1:12" ht="17" x14ac:dyDescent="0.2">
      <c r="A24" s="34" t="s">
        <v>2258</v>
      </c>
      <c r="B24" s="35" t="s">
        <v>7</v>
      </c>
      <c r="C24" s="36" t="s">
        <v>2264</v>
      </c>
      <c r="D24" s="35" t="s">
        <v>2232</v>
      </c>
      <c r="E24" s="36" t="s">
        <v>2233</v>
      </c>
      <c r="F24" s="36"/>
      <c r="G24" s="37" t="s">
        <v>2217</v>
      </c>
      <c r="H24" s="36" t="s">
        <v>2265</v>
      </c>
      <c r="I24" s="36" t="s">
        <v>20</v>
      </c>
      <c r="J24" s="41">
        <f>Compensation!C2</f>
        <v>4</v>
      </c>
      <c r="K24" s="38">
        <f>COUNTA(Compensation!$A:$A)-COUNTA(Compensation!C:C)</f>
        <v>0</v>
      </c>
      <c r="L24" s="36"/>
    </row>
    <row r="25" spans="1:12" ht="17" x14ac:dyDescent="0.2">
      <c r="A25" s="20" t="s">
        <v>2266</v>
      </c>
      <c r="B25" s="12" t="s">
        <v>14</v>
      </c>
      <c r="C25" s="13" t="s">
        <v>2267</v>
      </c>
      <c r="D25" s="12" t="s">
        <v>2214</v>
      </c>
      <c r="E25" s="13" t="s">
        <v>2233</v>
      </c>
      <c r="F25" s="13" t="s">
        <v>2216</v>
      </c>
      <c r="G25" s="14" t="s">
        <v>2217</v>
      </c>
      <c r="H25" s="13" t="s">
        <v>2218</v>
      </c>
      <c r="I25" s="13" t="s">
        <v>18</v>
      </c>
      <c r="J25" s="40">
        <f>Departments!A2</f>
        <v>100</v>
      </c>
      <c r="K25" s="15">
        <f>COUNTA(Departments!$A:$A)-COUNTA(Departments!A:A)</f>
        <v>0</v>
      </c>
      <c r="L25" s="13"/>
    </row>
    <row r="26" spans="1:12" ht="17" x14ac:dyDescent="0.2">
      <c r="A26" s="34" t="s">
        <v>2266</v>
      </c>
      <c r="B26" s="35" t="s">
        <v>13</v>
      </c>
      <c r="C26" s="36" t="s">
        <v>2268</v>
      </c>
      <c r="D26" s="35" t="s">
        <v>2229</v>
      </c>
      <c r="E26" s="36" t="s">
        <v>2221</v>
      </c>
      <c r="F26" s="36" t="s">
        <v>2236</v>
      </c>
      <c r="G26" s="37" t="s">
        <v>2217</v>
      </c>
      <c r="H26" s="36"/>
      <c r="I26" s="36" t="s">
        <v>17</v>
      </c>
      <c r="J26" s="41" t="str">
        <f>Departments!B2</f>
        <v>Executive</v>
      </c>
      <c r="K26" s="38">
        <f>COUNTA(Departments!$A:$A)-COUNTA(Departments!B:B)</f>
        <v>0</v>
      </c>
      <c r="L26" s="36"/>
    </row>
    <row r="27" spans="1:12" ht="34" x14ac:dyDescent="0.2">
      <c r="A27" s="34" t="s">
        <v>2266</v>
      </c>
      <c r="B27" s="35" t="s">
        <v>44</v>
      </c>
      <c r="C27" s="36" t="s">
        <v>2269</v>
      </c>
      <c r="D27" s="35" t="s">
        <v>2270</v>
      </c>
      <c r="E27" s="36" t="s">
        <v>2262</v>
      </c>
      <c r="F27" s="36"/>
      <c r="G27" s="37" t="s">
        <v>2217</v>
      </c>
      <c r="H27" s="36" t="s">
        <v>2271</v>
      </c>
      <c r="I27" s="36" t="s">
        <v>2272</v>
      </c>
      <c r="J27" s="39">
        <f>Departments!C2</f>
        <v>3000000</v>
      </c>
      <c r="K27" s="38">
        <f>COUNTA(Departments!$A:$A)-COUNTA(Departments!C:C)</f>
        <v>0</v>
      </c>
      <c r="L27" s="36" t="s">
        <v>2273</v>
      </c>
    </row>
    <row r="28" spans="1:12" ht="17" x14ac:dyDescent="0.2">
      <c r="A28" s="34" t="s">
        <v>2266</v>
      </c>
      <c r="B28" s="35" t="s">
        <v>45</v>
      </c>
      <c r="C28" s="36" t="s">
        <v>2274</v>
      </c>
      <c r="D28" s="35" t="s">
        <v>2270</v>
      </c>
      <c r="E28" s="36" t="s">
        <v>2262</v>
      </c>
      <c r="F28" s="36"/>
      <c r="G28" s="37" t="s">
        <v>2217</v>
      </c>
      <c r="H28" s="36" t="s">
        <v>2271</v>
      </c>
      <c r="I28" s="36" t="s">
        <v>2272</v>
      </c>
      <c r="J28" s="39">
        <f>Departments!D2</f>
        <v>3100000</v>
      </c>
      <c r="K28" s="38">
        <f>COUNTA(Departments!$A:$A)-COUNTA(Departments!D:D)</f>
        <v>0</v>
      </c>
      <c r="L28" s="36" t="s">
        <v>2275</v>
      </c>
    </row>
    <row r="29" spans="1:12" ht="17" x14ac:dyDescent="0.2">
      <c r="A29" s="34" t="s">
        <v>2266</v>
      </c>
      <c r="B29" s="35" t="s">
        <v>43</v>
      </c>
      <c r="C29" s="36" t="s">
        <v>2276</v>
      </c>
      <c r="D29" s="35" t="s">
        <v>2270</v>
      </c>
      <c r="E29" s="36" t="s">
        <v>2262</v>
      </c>
      <c r="F29" s="36"/>
      <c r="G29" s="37" t="s">
        <v>2217</v>
      </c>
      <c r="H29" s="36" t="s">
        <v>2271</v>
      </c>
      <c r="I29" s="36" t="s">
        <v>2272</v>
      </c>
      <c r="J29" s="39">
        <f>Departments!E2</f>
        <v>3200000</v>
      </c>
      <c r="K29" s="38">
        <f>COUNTA(Departments!$A:$A)-COUNTA(Departments!E:E)</f>
        <v>0</v>
      </c>
      <c r="L29" s="36" t="s">
        <v>2275</v>
      </c>
    </row>
    <row r="30" spans="1:12" ht="34" x14ac:dyDescent="0.2">
      <c r="A30" s="34" t="s">
        <v>2266</v>
      </c>
      <c r="B30" s="35" t="s">
        <v>27</v>
      </c>
      <c r="C30" s="36" t="s">
        <v>2277</v>
      </c>
      <c r="D30" s="35" t="s">
        <v>2224</v>
      </c>
      <c r="E30" s="36" t="s">
        <v>2225</v>
      </c>
      <c r="F30" s="36"/>
      <c r="G30" s="37" t="s">
        <v>2217</v>
      </c>
      <c r="H30" s="36" t="s">
        <v>2278</v>
      </c>
      <c r="I30" s="36" t="s">
        <v>2279</v>
      </c>
      <c r="J30" s="41" t="str">
        <f>TEXT(Departments!F2,"yyyy-mm-dd")</f>
        <v>2019-05-07</v>
      </c>
      <c r="K30" s="38">
        <f>COUNTA(Departments!$A:$A)-COUNTA(Departments!F:F)</f>
        <v>0</v>
      </c>
      <c r="L30" s="36" t="s">
        <v>2280</v>
      </c>
    </row>
    <row r="31" spans="1:12" ht="34" x14ac:dyDescent="0.2">
      <c r="A31" s="34" t="s">
        <v>2266</v>
      </c>
      <c r="B31" s="35" t="s">
        <v>37</v>
      </c>
      <c r="C31" s="36" t="s">
        <v>2281</v>
      </c>
      <c r="D31" s="35" t="s">
        <v>2214</v>
      </c>
      <c r="E31" s="36" t="s">
        <v>2233</v>
      </c>
      <c r="F31" s="36" t="s">
        <v>2249</v>
      </c>
      <c r="G31" s="37" t="s">
        <v>2240</v>
      </c>
      <c r="H31" s="36" t="s">
        <v>2282</v>
      </c>
      <c r="I31" s="36" t="s">
        <v>17</v>
      </c>
      <c r="J31" s="41">
        <f>Departments!G3</f>
        <v>100</v>
      </c>
      <c r="K31" s="38">
        <f>COUNTA(Departments!$A:$A)-COUNTA(Departments!G:G)</f>
        <v>1</v>
      </c>
      <c r="L31" s="36" t="s">
        <v>2285</v>
      </c>
    </row>
    <row r="32" spans="1:12" ht="34" x14ac:dyDescent="0.2">
      <c r="A32" s="34" t="s">
        <v>2266</v>
      </c>
      <c r="B32" s="35" t="s">
        <v>42</v>
      </c>
      <c r="C32" s="36" t="s">
        <v>2283</v>
      </c>
      <c r="D32" s="35" t="s">
        <v>2214</v>
      </c>
      <c r="E32" s="36" t="s">
        <v>2233</v>
      </c>
      <c r="F32" s="36"/>
      <c r="G32" s="37" t="s">
        <v>2217</v>
      </c>
      <c r="H32" s="36" t="s">
        <v>2284</v>
      </c>
      <c r="I32" s="36" t="s">
        <v>2425</v>
      </c>
      <c r="J32" s="41">
        <f>Departments!H2</f>
        <v>8</v>
      </c>
      <c r="K32" s="38">
        <f>COUNTA(Departments!$A:$A)-COUNTA(Departments!H:H)</f>
        <v>0</v>
      </c>
      <c r="L32" s="36" t="s">
        <v>2424</v>
      </c>
    </row>
    <row r="33" spans="1:12" ht="17" x14ac:dyDescent="0.2">
      <c r="A33" s="20" t="s">
        <v>2384</v>
      </c>
      <c r="B33" s="12" t="s">
        <v>2288</v>
      </c>
      <c r="C33" s="13" t="s">
        <v>2385</v>
      </c>
      <c r="D33" s="12" t="s">
        <v>2214</v>
      </c>
      <c r="E33" s="13" t="s">
        <v>2215</v>
      </c>
      <c r="F33" s="13" t="s">
        <v>2216</v>
      </c>
      <c r="G33" s="14" t="s">
        <v>2217</v>
      </c>
      <c r="H33" s="13" t="s">
        <v>2218</v>
      </c>
      <c r="I33" s="13" t="s">
        <v>2386</v>
      </c>
      <c r="J33" s="40">
        <f>Positions!A2</f>
        <v>1</v>
      </c>
      <c r="K33" s="15">
        <f>COUNTA(Positions!$A:$A)-COUNTA(Positions!A:A)</f>
        <v>0</v>
      </c>
      <c r="L33" s="13" t="s">
        <v>2387</v>
      </c>
    </row>
    <row r="34" spans="1:12" ht="17" x14ac:dyDescent="0.2">
      <c r="A34" s="34" t="s">
        <v>2384</v>
      </c>
      <c r="B34" s="35" t="s">
        <v>2289</v>
      </c>
      <c r="C34" s="36" t="s">
        <v>2228</v>
      </c>
      <c r="D34" s="35" t="s">
        <v>2229</v>
      </c>
      <c r="E34" s="36" t="s">
        <v>2221</v>
      </c>
      <c r="F34" s="36" t="s">
        <v>2236</v>
      </c>
      <c r="G34" s="37" t="s">
        <v>2217</v>
      </c>
      <c r="H34" s="36" t="s">
        <v>2388</v>
      </c>
      <c r="I34" s="36" t="s">
        <v>2389</v>
      </c>
      <c r="J34" s="41" t="str">
        <f>Positions!B2</f>
        <v>Accounting Clerk</v>
      </c>
      <c r="K34" s="38">
        <f>COUNTA(Positions!$A:$A)-COUNTA(Positions!B:B)</f>
        <v>0</v>
      </c>
      <c r="L34" s="36"/>
    </row>
    <row r="35" spans="1:12" ht="34" x14ac:dyDescent="0.2">
      <c r="A35" s="34" t="s">
        <v>2384</v>
      </c>
      <c r="B35" s="35" t="s">
        <v>15</v>
      </c>
      <c r="C35" s="36" t="s">
        <v>2390</v>
      </c>
      <c r="D35" s="35" t="s">
        <v>2232</v>
      </c>
      <c r="E35" s="36" t="s">
        <v>2233</v>
      </c>
      <c r="F35" s="36"/>
      <c r="G35" s="37" t="s">
        <v>2217</v>
      </c>
      <c r="H35" s="36" t="s">
        <v>2234</v>
      </c>
      <c r="I35" s="36" t="s">
        <v>2391</v>
      </c>
      <c r="J35" s="41">
        <f>Positions!C2</f>
        <v>1</v>
      </c>
      <c r="K35" s="38">
        <f>COUNTA(Positions!$A:$A)-COUNTA(Positions!C:C)</f>
        <v>0</v>
      </c>
      <c r="L35" s="36" t="s">
        <v>2392</v>
      </c>
    </row>
    <row r="36" spans="1:12" ht="34" x14ac:dyDescent="0.2">
      <c r="A36" s="34" t="s">
        <v>2384</v>
      </c>
      <c r="B36" s="35" t="s">
        <v>2290</v>
      </c>
      <c r="C36" s="36" t="s">
        <v>2393</v>
      </c>
      <c r="D36" s="35" t="s">
        <v>2214</v>
      </c>
      <c r="E36" s="36" t="s">
        <v>2233</v>
      </c>
      <c r="F36" s="36"/>
      <c r="G36" s="37" t="s">
        <v>2217</v>
      </c>
      <c r="H36" s="36" t="s">
        <v>2394</v>
      </c>
      <c r="I36" s="36" t="s">
        <v>2395</v>
      </c>
      <c r="J36" s="41">
        <f>Positions!D2</f>
        <v>2</v>
      </c>
      <c r="K36" s="38">
        <f>COUNTA(Positions!$A:$A)-COUNTA(Positions!D:D)</f>
        <v>0</v>
      </c>
      <c r="L36" s="36" t="s">
        <v>2396</v>
      </c>
    </row>
    <row r="37" spans="1:12" ht="34" x14ac:dyDescent="0.2">
      <c r="A37" s="34" t="s">
        <v>2384</v>
      </c>
      <c r="B37" s="35" t="s">
        <v>2291</v>
      </c>
      <c r="C37" s="36" t="s">
        <v>2397</v>
      </c>
      <c r="D37" s="35" t="s">
        <v>2214</v>
      </c>
      <c r="E37" s="36" t="s">
        <v>2233</v>
      </c>
      <c r="F37" s="36"/>
      <c r="G37" s="37" t="s">
        <v>2217</v>
      </c>
      <c r="H37" s="36" t="s">
        <v>2394</v>
      </c>
      <c r="I37" s="36" t="s">
        <v>2395</v>
      </c>
      <c r="J37" s="41">
        <f>Positions!E2</f>
        <v>2</v>
      </c>
      <c r="K37" s="38">
        <f>COUNTA(Positions!$A:$A)-COUNTA(Positions!E:E)</f>
        <v>0</v>
      </c>
      <c r="L37" s="36" t="s">
        <v>2396</v>
      </c>
    </row>
    <row r="38" spans="1:12" ht="17" x14ac:dyDescent="0.2">
      <c r="A38" s="20" t="s">
        <v>2398</v>
      </c>
      <c r="B38" s="12" t="s">
        <v>2292</v>
      </c>
      <c r="C38" s="13" t="s">
        <v>2399</v>
      </c>
      <c r="D38" s="12" t="s">
        <v>2214</v>
      </c>
      <c r="E38" s="13" t="s">
        <v>2215</v>
      </c>
      <c r="F38" s="13" t="s">
        <v>2216</v>
      </c>
      <c r="G38" s="14" t="s">
        <v>2217</v>
      </c>
      <c r="H38" s="13" t="s">
        <v>2218</v>
      </c>
      <c r="I38" s="13" t="s">
        <v>2386</v>
      </c>
      <c r="J38" s="40">
        <f>Locations!A2</f>
        <v>1</v>
      </c>
      <c r="K38" s="15">
        <f>COUNTA(Locations!$A:$A)-COUNTA(Locations!A:A)</f>
        <v>0</v>
      </c>
      <c r="L38" s="13" t="s">
        <v>2400</v>
      </c>
    </row>
    <row r="39" spans="1:12" ht="17" x14ac:dyDescent="0.2">
      <c r="A39" s="34" t="s">
        <v>2398</v>
      </c>
      <c r="B39" s="35" t="s">
        <v>2293</v>
      </c>
      <c r="C39" s="36" t="s">
        <v>2401</v>
      </c>
      <c r="D39" s="35" t="s">
        <v>2220</v>
      </c>
      <c r="E39" s="36" t="s">
        <v>2221</v>
      </c>
      <c r="F39" s="36" t="s">
        <v>2236</v>
      </c>
      <c r="G39" s="37" t="s">
        <v>2217</v>
      </c>
      <c r="H39" s="36" t="s">
        <v>2402</v>
      </c>
      <c r="I39" s="36" t="s">
        <v>2389</v>
      </c>
      <c r="J39" s="41" t="str">
        <f>Locations!B2</f>
        <v>HQ</v>
      </c>
      <c r="K39" s="38">
        <f>COUNTA(Locations!$A:$A)-COUNTA(Locations!B:B)</f>
        <v>0</v>
      </c>
      <c r="L39" s="36"/>
    </row>
    <row r="40" spans="1:12" ht="34" x14ac:dyDescent="0.2">
      <c r="A40" s="34" t="s">
        <v>2398</v>
      </c>
      <c r="B40" s="35" t="s">
        <v>2294</v>
      </c>
      <c r="C40" s="36" t="s">
        <v>2403</v>
      </c>
      <c r="D40" s="35" t="s">
        <v>2404</v>
      </c>
      <c r="E40" s="36" t="s">
        <v>2221</v>
      </c>
      <c r="F40" s="36"/>
      <c r="G40" s="37" t="s">
        <v>2217</v>
      </c>
      <c r="H40" s="36" t="s">
        <v>2405</v>
      </c>
      <c r="I40" s="36" t="s">
        <v>2389</v>
      </c>
      <c r="J40" s="41" t="str">
        <f>Locations!C2</f>
        <v>HQ</v>
      </c>
      <c r="K40" s="38">
        <f>COUNTA(Locations!$A:$A)-COUNTA(Locations!C:C)</f>
        <v>0</v>
      </c>
      <c r="L40" s="36" t="s">
        <v>2406</v>
      </c>
    </row>
    <row r="41" spans="1:12" ht="17" x14ac:dyDescent="0.2">
      <c r="A41" s="34" t="s">
        <v>2398</v>
      </c>
      <c r="B41" s="35" t="s">
        <v>2290</v>
      </c>
      <c r="C41" s="36" t="s">
        <v>2407</v>
      </c>
      <c r="D41" s="35" t="s">
        <v>2214</v>
      </c>
      <c r="E41" s="36" t="s">
        <v>2233</v>
      </c>
      <c r="F41" s="36"/>
      <c r="G41" s="37" t="s">
        <v>2217</v>
      </c>
      <c r="H41" s="36" t="s">
        <v>2394</v>
      </c>
      <c r="I41" s="36" t="s">
        <v>2395</v>
      </c>
      <c r="J41" s="41">
        <f>Locations!D2</f>
        <v>335</v>
      </c>
      <c r="K41" s="38">
        <f>COUNTA(Locations!$A:$A)-COUNTA(Locations!D:D)</f>
        <v>0</v>
      </c>
      <c r="L41" s="36" t="s">
        <v>2396</v>
      </c>
    </row>
    <row r="42" spans="1:12" ht="34" x14ac:dyDescent="0.2">
      <c r="A42" s="21" t="s">
        <v>2398</v>
      </c>
      <c r="B42" s="16" t="s">
        <v>2291</v>
      </c>
      <c r="C42" s="17" t="s">
        <v>2408</v>
      </c>
      <c r="D42" s="16" t="s">
        <v>2214</v>
      </c>
      <c r="E42" s="17" t="s">
        <v>2233</v>
      </c>
      <c r="F42" s="17"/>
      <c r="G42" s="18" t="s">
        <v>2217</v>
      </c>
      <c r="H42" s="17" t="s">
        <v>2394</v>
      </c>
      <c r="I42" s="17" t="s">
        <v>2395</v>
      </c>
      <c r="J42" s="42">
        <f>Locations!E2</f>
        <v>275</v>
      </c>
      <c r="K42" s="19">
        <f>COUNTA(Locations!$A:$A)-COUNTA(Locations!E:E)</f>
        <v>0</v>
      </c>
      <c r="L42" s="17" t="s">
        <v>2396</v>
      </c>
    </row>
  </sheetData>
  <autoFilter ref="A4:L42" xr:uid="{C4089D39-83BB-1E44-99D4-85142F23CC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2CF0-DB0F-B84C-8E14-D9A1AA969E05}">
  <sheetPr>
    <tabColor rgb="FF92D050"/>
  </sheetPr>
  <dimension ref="A1:K1514"/>
  <sheetViews>
    <sheetView zoomScale="150" zoomScaleNormal="150" workbookViewId="0">
      <pane ySplit="1" topLeftCell="A1491" activePane="bottomLeft" state="frozen"/>
      <selection pane="bottomLeft" activeCell="F3" sqref="F3"/>
    </sheetView>
  </sheetViews>
  <sheetFormatPr baseColWidth="10" defaultColWidth="11" defaultRowHeight="16" x14ac:dyDescent="0.2"/>
  <cols>
    <col min="1" max="1" width="12.5" bestFit="1" customWidth="1"/>
    <col min="2" max="2" width="15.1640625" bestFit="1" customWidth="1"/>
    <col min="3" max="3" width="14.5" bestFit="1" customWidth="1"/>
    <col min="4" max="4" width="14.33203125" bestFit="1" customWidth="1"/>
    <col min="5" max="5" width="26.83203125" bestFit="1" customWidth="1"/>
    <col min="6" max="6" width="6" bestFit="1" customWidth="1"/>
    <col min="7" max="7" width="28.6640625" bestFit="1" customWidth="1"/>
    <col min="8" max="8" width="7.83203125" bestFit="1" customWidth="1"/>
    <col min="9" max="9" width="9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4</v>
      </c>
      <c r="E1" t="s">
        <v>12</v>
      </c>
      <c r="F1" t="s">
        <v>15</v>
      </c>
      <c r="G1" t="s">
        <v>11</v>
      </c>
      <c r="H1" t="s">
        <v>8</v>
      </c>
      <c r="I1" t="s">
        <v>9</v>
      </c>
      <c r="J1" t="s">
        <v>2288</v>
      </c>
      <c r="K1" t="s">
        <v>2292</v>
      </c>
    </row>
    <row r="2" spans="1:11" x14ac:dyDescent="0.2">
      <c r="A2" s="3">
        <v>1</v>
      </c>
      <c r="B2" t="s">
        <v>46</v>
      </c>
      <c r="C2" t="s">
        <v>47</v>
      </c>
      <c r="D2" s="1">
        <v>25802</v>
      </c>
      <c r="E2" t="s">
        <v>48</v>
      </c>
      <c r="F2">
        <v>10</v>
      </c>
      <c r="G2" t="s">
        <v>49</v>
      </c>
      <c r="H2" s="2"/>
      <c r="I2" t="s">
        <v>50</v>
      </c>
      <c r="J2" s="2">
        <f>INDEX(Positions!$A:$A,MATCH(E2,Positions!$B:$B,0))</f>
        <v>118</v>
      </c>
      <c r="K2" s="2">
        <f>INDEX(Locations!$A:$A,MATCH(I2,Locations!$B:$B,0))</f>
        <v>1</v>
      </c>
    </row>
    <row r="3" spans="1:11" x14ac:dyDescent="0.2">
      <c r="A3" s="3">
        <v>2</v>
      </c>
      <c r="B3" t="s">
        <v>51</v>
      </c>
      <c r="C3" t="s">
        <v>52</v>
      </c>
      <c r="D3" s="1">
        <v>27071</v>
      </c>
      <c r="E3" t="s">
        <v>53</v>
      </c>
      <c r="F3">
        <v>9</v>
      </c>
      <c r="G3" t="s">
        <v>54</v>
      </c>
      <c r="H3" s="2">
        <v>1</v>
      </c>
      <c r="I3" t="s">
        <v>50</v>
      </c>
      <c r="J3" s="2">
        <f>INDEX(Positions!$A:$A,MATCH(E3,Positions!$B:$B,0))</f>
        <v>114</v>
      </c>
      <c r="K3" s="2">
        <f>INDEX(Locations!$A:$A,MATCH(I3,Locations!$B:$B,0))</f>
        <v>1</v>
      </c>
    </row>
    <row r="4" spans="1:11" x14ac:dyDescent="0.2">
      <c r="A4" s="3">
        <v>3</v>
      </c>
      <c r="B4" t="s">
        <v>55</v>
      </c>
      <c r="C4" t="s">
        <v>56</v>
      </c>
      <c r="D4" s="1">
        <v>32324</v>
      </c>
      <c r="E4" t="s">
        <v>57</v>
      </c>
      <c r="F4">
        <v>3</v>
      </c>
      <c r="G4" t="s">
        <v>58</v>
      </c>
      <c r="H4" s="2">
        <v>1</v>
      </c>
      <c r="I4" t="s">
        <v>50</v>
      </c>
      <c r="J4" s="2">
        <f>INDEX(Positions!$A:$A,MATCH(E4,Positions!$B:$B,0))</f>
        <v>37</v>
      </c>
      <c r="K4" s="2">
        <f>INDEX(Locations!$A:$A,MATCH(I4,Locations!$B:$B,0))</f>
        <v>1</v>
      </c>
    </row>
    <row r="5" spans="1:11" x14ac:dyDescent="0.2">
      <c r="A5" s="3">
        <v>4</v>
      </c>
      <c r="B5" t="s">
        <v>59</v>
      </c>
      <c r="C5" t="s">
        <v>60</v>
      </c>
      <c r="D5" s="1">
        <v>26608</v>
      </c>
      <c r="E5" t="s">
        <v>61</v>
      </c>
      <c r="F5">
        <v>9</v>
      </c>
      <c r="G5" t="s">
        <v>62</v>
      </c>
      <c r="H5" s="2">
        <v>1</v>
      </c>
      <c r="I5" t="s">
        <v>50</v>
      </c>
      <c r="J5" s="2">
        <f>INDEX(Positions!$A:$A,MATCH(E5,Positions!$B:$B,0))</f>
        <v>116</v>
      </c>
      <c r="K5" s="2">
        <f>INDEX(Locations!$A:$A,MATCH(I5,Locations!$B:$B,0))</f>
        <v>1</v>
      </c>
    </row>
    <row r="6" spans="1:11" x14ac:dyDescent="0.2">
      <c r="A6" s="3">
        <v>5</v>
      </c>
      <c r="B6" t="s">
        <v>63</v>
      </c>
      <c r="C6" t="s">
        <v>64</v>
      </c>
      <c r="D6" s="1">
        <v>26773</v>
      </c>
      <c r="E6" t="s">
        <v>65</v>
      </c>
      <c r="F6">
        <v>9</v>
      </c>
      <c r="G6" t="s">
        <v>66</v>
      </c>
      <c r="H6" s="2">
        <v>1</v>
      </c>
      <c r="I6" t="s">
        <v>50</v>
      </c>
      <c r="J6" s="2">
        <f>INDEX(Positions!$A:$A,MATCH(E6,Positions!$B:$B,0))</f>
        <v>112</v>
      </c>
      <c r="K6" s="2">
        <f>INDEX(Locations!$A:$A,MATCH(I6,Locations!$B:$B,0))</f>
        <v>1</v>
      </c>
    </row>
    <row r="7" spans="1:11" x14ac:dyDescent="0.2">
      <c r="A7" s="3">
        <v>6</v>
      </c>
      <c r="B7" t="s">
        <v>67</v>
      </c>
      <c r="C7" t="s">
        <v>68</v>
      </c>
      <c r="D7" s="1">
        <v>27645</v>
      </c>
      <c r="E7" t="s">
        <v>69</v>
      </c>
      <c r="F7">
        <v>9</v>
      </c>
      <c r="G7" t="s">
        <v>70</v>
      </c>
      <c r="H7" s="2">
        <v>1</v>
      </c>
      <c r="I7" t="s">
        <v>50</v>
      </c>
      <c r="J7" s="2">
        <f>INDEX(Positions!$A:$A,MATCH(E7,Positions!$B:$B,0))</f>
        <v>115</v>
      </c>
      <c r="K7" s="2">
        <f>INDEX(Locations!$A:$A,MATCH(I7,Locations!$B:$B,0))</f>
        <v>1</v>
      </c>
    </row>
    <row r="8" spans="1:11" x14ac:dyDescent="0.2">
      <c r="A8" s="3">
        <v>7</v>
      </c>
      <c r="B8" t="s">
        <v>71</v>
      </c>
      <c r="C8" t="s">
        <v>72</v>
      </c>
      <c r="D8" s="1">
        <v>28150</v>
      </c>
      <c r="E8" t="s">
        <v>73</v>
      </c>
      <c r="F8">
        <v>9</v>
      </c>
      <c r="G8" t="s">
        <v>74</v>
      </c>
      <c r="H8" s="2">
        <v>1</v>
      </c>
      <c r="I8" t="s">
        <v>50</v>
      </c>
      <c r="J8" s="2">
        <f>INDEX(Positions!$A:$A,MATCH(E8,Positions!$B:$B,0))</f>
        <v>113</v>
      </c>
      <c r="K8" s="2">
        <f>INDEX(Locations!$A:$A,MATCH(I8,Locations!$B:$B,0))</f>
        <v>1</v>
      </c>
    </row>
    <row r="9" spans="1:11" x14ac:dyDescent="0.2">
      <c r="A9" s="3">
        <v>8</v>
      </c>
      <c r="B9" t="s">
        <v>75</v>
      </c>
      <c r="C9" t="s">
        <v>76</v>
      </c>
      <c r="D9" s="1">
        <v>27954</v>
      </c>
      <c r="E9" t="s">
        <v>61</v>
      </c>
      <c r="F9">
        <v>9</v>
      </c>
      <c r="G9" t="s">
        <v>77</v>
      </c>
      <c r="H9" s="2">
        <v>1</v>
      </c>
      <c r="I9" t="s">
        <v>50</v>
      </c>
      <c r="J9" s="2">
        <f>INDEX(Positions!$A:$A,MATCH(E9,Positions!$B:$B,0))</f>
        <v>116</v>
      </c>
      <c r="K9" s="2">
        <f>INDEX(Locations!$A:$A,MATCH(I9,Locations!$B:$B,0))</f>
        <v>1</v>
      </c>
    </row>
    <row r="10" spans="1:11" x14ac:dyDescent="0.2">
      <c r="A10" s="3">
        <v>9</v>
      </c>
      <c r="B10" t="s">
        <v>78</v>
      </c>
      <c r="C10" t="s">
        <v>79</v>
      </c>
      <c r="D10" s="1">
        <v>27730</v>
      </c>
      <c r="E10" t="s">
        <v>80</v>
      </c>
      <c r="F10">
        <v>9</v>
      </c>
      <c r="G10" t="s">
        <v>81</v>
      </c>
      <c r="H10" s="2">
        <v>1</v>
      </c>
      <c r="I10" t="s">
        <v>50</v>
      </c>
      <c r="J10" s="2">
        <f>INDEX(Positions!$A:$A,MATCH(E10,Positions!$B:$B,0))</f>
        <v>117</v>
      </c>
      <c r="K10" s="2">
        <f>INDEX(Locations!$A:$A,MATCH(I10,Locations!$B:$B,0))</f>
        <v>1</v>
      </c>
    </row>
    <row r="11" spans="1:11" x14ac:dyDescent="0.2">
      <c r="A11" s="3">
        <v>10</v>
      </c>
      <c r="B11" t="s">
        <v>513</v>
      </c>
      <c r="C11" t="s">
        <v>405</v>
      </c>
      <c r="D11" s="1">
        <v>35813</v>
      </c>
      <c r="E11" t="s">
        <v>104</v>
      </c>
      <c r="F11">
        <v>1</v>
      </c>
      <c r="G11" t="s">
        <v>559</v>
      </c>
      <c r="H11" s="2">
        <v>12</v>
      </c>
      <c r="I11" t="s">
        <v>92</v>
      </c>
      <c r="J11" s="2">
        <f>INDEX(Positions!$A:$A,MATCH(E11,Positions!$B:$B,0))</f>
        <v>6</v>
      </c>
      <c r="K11" s="2">
        <f>INDEX(Locations!$A:$A,MATCH(I11,Locations!$B:$B,0))</f>
        <v>6</v>
      </c>
    </row>
    <row r="12" spans="1:11" x14ac:dyDescent="0.2">
      <c r="A12" s="3">
        <v>11</v>
      </c>
      <c r="B12" t="s">
        <v>513</v>
      </c>
      <c r="C12" t="s">
        <v>560</v>
      </c>
      <c r="D12" s="1">
        <v>34027</v>
      </c>
      <c r="E12" t="s">
        <v>104</v>
      </c>
      <c r="F12">
        <v>1</v>
      </c>
      <c r="G12" t="s">
        <v>561</v>
      </c>
      <c r="H12" s="2">
        <v>12</v>
      </c>
      <c r="I12" t="s">
        <v>233</v>
      </c>
      <c r="J12" s="2">
        <f>INDEX(Positions!$A:$A,MATCH(E12,Positions!$B:$B,0))</f>
        <v>6</v>
      </c>
      <c r="K12" s="2">
        <f>INDEX(Locations!$A:$A,MATCH(I12,Locations!$B:$B,0))</f>
        <v>11</v>
      </c>
    </row>
    <row r="13" spans="1:11" x14ac:dyDescent="0.2">
      <c r="A13" s="3">
        <v>12</v>
      </c>
      <c r="B13" t="s">
        <v>186</v>
      </c>
      <c r="C13" t="s">
        <v>64</v>
      </c>
      <c r="D13" s="1">
        <v>27968</v>
      </c>
      <c r="E13" t="s">
        <v>85</v>
      </c>
      <c r="F13">
        <v>8</v>
      </c>
      <c r="G13" t="s">
        <v>562</v>
      </c>
      <c r="H13" s="2">
        <v>2</v>
      </c>
      <c r="I13" t="s">
        <v>50</v>
      </c>
      <c r="J13" s="2">
        <f>INDEX(Positions!$A:$A,MATCH(E13,Positions!$B:$B,0))</f>
        <v>109</v>
      </c>
      <c r="K13" s="2">
        <f>INDEX(Locations!$A:$A,MATCH(I13,Locations!$B:$B,0))</f>
        <v>1</v>
      </c>
    </row>
    <row r="14" spans="1:11" x14ac:dyDescent="0.2">
      <c r="A14" s="3">
        <v>13</v>
      </c>
      <c r="B14" t="s">
        <v>385</v>
      </c>
      <c r="C14" t="s">
        <v>505</v>
      </c>
      <c r="D14" s="1">
        <v>31990</v>
      </c>
      <c r="E14" t="s">
        <v>109</v>
      </c>
      <c r="F14">
        <v>2</v>
      </c>
      <c r="G14" t="s">
        <v>563</v>
      </c>
      <c r="H14" s="2">
        <v>12</v>
      </c>
      <c r="I14" t="s">
        <v>92</v>
      </c>
      <c r="J14" s="2">
        <f>INDEX(Positions!$A:$A,MATCH(E14,Positions!$B:$B,0))</f>
        <v>19</v>
      </c>
      <c r="K14" s="2">
        <f>INDEX(Locations!$A:$A,MATCH(I14,Locations!$B:$B,0))</f>
        <v>6</v>
      </c>
    </row>
    <row r="15" spans="1:11" x14ac:dyDescent="0.2">
      <c r="A15" s="3">
        <v>14</v>
      </c>
      <c r="B15" t="s">
        <v>371</v>
      </c>
      <c r="C15" t="s">
        <v>238</v>
      </c>
      <c r="D15" s="1">
        <v>31193</v>
      </c>
      <c r="E15" t="s">
        <v>109</v>
      </c>
      <c r="F15">
        <v>2</v>
      </c>
      <c r="G15" t="s">
        <v>564</v>
      </c>
      <c r="H15" s="2">
        <v>12</v>
      </c>
      <c r="I15" t="s">
        <v>92</v>
      </c>
      <c r="J15" s="2">
        <f>INDEX(Positions!$A:$A,MATCH(E15,Positions!$B:$B,0))</f>
        <v>19</v>
      </c>
      <c r="K15" s="2">
        <f>INDEX(Locations!$A:$A,MATCH(I15,Locations!$B:$B,0))</f>
        <v>6</v>
      </c>
    </row>
    <row r="16" spans="1:11" x14ac:dyDescent="0.2">
      <c r="A16" s="3">
        <v>15</v>
      </c>
      <c r="B16" t="s">
        <v>287</v>
      </c>
      <c r="C16" t="s">
        <v>419</v>
      </c>
      <c r="D16" s="1">
        <v>28839</v>
      </c>
      <c r="E16" t="s">
        <v>88</v>
      </c>
      <c r="F16">
        <v>7</v>
      </c>
      <c r="G16" t="s">
        <v>565</v>
      </c>
      <c r="H16" s="2">
        <v>12</v>
      </c>
      <c r="I16" t="s">
        <v>233</v>
      </c>
      <c r="J16" s="2">
        <f>INDEX(Positions!$A:$A,MATCH(E16,Positions!$B:$B,0))</f>
        <v>104</v>
      </c>
      <c r="K16" s="2">
        <f>INDEX(Locations!$A:$A,MATCH(I16,Locations!$B:$B,0))</f>
        <v>11</v>
      </c>
    </row>
    <row r="17" spans="1:11" x14ac:dyDescent="0.2">
      <c r="A17" s="3">
        <v>16</v>
      </c>
      <c r="B17" t="s">
        <v>441</v>
      </c>
      <c r="C17" t="s">
        <v>368</v>
      </c>
      <c r="D17" s="1">
        <v>35264</v>
      </c>
      <c r="E17" t="s">
        <v>104</v>
      </c>
      <c r="F17">
        <v>1</v>
      </c>
      <c r="G17" t="s">
        <v>566</v>
      </c>
      <c r="H17" s="2">
        <v>12</v>
      </c>
      <c r="I17" t="s">
        <v>89</v>
      </c>
      <c r="J17" s="2">
        <f>INDEX(Positions!$A:$A,MATCH(E17,Positions!$B:$B,0))</f>
        <v>6</v>
      </c>
      <c r="K17" s="2">
        <f>INDEX(Locations!$A:$A,MATCH(I17,Locations!$B:$B,0))</f>
        <v>8</v>
      </c>
    </row>
    <row r="18" spans="1:11" x14ac:dyDescent="0.2">
      <c r="A18" s="3">
        <v>17</v>
      </c>
      <c r="B18" t="s">
        <v>243</v>
      </c>
      <c r="C18" t="s">
        <v>556</v>
      </c>
      <c r="D18" s="1">
        <v>32880</v>
      </c>
      <c r="E18" t="s">
        <v>109</v>
      </c>
      <c r="F18">
        <v>2</v>
      </c>
      <c r="G18" t="s">
        <v>567</v>
      </c>
      <c r="H18" s="2">
        <v>12</v>
      </c>
      <c r="I18" t="s">
        <v>92</v>
      </c>
      <c r="J18" s="2">
        <f>INDEX(Positions!$A:$A,MATCH(E18,Positions!$B:$B,0))</f>
        <v>19</v>
      </c>
      <c r="K18" s="2">
        <f>INDEX(Locations!$A:$A,MATCH(I18,Locations!$B:$B,0))</f>
        <v>6</v>
      </c>
    </row>
    <row r="19" spans="1:11" x14ac:dyDescent="0.2">
      <c r="A19" s="3">
        <v>18</v>
      </c>
      <c r="B19" t="s">
        <v>161</v>
      </c>
      <c r="C19" t="s">
        <v>568</v>
      </c>
      <c r="D19" s="1">
        <v>35559</v>
      </c>
      <c r="E19" t="s">
        <v>109</v>
      </c>
      <c r="F19">
        <v>2</v>
      </c>
      <c r="G19" t="s">
        <v>569</v>
      </c>
      <c r="H19" s="2">
        <v>12</v>
      </c>
      <c r="I19" t="s">
        <v>92</v>
      </c>
      <c r="J19" s="2">
        <f>INDEX(Positions!$A:$A,MATCH(E19,Positions!$B:$B,0))</f>
        <v>19</v>
      </c>
      <c r="K19" s="2">
        <f>INDEX(Locations!$A:$A,MATCH(I19,Locations!$B:$B,0))</f>
        <v>6</v>
      </c>
    </row>
    <row r="20" spans="1:11" x14ac:dyDescent="0.2">
      <c r="A20" s="3">
        <v>19</v>
      </c>
      <c r="B20" t="s">
        <v>492</v>
      </c>
      <c r="C20" t="s">
        <v>201</v>
      </c>
      <c r="D20" s="1">
        <v>34553</v>
      </c>
      <c r="E20" t="s">
        <v>109</v>
      </c>
      <c r="F20">
        <v>2</v>
      </c>
      <c r="G20" t="s">
        <v>570</v>
      </c>
      <c r="H20" s="2">
        <v>12</v>
      </c>
      <c r="I20" t="s">
        <v>233</v>
      </c>
      <c r="J20" s="2">
        <f>INDEX(Positions!$A:$A,MATCH(E20,Positions!$B:$B,0))</f>
        <v>19</v>
      </c>
      <c r="K20" s="2">
        <f>INDEX(Locations!$A:$A,MATCH(I20,Locations!$B:$B,0))</f>
        <v>11</v>
      </c>
    </row>
    <row r="21" spans="1:11" x14ac:dyDescent="0.2">
      <c r="A21" s="3">
        <v>20</v>
      </c>
      <c r="B21" t="s">
        <v>231</v>
      </c>
      <c r="C21" t="s">
        <v>288</v>
      </c>
      <c r="D21" s="1">
        <v>33115</v>
      </c>
      <c r="E21" t="s">
        <v>109</v>
      </c>
      <c r="F21">
        <v>2</v>
      </c>
      <c r="G21" t="s">
        <v>571</v>
      </c>
      <c r="H21" s="2">
        <v>12</v>
      </c>
      <c r="I21" t="s">
        <v>92</v>
      </c>
      <c r="J21" s="2">
        <f>INDEX(Positions!$A:$A,MATCH(E21,Positions!$B:$B,0))</f>
        <v>19</v>
      </c>
      <c r="K21" s="2">
        <f>INDEX(Locations!$A:$A,MATCH(I21,Locations!$B:$B,0))</f>
        <v>6</v>
      </c>
    </row>
    <row r="22" spans="1:11" x14ac:dyDescent="0.2">
      <c r="A22" s="3">
        <v>21</v>
      </c>
      <c r="B22" t="s">
        <v>51</v>
      </c>
      <c r="C22" t="s">
        <v>158</v>
      </c>
      <c r="D22" s="1">
        <v>32516</v>
      </c>
      <c r="E22" t="s">
        <v>109</v>
      </c>
      <c r="F22">
        <v>2</v>
      </c>
      <c r="G22" t="s">
        <v>572</v>
      </c>
      <c r="H22" s="2">
        <v>12</v>
      </c>
      <c r="I22" t="s">
        <v>92</v>
      </c>
      <c r="J22" s="2">
        <f>INDEX(Positions!$A:$A,MATCH(E22,Positions!$B:$B,0))</f>
        <v>19</v>
      </c>
      <c r="K22" s="2">
        <f>INDEX(Locations!$A:$A,MATCH(I22,Locations!$B:$B,0))</f>
        <v>6</v>
      </c>
    </row>
    <row r="23" spans="1:11" x14ac:dyDescent="0.2">
      <c r="A23" s="3">
        <v>22</v>
      </c>
      <c r="B23" t="s">
        <v>573</v>
      </c>
      <c r="C23" t="s">
        <v>534</v>
      </c>
      <c r="D23" s="1">
        <v>31424</v>
      </c>
      <c r="E23" t="s">
        <v>121</v>
      </c>
      <c r="F23">
        <v>3</v>
      </c>
      <c r="G23" t="s">
        <v>574</v>
      </c>
      <c r="H23" s="2">
        <v>12</v>
      </c>
      <c r="I23" t="s">
        <v>233</v>
      </c>
      <c r="J23" s="2">
        <f>INDEX(Positions!$A:$A,MATCH(E23,Positions!$B:$B,0))</f>
        <v>31</v>
      </c>
      <c r="K23" s="2">
        <f>INDEX(Locations!$A:$A,MATCH(I23,Locations!$B:$B,0))</f>
        <v>11</v>
      </c>
    </row>
    <row r="24" spans="1:11" x14ac:dyDescent="0.2">
      <c r="A24" s="3">
        <v>23</v>
      </c>
      <c r="B24" t="s">
        <v>573</v>
      </c>
      <c r="C24" t="s">
        <v>575</v>
      </c>
      <c r="D24" s="1">
        <v>34664</v>
      </c>
      <c r="E24" t="s">
        <v>121</v>
      </c>
      <c r="F24">
        <v>3</v>
      </c>
      <c r="G24" t="s">
        <v>576</v>
      </c>
      <c r="H24" s="2">
        <v>12</v>
      </c>
      <c r="I24" t="s">
        <v>89</v>
      </c>
      <c r="J24" s="2">
        <f>INDEX(Positions!$A:$A,MATCH(E24,Positions!$B:$B,0))</f>
        <v>31</v>
      </c>
      <c r="K24" s="2">
        <f>INDEX(Locations!$A:$A,MATCH(I24,Locations!$B:$B,0))</f>
        <v>8</v>
      </c>
    </row>
    <row r="25" spans="1:11" x14ac:dyDescent="0.2">
      <c r="A25" s="3">
        <v>24</v>
      </c>
      <c r="B25" t="s">
        <v>509</v>
      </c>
      <c r="C25" t="s">
        <v>314</v>
      </c>
      <c r="D25" s="1">
        <v>32786</v>
      </c>
      <c r="E25" t="s">
        <v>109</v>
      </c>
      <c r="F25">
        <v>2</v>
      </c>
      <c r="G25" t="s">
        <v>577</v>
      </c>
      <c r="H25" s="2">
        <v>12</v>
      </c>
      <c r="I25" t="s">
        <v>92</v>
      </c>
      <c r="J25" s="2">
        <f>INDEX(Positions!$A:$A,MATCH(E25,Positions!$B:$B,0))</f>
        <v>19</v>
      </c>
      <c r="K25" s="2">
        <f>INDEX(Locations!$A:$A,MATCH(I25,Locations!$B:$B,0))</f>
        <v>6</v>
      </c>
    </row>
    <row r="26" spans="1:11" x14ac:dyDescent="0.2">
      <c r="A26" s="3">
        <v>25</v>
      </c>
      <c r="B26" t="s">
        <v>250</v>
      </c>
      <c r="C26" t="s">
        <v>182</v>
      </c>
      <c r="D26" s="1">
        <v>32350</v>
      </c>
      <c r="E26" t="s">
        <v>109</v>
      </c>
      <c r="F26">
        <v>2</v>
      </c>
      <c r="G26" t="s">
        <v>578</v>
      </c>
      <c r="H26" s="2">
        <v>119</v>
      </c>
      <c r="I26" t="s">
        <v>89</v>
      </c>
      <c r="J26" s="2">
        <f>INDEX(Positions!$A:$A,MATCH(E26,Positions!$B:$B,0))</f>
        <v>19</v>
      </c>
      <c r="K26" s="2">
        <f>INDEX(Locations!$A:$A,MATCH(I26,Locations!$B:$B,0))</f>
        <v>8</v>
      </c>
    </row>
    <row r="27" spans="1:11" x14ac:dyDescent="0.2">
      <c r="A27" s="3">
        <v>26</v>
      </c>
      <c r="B27" t="s">
        <v>579</v>
      </c>
      <c r="C27" t="s">
        <v>340</v>
      </c>
      <c r="D27" s="1">
        <v>34103</v>
      </c>
      <c r="E27" t="s">
        <v>104</v>
      </c>
      <c r="F27">
        <v>1</v>
      </c>
      <c r="G27" t="s">
        <v>580</v>
      </c>
      <c r="H27" s="2">
        <v>12</v>
      </c>
      <c r="I27" t="s">
        <v>89</v>
      </c>
      <c r="J27" s="2">
        <f>INDEX(Positions!$A:$A,MATCH(E27,Positions!$B:$B,0))</f>
        <v>6</v>
      </c>
      <c r="K27" s="2">
        <f>INDEX(Locations!$A:$A,MATCH(I27,Locations!$B:$B,0))</f>
        <v>8</v>
      </c>
    </row>
    <row r="28" spans="1:11" x14ac:dyDescent="0.2">
      <c r="A28" s="3">
        <v>27</v>
      </c>
      <c r="B28" t="s">
        <v>202</v>
      </c>
      <c r="C28" t="s">
        <v>225</v>
      </c>
      <c r="D28" s="1">
        <v>37022</v>
      </c>
      <c r="E28" t="s">
        <v>104</v>
      </c>
      <c r="F28">
        <v>1</v>
      </c>
      <c r="G28" t="s">
        <v>581</v>
      </c>
      <c r="H28" s="2">
        <v>131</v>
      </c>
      <c r="I28" t="s">
        <v>233</v>
      </c>
      <c r="J28" s="2">
        <f>INDEX(Positions!$A:$A,MATCH(E28,Positions!$B:$B,0))</f>
        <v>6</v>
      </c>
      <c r="K28" s="2">
        <f>INDEX(Locations!$A:$A,MATCH(I28,Locations!$B:$B,0))</f>
        <v>11</v>
      </c>
    </row>
    <row r="29" spans="1:11" x14ac:dyDescent="0.2">
      <c r="A29" s="3">
        <v>28</v>
      </c>
      <c r="B29" t="s">
        <v>533</v>
      </c>
      <c r="C29" t="s">
        <v>582</v>
      </c>
      <c r="D29" s="1">
        <v>35895</v>
      </c>
      <c r="E29" t="s">
        <v>121</v>
      </c>
      <c r="F29">
        <v>3</v>
      </c>
      <c r="G29" t="s">
        <v>583</v>
      </c>
      <c r="H29" s="2">
        <v>12</v>
      </c>
      <c r="I29" t="s">
        <v>92</v>
      </c>
      <c r="J29" s="2">
        <f>INDEX(Positions!$A:$A,MATCH(E29,Positions!$B:$B,0))</f>
        <v>31</v>
      </c>
      <c r="K29" s="2">
        <f>INDEX(Locations!$A:$A,MATCH(I29,Locations!$B:$B,0))</f>
        <v>6</v>
      </c>
    </row>
    <row r="30" spans="1:11" x14ac:dyDescent="0.2">
      <c r="A30" s="3">
        <v>29</v>
      </c>
      <c r="B30" t="s">
        <v>150</v>
      </c>
      <c r="C30" t="s">
        <v>266</v>
      </c>
      <c r="D30" s="1">
        <v>30482</v>
      </c>
      <c r="E30" t="s">
        <v>124</v>
      </c>
      <c r="F30">
        <v>4</v>
      </c>
      <c r="G30" t="s">
        <v>584</v>
      </c>
      <c r="H30" s="2">
        <v>12</v>
      </c>
      <c r="I30" t="s">
        <v>92</v>
      </c>
      <c r="J30" s="2">
        <f>INDEX(Positions!$A:$A,MATCH(E30,Positions!$B:$B,0))</f>
        <v>58</v>
      </c>
      <c r="K30" s="2">
        <f>INDEX(Locations!$A:$A,MATCH(I30,Locations!$B:$B,0))</f>
        <v>6</v>
      </c>
    </row>
    <row r="31" spans="1:11" x14ac:dyDescent="0.2">
      <c r="A31" s="3">
        <v>30</v>
      </c>
      <c r="B31" t="s">
        <v>261</v>
      </c>
      <c r="C31" t="s">
        <v>549</v>
      </c>
      <c r="D31" s="1">
        <v>30830</v>
      </c>
      <c r="E31" t="s">
        <v>121</v>
      </c>
      <c r="F31">
        <v>3</v>
      </c>
      <c r="G31" t="s">
        <v>585</v>
      </c>
      <c r="H31" s="2">
        <v>12</v>
      </c>
      <c r="I31" t="s">
        <v>89</v>
      </c>
      <c r="J31" s="2">
        <f>INDEX(Positions!$A:$A,MATCH(E31,Positions!$B:$B,0))</f>
        <v>31</v>
      </c>
      <c r="K31" s="2">
        <f>INDEX(Locations!$A:$A,MATCH(I31,Locations!$B:$B,0))</f>
        <v>8</v>
      </c>
    </row>
    <row r="32" spans="1:11" x14ac:dyDescent="0.2">
      <c r="A32" s="3">
        <v>31</v>
      </c>
      <c r="B32" t="s">
        <v>284</v>
      </c>
      <c r="C32" t="s">
        <v>339</v>
      </c>
      <c r="D32" s="1">
        <v>28466</v>
      </c>
      <c r="E32" t="s">
        <v>124</v>
      </c>
      <c r="F32">
        <v>4</v>
      </c>
      <c r="G32" t="s">
        <v>586</v>
      </c>
      <c r="H32" s="2">
        <v>12</v>
      </c>
      <c r="I32" t="s">
        <v>89</v>
      </c>
      <c r="J32" s="2">
        <f>INDEX(Positions!$A:$A,MATCH(E32,Positions!$B:$B,0))</f>
        <v>58</v>
      </c>
      <c r="K32" s="2">
        <f>INDEX(Locations!$A:$A,MATCH(I32,Locations!$B:$B,0))</f>
        <v>8</v>
      </c>
    </row>
    <row r="33" spans="1:11" x14ac:dyDescent="0.2">
      <c r="A33" s="3">
        <v>32</v>
      </c>
      <c r="B33" t="s">
        <v>185</v>
      </c>
      <c r="C33" t="s">
        <v>278</v>
      </c>
      <c r="D33" s="1">
        <v>35484</v>
      </c>
      <c r="E33" t="s">
        <v>104</v>
      </c>
      <c r="F33">
        <v>1</v>
      </c>
      <c r="G33" t="s">
        <v>587</v>
      </c>
      <c r="H33" s="2">
        <v>12</v>
      </c>
      <c r="I33" t="s">
        <v>89</v>
      </c>
      <c r="J33" s="2">
        <f>INDEX(Positions!$A:$A,MATCH(E33,Positions!$B:$B,0))</f>
        <v>6</v>
      </c>
      <c r="K33" s="2">
        <f>INDEX(Locations!$A:$A,MATCH(I33,Locations!$B:$B,0))</f>
        <v>8</v>
      </c>
    </row>
    <row r="34" spans="1:11" x14ac:dyDescent="0.2">
      <c r="A34" s="3">
        <v>33</v>
      </c>
      <c r="B34" t="s">
        <v>127</v>
      </c>
      <c r="C34" t="s">
        <v>253</v>
      </c>
      <c r="D34" s="1">
        <v>32089</v>
      </c>
      <c r="E34" t="s">
        <v>124</v>
      </c>
      <c r="F34">
        <v>4</v>
      </c>
      <c r="G34" t="s">
        <v>588</v>
      </c>
      <c r="H34" s="2">
        <v>12</v>
      </c>
      <c r="I34" t="s">
        <v>92</v>
      </c>
      <c r="J34" s="2">
        <f>INDEX(Positions!$A:$A,MATCH(E34,Positions!$B:$B,0))</f>
        <v>58</v>
      </c>
      <c r="K34" s="2">
        <f>INDEX(Locations!$A:$A,MATCH(I34,Locations!$B:$B,0))</f>
        <v>6</v>
      </c>
    </row>
    <row r="35" spans="1:11" x14ac:dyDescent="0.2">
      <c r="A35" s="3">
        <v>34</v>
      </c>
      <c r="B35" t="s">
        <v>122</v>
      </c>
      <c r="C35" t="s">
        <v>314</v>
      </c>
      <c r="D35" s="1">
        <v>37428</v>
      </c>
      <c r="E35" t="s">
        <v>104</v>
      </c>
      <c r="F35">
        <v>1</v>
      </c>
      <c r="G35" t="s">
        <v>589</v>
      </c>
      <c r="H35" s="2">
        <v>12</v>
      </c>
      <c r="I35" t="s">
        <v>92</v>
      </c>
      <c r="J35" s="2">
        <f>INDEX(Positions!$A:$A,MATCH(E35,Positions!$B:$B,0))</f>
        <v>6</v>
      </c>
      <c r="K35" s="2">
        <f>INDEX(Locations!$A:$A,MATCH(I35,Locations!$B:$B,0))</f>
        <v>6</v>
      </c>
    </row>
    <row r="36" spans="1:11" x14ac:dyDescent="0.2">
      <c r="A36" s="3">
        <v>35</v>
      </c>
      <c r="B36" t="s">
        <v>527</v>
      </c>
      <c r="C36" t="s">
        <v>380</v>
      </c>
      <c r="D36" s="1">
        <v>35389</v>
      </c>
      <c r="E36" t="s">
        <v>104</v>
      </c>
      <c r="F36">
        <v>1</v>
      </c>
      <c r="G36" t="s">
        <v>590</v>
      </c>
      <c r="H36" s="2">
        <v>12</v>
      </c>
      <c r="I36" t="s">
        <v>233</v>
      </c>
      <c r="J36" s="2">
        <f>INDEX(Positions!$A:$A,MATCH(E36,Positions!$B:$B,0))</f>
        <v>6</v>
      </c>
      <c r="K36" s="2">
        <f>INDEX(Locations!$A:$A,MATCH(I36,Locations!$B:$B,0))</f>
        <v>11</v>
      </c>
    </row>
    <row r="37" spans="1:11" x14ac:dyDescent="0.2">
      <c r="A37" s="3">
        <v>36</v>
      </c>
      <c r="B37" t="s">
        <v>215</v>
      </c>
      <c r="C37" t="s">
        <v>135</v>
      </c>
      <c r="D37" s="1">
        <v>37268</v>
      </c>
      <c r="E37" t="s">
        <v>104</v>
      </c>
      <c r="F37">
        <v>1</v>
      </c>
      <c r="G37" t="s">
        <v>591</v>
      </c>
      <c r="H37" s="2">
        <v>12</v>
      </c>
      <c r="I37" t="s">
        <v>92</v>
      </c>
      <c r="J37" s="2">
        <f>INDEX(Positions!$A:$A,MATCH(E37,Positions!$B:$B,0))</f>
        <v>6</v>
      </c>
      <c r="K37" s="2">
        <f>INDEX(Locations!$A:$A,MATCH(I37,Locations!$B:$B,0))</f>
        <v>6</v>
      </c>
    </row>
    <row r="38" spans="1:11" x14ac:dyDescent="0.2">
      <c r="A38" s="3">
        <v>37</v>
      </c>
      <c r="B38" t="s">
        <v>519</v>
      </c>
      <c r="C38" t="s">
        <v>568</v>
      </c>
      <c r="D38" s="1">
        <v>34376</v>
      </c>
      <c r="E38" t="s">
        <v>124</v>
      </c>
      <c r="F38">
        <v>4</v>
      </c>
      <c r="G38" t="s">
        <v>592</v>
      </c>
      <c r="H38" s="2">
        <v>12</v>
      </c>
      <c r="I38" t="s">
        <v>233</v>
      </c>
      <c r="J38" s="2">
        <f>INDEX(Positions!$A:$A,MATCH(E38,Positions!$B:$B,0))</f>
        <v>58</v>
      </c>
      <c r="K38" s="2">
        <f>INDEX(Locations!$A:$A,MATCH(I38,Locations!$B:$B,0))</f>
        <v>11</v>
      </c>
    </row>
    <row r="39" spans="1:11" x14ac:dyDescent="0.2">
      <c r="A39" s="3">
        <v>38</v>
      </c>
      <c r="B39" t="s">
        <v>110</v>
      </c>
      <c r="C39" t="s">
        <v>410</v>
      </c>
      <c r="D39" s="1">
        <v>35239</v>
      </c>
      <c r="E39" t="s">
        <v>104</v>
      </c>
      <c r="F39">
        <v>1</v>
      </c>
      <c r="G39" t="s">
        <v>593</v>
      </c>
      <c r="H39" s="2">
        <v>12</v>
      </c>
      <c r="I39" t="s">
        <v>233</v>
      </c>
      <c r="J39" s="2">
        <f>INDEX(Positions!$A:$A,MATCH(E39,Positions!$B:$B,0))</f>
        <v>6</v>
      </c>
      <c r="K39" s="2">
        <f>INDEX(Locations!$A:$A,MATCH(I39,Locations!$B:$B,0))</f>
        <v>11</v>
      </c>
    </row>
    <row r="40" spans="1:11" x14ac:dyDescent="0.2">
      <c r="A40" s="3">
        <v>39</v>
      </c>
      <c r="B40" t="s">
        <v>202</v>
      </c>
      <c r="C40" t="s">
        <v>446</v>
      </c>
      <c r="D40" s="1">
        <v>36294</v>
      </c>
      <c r="E40" t="s">
        <v>118</v>
      </c>
      <c r="F40">
        <v>3</v>
      </c>
      <c r="G40" t="s">
        <v>594</v>
      </c>
      <c r="H40" s="2">
        <v>12</v>
      </c>
      <c r="I40" t="s">
        <v>92</v>
      </c>
      <c r="J40" s="2">
        <f>INDEX(Positions!$A:$A,MATCH(E40,Positions!$B:$B,0))</f>
        <v>28</v>
      </c>
      <c r="K40" s="2">
        <f>INDEX(Locations!$A:$A,MATCH(I40,Locations!$B:$B,0))</f>
        <v>6</v>
      </c>
    </row>
    <row r="41" spans="1:11" x14ac:dyDescent="0.2">
      <c r="A41" s="3">
        <v>40</v>
      </c>
      <c r="B41" t="s">
        <v>231</v>
      </c>
      <c r="C41" t="s">
        <v>595</v>
      </c>
      <c r="D41" s="1">
        <v>35356</v>
      </c>
      <c r="E41" t="s">
        <v>104</v>
      </c>
      <c r="F41">
        <v>1</v>
      </c>
      <c r="G41" t="s">
        <v>596</v>
      </c>
      <c r="H41" s="2">
        <v>131</v>
      </c>
      <c r="I41" t="s">
        <v>92</v>
      </c>
      <c r="J41" s="2">
        <f>INDEX(Positions!$A:$A,MATCH(E41,Positions!$B:$B,0))</f>
        <v>6</v>
      </c>
      <c r="K41" s="2">
        <f>INDEX(Locations!$A:$A,MATCH(I41,Locations!$B:$B,0))</f>
        <v>6</v>
      </c>
    </row>
    <row r="42" spans="1:11" x14ac:dyDescent="0.2">
      <c r="A42" s="3">
        <v>41</v>
      </c>
      <c r="B42" t="s">
        <v>371</v>
      </c>
      <c r="C42" t="s">
        <v>446</v>
      </c>
      <c r="D42" s="1">
        <v>33669</v>
      </c>
      <c r="E42" t="s">
        <v>104</v>
      </c>
      <c r="F42">
        <v>1</v>
      </c>
      <c r="G42" t="s">
        <v>597</v>
      </c>
      <c r="H42" s="2">
        <v>12</v>
      </c>
      <c r="I42" t="s">
        <v>92</v>
      </c>
      <c r="J42" s="2">
        <f>INDEX(Positions!$A:$A,MATCH(E42,Positions!$B:$B,0))</f>
        <v>6</v>
      </c>
      <c r="K42" s="2">
        <f>INDEX(Locations!$A:$A,MATCH(I42,Locations!$B:$B,0))</f>
        <v>6</v>
      </c>
    </row>
    <row r="43" spans="1:11" x14ac:dyDescent="0.2">
      <c r="A43" s="3">
        <v>42</v>
      </c>
      <c r="B43" t="s">
        <v>436</v>
      </c>
      <c r="C43" t="s">
        <v>595</v>
      </c>
      <c r="D43" s="1">
        <v>33892</v>
      </c>
      <c r="E43" t="s">
        <v>104</v>
      </c>
      <c r="F43">
        <v>1</v>
      </c>
      <c r="G43" t="s">
        <v>598</v>
      </c>
      <c r="H43" s="2">
        <v>12</v>
      </c>
      <c r="I43" t="s">
        <v>92</v>
      </c>
      <c r="J43" s="2">
        <f>INDEX(Positions!$A:$A,MATCH(E43,Positions!$B:$B,0))</f>
        <v>6</v>
      </c>
      <c r="K43" s="2">
        <f>INDEX(Locations!$A:$A,MATCH(I43,Locations!$B:$B,0))</f>
        <v>6</v>
      </c>
    </row>
    <row r="44" spans="1:11" x14ac:dyDescent="0.2">
      <c r="A44" s="3">
        <v>43</v>
      </c>
      <c r="B44" t="s">
        <v>244</v>
      </c>
      <c r="C44" t="s">
        <v>488</v>
      </c>
      <c r="D44" s="1">
        <v>37586</v>
      </c>
      <c r="E44" t="s">
        <v>109</v>
      </c>
      <c r="F44">
        <v>2</v>
      </c>
      <c r="G44" t="s">
        <v>599</v>
      </c>
      <c r="H44" s="2">
        <v>12</v>
      </c>
      <c r="I44" t="s">
        <v>92</v>
      </c>
      <c r="J44" s="2">
        <f>INDEX(Positions!$A:$A,MATCH(E44,Positions!$B:$B,0))</f>
        <v>19</v>
      </c>
      <c r="K44" s="2">
        <f>INDEX(Locations!$A:$A,MATCH(I44,Locations!$B:$B,0))</f>
        <v>6</v>
      </c>
    </row>
    <row r="45" spans="1:11" x14ac:dyDescent="0.2">
      <c r="A45" s="3">
        <v>44</v>
      </c>
      <c r="B45" t="s">
        <v>150</v>
      </c>
      <c r="C45" t="s">
        <v>536</v>
      </c>
      <c r="D45" s="1">
        <v>34551</v>
      </c>
      <c r="E45" t="s">
        <v>118</v>
      </c>
      <c r="F45">
        <v>3</v>
      </c>
      <c r="G45" t="s">
        <v>600</v>
      </c>
      <c r="H45" s="2">
        <v>12</v>
      </c>
      <c r="I45" t="s">
        <v>92</v>
      </c>
      <c r="J45" s="2">
        <f>INDEX(Positions!$A:$A,MATCH(E45,Positions!$B:$B,0))</f>
        <v>28</v>
      </c>
      <c r="K45" s="2">
        <f>INDEX(Locations!$A:$A,MATCH(I45,Locations!$B:$B,0))</f>
        <v>6</v>
      </c>
    </row>
    <row r="46" spans="1:11" x14ac:dyDescent="0.2">
      <c r="A46" s="3">
        <v>45</v>
      </c>
      <c r="B46" t="s">
        <v>391</v>
      </c>
      <c r="C46" t="s">
        <v>451</v>
      </c>
      <c r="D46" s="1">
        <v>32891</v>
      </c>
      <c r="E46" t="s">
        <v>121</v>
      </c>
      <c r="F46">
        <v>3</v>
      </c>
      <c r="G46" t="s">
        <v>601</v>
      </c>
      <c r="H46" s="2">
        <v>12</v>
      </c>
      <c r="I46" t="s">
        <v>92</v>
      </c>
      <c r="J46" s="2">
        <f>INDEX(Positions!$A:$A,MATCH(E46,Positions!$B:$B,0))</f>
        <v>31</v>
      </c>
      <c r="K46" s="2">
        <f>INDEX(Locations!$A:$A,MATCH(I46,Locations!$B:$B,0))</f>
        <v>6</v>
      </c>
    </row>
    <row r="47" spans="1:11" x14ac:dyDescent="0.2">
      <c r="A47" s="3">
        <v>46</v>
      </c>
      <c r="B47" t="s">
        <v>215</v>
      </c>
      <c r="C47" t="s">
        <v>602</v>
      </c>
      <c r="D47" s="1">
        <v>35107</v>
      </c>
      <c r="E47" t="s">
        <v>104</v>
      </c>
      <c r="F47">
        <v>1</v>
      </c>
      <c r="G47" t="s">
        <v>603</v>
      </c>
      <c r="H47" s="2">
        <v>12</v>
      </c>
      <c r="I47" t="s">
        <v>89</v>
      </c>
      <c r="J47" s="2">
        <f>INDEX(Positions!$A:$A,MATCH(E47,Positions!$B:$B,0))</f>
        <v>6</v>
      </c>
      <c r="K47" s="2">
        <f>INDEX(Locations!$A:$A,MATCH(I47,Locations!$B:$B,0))</f>
        <v>8</v>
      </c>
    </row>
    <row r="48" spans="1:11" x14ac:dyDescent="0.2">
      <c r="A48" s="3">
        <v>47</v>
      </c>
      <c r="B48" t="s">
        <v>367</v>
      </c>
      <c r="C48" t="s">
        <v>353</v>
      </c>
      <c r="D48" s="1">
        <v>35832</v>
      </c>
      <c r="E48" t="s">
        <v>104</v>
      </c>
      <c r="F48">
        <v>1</v>
      </c>
      <c r="G48" t="s">
        <v>604</v>
      </c>
      <c r="H48" s="2">
        <v>12</v>
      </c>
      <c r="I48" t="s">
        <v>89</v>
      </c>
      <c r="J48" s="2">
        <f>INDEX(Positions!$A:$A,MATCH(E48,Positions!$B:$B,0))</f>
        <v>6</v>
      </c>
      <c r="K48" s="2">
        <f>INDEX(Locations!$A:$A,MATCH(I48,Locations!$B:$B,0))</f>
        <v>8</v>
      </c>
    </row>
    <row r="49" spans="1:11" x14ac:dyDescent="0.2">
      <c r="A49" s="3">
        <v>48</v>
      </c>
      <c r="B49" t="s">
        <v>152</v>
      </c>
      <c r="C49" t="s">
        <v>154</v>
      </c>
      <c r="D49" s="1">
        <v>37628</v>
      </c>
      <c r="E49" t="s">
        <v>104</v>
      </c>
      <c r="F49">
        <v>1</v>
      </c>
      <c r="G49" t="s">
        <v>605</v>
      </c>
      <c r="H49" s="2">
        <v>12</v>
      </c>
      <c r="I49" t="s">
        <v>233</v>
      </c>
      <c r="J49" s="2">
        <f>INDEX(Positions!$A:$A,MATCH(E49,Positions!$B:$B,0))</f>
        <v>6</v>
      </c>
      <c r="K49" s="2">
        <f>INDEX(Locations!$A:$A,MATCH(I49,Locations!$B:$B,0))</f>
        <v>11</v>
      </c>
    </row>
    <row r="50" spans="1:11" x14ac:dyDescent="0.2">
      <c r="A50" s="3">
        <v>49</v>
      </c>
      <c r="B50" t="s">
        <v>349</v>
      </c>
      <c r="C50" t="s">
        <v>606</v>
      </c>
      <c r="D50" s="1">
        <v>30982</v>
      </c>
      <c r="E50" t="s">
        <v>121</v>
      </c>
      <c r="F50">
        <v>3</v>
      </c>
      <c r="G50" t="s">
        <v>607</v>
      </c>
      <c r="H50" s="2">
        <v>144</v>
      </c>
      <c r="I50" t="s">
        <v>92</v>
      </c>
      <c r="J50" s="2">
        <f>INDEX(Positions!$A:$A,MATCH(E50,Positions!$B:$B,0))</f>
        <v>31</v>
      </c>
      <c r="K50" s="2">
        <f>INDEX(Locations!$A:$A,MATCH(I50,Locations!$B:$B,0))</f>
        <v>6</v>
      </c>
    </row>
    <row r="51" spans="1:11" x14ac:dyDescent="0.2">
      <c r="A51" s="3">
        <v>50</v>
      </c>
      <c r="B51" t="s">
        <v>447</v>
      </c>
      <c r="C51" t="s">
        <v>344</v>
      </c>
      <c r="D51" s="1">
        <v>36523</v>
      </c>
      <c r="E51" t="s">
        <v>104</v>
      </c>
      <c r="F51">
        <v>1</v>
      </c>
      <c r="G51" t="s">
        <v>608</v>
      </c>
      <c r="H51" s="2">
        <v>12</v>
      </c>
      <c r="I51" t="s">
        <v>92</v>
      </c>
      <c r="J51" s="2">
        <f>INDEX(Positions!$A:$A,MATCH(E51,Positions!$B:$B,0))</f>
        <v>6</v>
      </c>
      <c r="K51" s="2">
        <f>INDEX(Locations!$A:$A,MATCH(I51,Locations!$B:$B,0))</f>
        <v>6</v>
      </c>
    </row>
    <row r="52" spans="1:11" x14ac:dyDescent="0.2">
      <c r="A52" s="3">
        <v>51</v>
      </c>
      <c r="B52" t="s">
        <v>445</v>
      </c>
      <c r="C52" t="s">
        <v>595</v>
      </c>
      <c r="D52" s="1">
        <v>33448</v>
      </c>
      <c r="E52" t="s">
        <v>109</v>
      </c>
      <c r="F52">
        <v>2</v>
      </c>
      <c r="G52" t="s">
        <v>609</v>
      </c>
      <c r="H52" s="2">
        <v>144</v>
      </c>
      <c r="I52" t="s">
        <v>92</v>
      </c>
      <c r="J52" s="2">
        <f>INDEX(Positions!$A:$A,MATCH(E52,Positions!$B:$B,0))</f>
        <v>19</v>
      </c>
      <c r="K52" s="2">
        <f>INDEX(Locations!$A:$A,MATCH(I52,Locations!$B:$B,0))</f>
        <v>6</v>
      </c>
    </row>
    <row r="53" spans="1:11" x14ac:dyDescent="0.2">
      <c r="A53" s="3">
        <v>52</v>
      </c>
      <c r="B53" t="s">
        <v>396</v>
      </c>
      <c r="C53" t="s">
        <v>130</v>
      </c>
      <c r="D53" s="1">
        <v>33639</v>
      </c>
      <c r="E53" t="s">
        <v>118</v>
      </c>
      <c r="F53">
        <v>3</v>
      </c>
      <c r="G53" t="s">
        <v>610</v>
      </c>
      <c r="H53" s="2">
        <v>12</v>
      </c>
      <c r="I53" t="s">
        <v>92</v>
      </c>
      <c r="J53" s="2">
        <f>INDEX(Positions!$A:$A,MATCH(E53,Positions!$B:$B,0))</f>
        <v>28</v>
      </c>
      <c r="K53" s="2">
        <f>INDEX(Locations!$A:$A,MATCH(I53,Locations!$B:$B,0))</f>
        <v>6</v>
      </c>
    </row>
    <row r="54" spans="1:11" x14ac:dyDescent="0.2">
      <c r="A54" s="3">
        <v>53</v>
      </c>
      <c r="B54" t="s">
        <v>331</v>
      </c>
      <c r="C54" t="s">
        <v>270</v>
      </c>
      <c r="D54" s="1">
        <v>33075</v>
      </c>
      <c r="E54" t="s">
        <v>109</v>
      </c>
      <c r="F54">
        <v>2</v>
      </c>
      <c r="G54" t="s">
        <v>611</v>
      </c>
      <c r="H54" s="2">
        <v>119</v>
      </c>
      <c r="I54" t="s">
        <v>92</v>
      </c>
      <c r="J54" s="2">
        <f>INDEX(Positions!$A:$A,MATCH(E54,Positions!$B:$B,0))</f>
        <v>19</v>
      </c>
      <c r="K54" s="2">
        <f>INDEX(Locations!$A:$A,MATCH(I54,Locations!$B:$B,0))</f>
        <v>6</v>
      </c>
    </row>
    <row r="55" spans="1:11" x14ac:dyDescent="0.2">
      <c r="A55" s="3">
        <v>54</v>
      </c>
      <c r="B55" t="s">
        <v>422</v>
      </c>
      <c r="C55" t="s">
        <v>214</v>
      </c>
      <c r="D55" s="1">
        <v>37163</v>
      </c>
      <c r="E55" t="s">
        <v>109</v>
      </c>
      <c r="F55">
        <v>2</v>
      </c>
      <c r="G55" t="s">
        <v>612</v>
      </c>
      <c r="H55" s="2">
        <v>145</v>
      </c>
      <c r="I55" t="s">
        <v>92</v>
      </c>
      <c r="J55" s="2">
        <f>INDEX(Positions!$A:$A,MATCH(E55,Positions!$B:$B,0))</f>
        <v>19</v>
      </c>
      <c r="K55" s="2">
        <f>INDEX(Locations!$A:$A,MATCH(I55,Locations!$B:$B,0))</f>
        <v>6</v>
      </c>
    </row>
    <row r="56" spans="1:11" x14ac:dyDescent="0.2">
      <c r="A56" s="3">
        <v>55</v>
      </c>
      <c r="B56" t="s">
        <v>383</v>
      </c>
      <c r="C56" t="s">
        <v>314</v>
      </c>
      <c r="D56" s="1">
        <v>31813</v>
      </c>
      <c r="E56" t="s">
        <v>118</v>
      </c>
      <c r="F56">
        <v>3</v>
      </c>
      <c r="G56" t="s">
        <v>613</v>
      </c>
      <c r="H56" s="2">
        <v>12</v>
      </c>
      <c r="I56" t="s">
        <v>92</v>
      </c>
      <c r="J56" s="2">
        <f>INDEX(Positions!$A:$A,MATCH(E56,Positions!$B:$B,0))</f>
        <v>28</v>
      </c>
      <c r="K56" s="2">
        <f>INDEX(Locations!$A:$A,MATCH(I56,Locations!$B:$B,0))</f>
        <v>6</v>
      </c>
    </row>
    <row r="57" spans="1:11" x14ac:dyDescent="0.2">
      <c r="A57" s="3">
        <v>56</v>
      </c>
      <c r="B57" t="s">
        <v>178</v>
      </c>
      <c r="C57" t="s">
        <v>206</v>
      </c>
      <c r="D57" s="1">
        <v>35802</v>
      </c>
      <c r="E57" t="s">
        <v>109</v>
      </c>
      <c r="F57">
        <v>2</v>
      </c>
      <c r="G57" t="s">
        <v>614</v>
      </c>
      <c r="H57" s="2">
        <v>12</v>
      </c>
      <c r="I57" t="s">
        <v>233</v>
      </c>
      <c r="J57" s="2">
        <f>INDEX(Positions!$A:$A,MATCH(E57,Positions!$B:$B,0))</f>
        <v>19</v>
      </c>
      <c r="K57" s="2">
        <f>INDEX(Locations!$A:$A,MATCH(I57,Locations!$B:$B,0))</f>
        <v>11</v>
      </c>
    </row>
    <row r="58" spans="1:11" x14ac:dyDescent="0.2">
      <c r="A58" s="3">
        <v>57</v>
      </c>
      <c r="B58" t="s">
        <v>444</v>
      </c>
      <c r="C58" t="s">
        <v>254</v>
      </c>
      <c r="D58" s="1">
        <v>34428</v>
      </c>
      <c r="E58" t="s">
        <v>121</v>
      </c>
      <c r="F58">
        <v>3</v>
      </c>
      <c r="G58" t="s">
        <v>615</v>
      </c>
      <c r="H58" s="2">
        <v>119</v>
      </c>
      <c r="I58" t="s">
        <v>233</v>
      </c>
      <c r="J58" s="2">
        <f>INDEX(Positions!$A:$A,MATCH(E58,Positions!$B:$B,0))</f>
        <v>31</v>
      </c>
      <c r="K58" s="2">
        <f>INDEX(Locations!$A:$A,MATCH(I58,Locations!$B:$B,0))</f>
        <v>11</v>
      </c>
    </row>
    <row r="59" spans="1:11" x14ac:dyDescent="0.2">
      <c r="A59" s="3">
        <v>58</v>
      </c>
      <c r="B59" t="s">
        <v>471</v>
      </c>
      <c r="C59" t="s">
        <v>470</v>
      </c>
      <c r="D59" s="1">
        <v>36474</v>
      </c>
      <c r="E59" t="s">
        <v>118</v>
      </c>
      <c r="F59">
        <v>3</v>
      </c>
      <c r="G59" t="s">
        <v>616</v>
      </c>
      <c r="H59" s="2">
        <v>145</v>
      </c>
      <c r="I59" t="s">
        <v>89</v>
      </c>
      <c r="J59" s="2">
        <f>INDEX(Positions!$A:$A,MATCH(E59,Positions!$B:$B,0))</f>
        <v>28</v>
      </c>
      <c r="K59" s="2">
        <f>INDEX(Locations!$A:$A,MATCH(I59,Locations!$B:$B,0))</f>
        <v>8</v>
      </c>
    </row>
    <row r="60" spans="1:11" x14ac:dyDescent="0.2">
      <c r="A60" s="3">
        <v>59</v>
      </c>
      <c r="B60" t="s">
        <v>358</v>
      </c>
      <c r="C60" t="s">
        <v>369</v>
      </c>
      <c r="D60" s="1">
        <v>37890</v>
      </c>
      <c r="E60" t="s">
        <v>104</v>
      </c>
      <c r="F60">
        <v>1</v>
      </c>
      <c r="G60" t="s">
        <v>617</v>
      </c>
      <c r="H60" s="2">
        <v>12</v>
      </c>
      <c r="I60" t="s">
        <v>92</v>
      </c>
      <c r="J60" s="2">
        <f>INDEX(Positions!$A:$A,MATCH(E60,Positions!$B:$B,0))</f>
        <v>6</v>
      </c>
      <c r="K60" s="2">
        <f>INDEX(Locations!$A:$A,MATCH(I60,Locations!$B:$B,0))</f>
        <v>6</v>
      </c>
    </row>
    <row r="61" spans="1:11" x14ac:dyDescent="0.2">
      <c r="A61" s="3">
        <v>60</v>
      </c>
      <c r="B61" t="s">
        <v>379</v>
      </c>
      <c r="C61" t="s">
        <v>531</v>
      </c>
      <c r="D61" s="1">
        <v>35375</v>
      </c>
      <c r="E61" t="s">
        <v>104</v>
      </c>
      <c r="F61">
        <v>1</v>
      </c>
      <c r="G61" t="s">
        <v>618</v>
      </c>
      <c r="H61" s="2">
        <v>12</v>
      </c>
      <c r="I61" t="s">
        <v>92</v>
      </c>
      <c r="J61" s="2">
        <f>INDEX(Positions!$A:$A,MATCH(E61,Positions!$B:$B,0))</f>
        <v>6</v>
      </c>
      <c r="K61" s="2">
        <f>INDEX(Locations!$A:$A,MATCH(I61,Locations!$B:$B,0))</f>
        <v>6</v>
      </c>
    </row>
    <row r="62" spans="1:11" x14ac:dyDescent="0.2">
      <c r="A62" s="3">
        <v>61</v>
      </c>
      <c r="B62" t="s">
        <v>484</v>
      </c>
      <c r="C62" t="s">
        <v>294</v>
      </c>
      <c r="D62" s="1">
        <v>35390</v>
      </c>
      <c r="E62" t="s">
        <v>104</v>
      </c>
      <c r="F62">
        <v>1</v>
      </c>
      <c r="G62" t="s">
        <v>619</v>
      </c>
      <c r="H62" s="2">
        <v>12</v>
      </c>
      <c r="I62" t="s">
        <v>233</v>
      </c>
      <c r="J62" s="2">
        <f>INDEX(Positions!$A:$A,MATCH(E62,Positions!$B:$B,0))</f>
        <v>6</v>
      </c>
      <c r="K62" s="2">
        <f>INDEX(Locations!$A:$A,MATCH(I62,Locations!$B:$B,0))</f>
        <v>11</v>
      </c>
    </row>
    <row r="63" spans="1:11" x14ac:dyDescent="0.2">
      <c r="A63" s="3">
        <v>62</v>
      </c>
      <c r="B63" t="s">
        <v>310</v>
      </c>
      <c r="C63" t="s">
        <v>254</v>
      </c>
      <c r="D63" s="1">
        <v>35456</v>
      </c>
      <c r="E63" t="s">
        <v>109</v>
      </c>
      <c r="F63">
        <v>2</v>
      </c>
      <c r="G63" t="s">
        <v>620</v>
      </c>
      <c r="H63" s="2">
        <v>12</v>
      </c>
      <c r="I63" t="s">
        <v>89</v>
      </c>
      <c r="J63" s="2">
        <f>INDEX(Positions!$A:$A,MATCH(E63,Positions!$B:$B,0))</f>
        <v>19</v>
      </c>
      <c r="K63" s="2">
        <f>INDEX(Locations!$A:$A,MATCH(I63,Locations!$B:$B,0))</f>
        <v>8</v>
      </c>
    </row>
    <row r="64" spans="1:11" x14ac:dyDescent="0.2">
      <c r="A64" s="3">
        <v>63</v>
      </c>
      <c r="B64" t="s">
        <v>55</v>
      </c>
      <c r="C64" t="s">
        <v>375</v>
      </c>
      <c r="D64" s="1">
        <v>36363</v>
      </c>
      <c r="E64" t="s">
        <v>104</v>
      </c>
      <c r="F64">
        <v>1</v>
      </c>
      <c r="G64" t="s">
        <v>621</v>
      </c>
      <c r="H64" s="2">
        <v>12</v>
      </c>
      <c r="I64" t="s">
        <v>92</v>
      </c>
      <c r="J64" s="2">
        <f>INDEX(Positions!$A:$A,MATCH(E64,Positions!$B:$B,0))</f>
        <v>6</v>
      </c>
      <c r="K64" s="2">
        <f>INDEX(Locations!$A:$A,MATCH(I64,Locations!$B:$B,0))</f>
        <v>6</v>
      </c>
    </row>
    <row r="65" spans="1:11" x14ac:dyDescent="0.2">
      <c r="A65" s="3">
        <v>64</v>
      </c>
      <c r="B65" t="s">
        <v>152</v>
      </c>
      <c r="C65" t="s">
        <v>544</v>
      </c>
      <c r="D65" s="1">
        <v>33989</v>
      </c>
      <c r="E65" t="s">
        <v>104</v>
      </c>
      <c r="F65">
        <v>1</v>
      </c>
      <c r="G65" t="s">
        <v>622</v>
      </c>
      <c r="H65" s="2">
        <v>12</v>
      </c>
      <c r="I65" t="s">
        <v>89</v>
      </c>
      <c r="J65" s="2">
        <f>INDEX(Positions!$A:$A,MATCH(E65,Positions!$B:$B,0))</f>
        <v>6</v>
      </c>
      <c r="K65" s="2">
        <f>INDEX(Locations!$A:$A,MATCH(I65,Locations!$B:$B,0))</f>
        <v>8</v>
      </c>
    </row>
    <row r="66" spans="1:11" x14ac:dyDescent="0.2">
      <c r="A66" s="3">
        <v>65</v>
      </c>
      <c r="B66" t="s">
        <v>244</v>
      </c>
      <c r="C66" t="s">
        <v>98</v>
      </c>
      <c r="D66" s="1">
        <v>27986</v>
      </c>
      <c r="E66" t="s">
        <v>95</v>
      </c>
      <c r="F66">
        <v>6</v>
      </c>
      <c r="G66" t="s">
        <v>623</v>
      </c>
      <c r="H66" s="2">
        <v>15</v>
      </c>
      <c r="I66" t="s">
        <v>233</v>
      </c>
      <c r="J66" s="2">
        <f>INDEX(Positions!$A:$A,MATCH(E66,Positions!$B:$B,0))</f>
        <v>89</v>
      </c>
      <c r="K66" s="2">
        <f>INDEX(Locations!$A:$A,MATCH(I66,Locations!$B:$B,0))</f>
        <v>11</v>
      </c>
    </row>
    <row r="67" spans="1:11" x14ac:dyDescent="0.2">
      <c r="A67" s="3">
        <v>66</v>
      </c>
      <c r="B67" t="s">
        <v>261</v>
      </c>
      <c r="C67" t="s">
        <v>624</v>
      </c>
      <c r="D67" s="1">
        <v>35261</v>
      </c>
      <c r="E67" t="s">
        <v>104</v>
      </c>
      <c r="F67">
        <v>1</v>
      </c>
      <c r="G67" t="s">
        <v>625</v>
      </c>
      <c r="H67" s="2">
        <v>12</v>
      </c>
      <c r="I67" t="s">
        <v>92</v>
      </c>
      <c r="J67" s="2">
        <f>INDEX(Positions!$A:$A,MATCH(E67,Positions!$B:$B,0))</f>
        <v>6</v>
      </c>
      <c r="K67" s="2">
        <f>INDEX(Locations!$A:$A,MATCH(I67,Locations!$B:$B,0))</f>
        <v>6</v>
      </c>
    </row>
    <row r="68" spans="1:11" x14ac:dyDescent="0.2">
      <c r="A68" s="3">
        <v>67</v>
      </c>
      <c r="B68" t="s">
        <v>471</v>
      </c>
      <c r="C68" t="s">
        <v>560</v>
      </c>
      <c r="D68" s="1">
        <v>34089</v>
      </c>
      <c r="E68" t="s">
        <v>118</v>
      </c>
      <c r="F68">
        <v>3</v>
      </c>
      <c r="G68" t="s">
        <v>626</v>
      </c>
      <c r="H68" s="2">
        <v>12</v>
      </c>
      <c r="I68" t="s">
        <v>92</v>
      </c>
      <c r="J68" s="2">
        <f>INDEX(Positions!$A:$A,MATCH(E68,Positions!$B:$B,0))</f>
        <v>28</v>
      </c>
      <c r="K68" s="2">
        <f>INDEX(Locations!$A:$A,MATCH(I68,Locations!$B:$B,0))</f>
        <v>6</v>
      </c>
    </row>
    <row r="69" spans="1:11" x14ac:dyDescent="0.2">
      <c r="A69" s="3">
        <v>68</v>
      </c>
      <c r="B69" t="s">
        <v>345</v>
      </c>
      <c r="C69" t="s">
        <v>56</v>
      </c>
      <c r="D69" s="1">
        <v>37874</v>
      </c>
      <c r="E69" t="s">
        <v>104</v>
      </c>
      <c r="F69">
        <v>1</v>
      </c>
      <c r="G69" t="s">
        <v>627</v>
      </c>
      <c r="H69" s="2">
        <v>12</v>
      </c>
      <c r="I69" t="s">
        <v>92</v>
      </c>
      <c r="J69" s="2">
        <f>INDEX(Positions!$A:$A,MATCH(E69,Positions!$B:$B,0))</f>
        <v>6</v>
      </c>
      <c r="K69" s="2">
        <f>INDEX(Locations!$A:$A,MATCH(I69,Locations!$B:$B,0))</f>
        <v>6</v>
      </c>
    </row>
    <row r="70" spans="1:11" x14ac:dyDescent="0.2">
      <c r="A70" s="3">
        <v>69</v>
      </c>
      <c r="B70" t="s">
        <v>331</v>
      </c>
      <c r="C70" t="s">
        <v>425</v>
      </c>
      <c r="D70" s="1">
        <v>33422</v>
      </c>
      <c r="E70" t="s">
        <v>104</v>
      </c>
      <c r="F70">
        <v>1</v>
      </c>
      <c r="G70" t="s">
        <v>628</v>
      </c>
      <c r="H70" s="2">
        <v>12</v>
      </c>
      <c r="I70" t="s">
        <v>89</v>
      </c>
      <c r="J70" s="2">
        <f>INDEX(Positions!$A:$A,MATCH(E70,Positions!$B:$B,0))</f>
        <v>6</v>
      </c>
      <c r="K70" s="2">
        <f>INDEX(Locations!$A:$A,MATCH(I70,Locations!$B:$B,0))</f>
        <v>8</v>
      </c>
    </row>
    <row r="71" spans="1:11" x14ac:dyDescent="0.2">
      <c r="A71" s="3">
        <v>70</v>
      </c>
      <c r="B71" t="s">
        <v>176</v>
      </c>
      <c r="C71" t="s">
        <v>602</v>
      </c>
      <c r="D71" s="1">
        <v>35298</v>
      </c>
      <c r="E71" t="s">
        <v>104</v>
      </c>
      <c r="F71">
        <v>1</v>
      </c>
      <c r="G71" t="s">
        <v>629</v>
      </c>
      <c r="H71" s="2">
        <v>12</v>
      </c>
      <c r="I71" t="s">
        <v>92</v>
      </c>
      <c r="J71" s="2">
        <f>INDEX(Positions!$A:$A,MATCH(E71,Positions!$B:$B,0))</f>
        <v>6</v>
      </c>
      <c r="K71" s="2">
        <f>INDEX(Locations!$A:$A,MATCH(I71,Locations!$B:$B,0))</f>
        <v>6</v>
      </c>
    </row>
    <row r="72" spans="1:11" x14ac:dyDescent="0.2">
      <c r="A72" s="3">
        <v>71</v>
      </c>
      <c r="B72" t="s">
        <v>328</v>
      </c>
      <c r="C72" t="s">
        <v>575</v>
      </c>
      <c r="D72" s="1">
        <v>35282</v>
      </c>
      <c r="E72" t="s">
        <v>118</v>
      </c>
      <c r="F72">
        <v>3</v>
      </c>
      <c r="G72" t="s">
        <v>630</v>
      </c>
      <c r="H72" s="2">
        <v>12</v>
      </c>
      <c r="I72" t="s">
        <v>92</v>
      </c>
      <c r="J72" s="2">
        <f>INDEX(Positions!$A:$A,MATCH(E72,Positions!$B:$B,0))</f>
        <v>28</v>
      </c>
      <c r="K72" s="2">
        <f>INDEX(Locations!$A:$A,MATCH(I72,Locations!$B:$B,0))</f>
        <v>6</v>
      </c>
    </row>
    <row r="73" spans="1:11" x14ac:dyDescent="0.2">
      <c r="A73" s="3">
        <v>72</v>
      </c>
      <c r="B73" t="s">
        <v>281</v>
      </c>
      <c r="C73" t="s">
        <v>327</v>
      </c>
      <c r="D73" s="1">
        <v>33223</v>
      </c>
      <c r="E73" t="s">
        <v>124</v>
      </c>
      <c r="F73">
        <v>4</v>
      </c>
      <c r="G73" t="s">
        <v>631</v>
      </c>
      <c r="H73" s="2">
        <v>119</v>
      </c>
      <c r="I73" t="s">
        <v>92</v>
      </c>
      <c r="J73" s="2">
        <f>INDEX(Positions!$A:$A,MATCH(E73,Positions!$B:$B,0))</f>
        <v>58</v>
      </c>
      <c r="K73" s="2">
        <f>INDEX(Locations!$A:$A,MATCH(I73,Locations!$B:$B,0))</f>
        <v>6</v>
      </c>
    </row>
    <row r="74" spans="1:11" x14ac:dyDescent="0.2">
      <c r="A74" s="3">
        <v>73</v>
      </c>
      <c r="B74" t="s">
        <v>216</v>
      </c>
      <c r="C74" t="s">
        <v>266</v>
      </c>
      <c r="D74" s="1">
        <v>36209</v>
      </c>
      <c r="E74" t="s">
        <v>109</v>
      </c>
      <c r="F74">
        <v>2</v>
      </c>
      <c r="G74" t="s">
        <v>632</v>
      </c>
      <c r="H74" s="2">
        <v>119</v>
      </c>
      <c r="I74" t="s">
        <v>92</v>
      </c>
      <c r="J74" s="2">
        <f>INDEX(Positions!$A:$A,MATCH(E74,Positions!$B:$B,0))</f>
        <v>19</v>
      </c>
      <c r="K74" s="2">
        <f>INDEX(Locations!$A:$A,MATCH(I74,Locations!$B:$B,0))</f>
        <v>6</v>
      </c>
    </row>
    <row r="75" spans="1:11" x14ac:dyDescent="0.2">
      <c r="A75" s="3">
        <v>74</v>
      </c>
      <c r="B75" t="s">
        <v>328</v>
      </c>
      <c r="C75" t="s">
        <v>449</v>
      </c>
      <c r="D75" s="1">
        <v>32118</v>
      </c>
      <c r="E75" t="s">
        <v>118</v>
      </c>
      <c r="F75">
        <v>3</v>
      </c>
      <c r="G75" t="s">
        <v>633</v>
      </c>
      <c r="H75" s="2">
        <v>12</v>
      </c>
      <c r="I75" t="s">
        <v>233</v>
      </c>
      <c r="J75" s="2">
        <f>INDEX(Positions!$A:$A,MATCH(E75,Positions!$B:$B,0))</f>
        <v>28</v>
      </c>
      <c r="K75" s="2">
        <f>INDEX(Locations!$A:$A,MATCH(I75,Locations!$B:$B,0))</f>
        <v>11</v>
      </c>
    </row>
    <row r="76" spans="1:11" x14ac:dyDescent="0.2">
      <c r="A76" s="3">
        <v>75</v>
      </c>
      <c r="B76" t="s">
        <v>338</v>
      </c>
      <c r="C76" t="s">
        <v>234</v>
      </c>
      <c r="D76" s="1">
        <v>35859</v>
      </c>
      <c r="E76" t="s">
        <v>104</v>
      </c>
      <c r="F76">
        <v>1</v>
      </c>
      <c r="G76" t="s">
        <v>634</v>
      </c>
      <c r="H76" s="2">
        <v>152</v>
      </c>
      <c r="I76" t="s">
        <v>89</v>
      </c>
      <c r="J76" s="2">
        <f>INDEX(Positions!$A:$A,MATCH(E76,Positions!$B:$B,0))</f>
        <v>6</v>
      </c>
      <c r="K76" s="2">
        <f>INDEX(Locations!$A:$A,MATCH(I76,Locations!$B:$B,0))</f>
        <v>8</v>
      </c>
    </row>
    <row r="77" spans="1:11" x14ac:dyDescent="0.2">
      <c r="A77" s="3">
        <v>76</v>
      </c>
      <c r="B77" t="s">
        <v>122</v>
      </c>
      <c r="C77" t="s">
        <v>192</v>
      </c>
      <c r="D77" s="1">
        <v>34221</v>
      </c>
      <c r="E77" t="s">
        <v>118</v>
      </c>
      <c r="F77">
        <v>3</v>
      </c>
      <c r="G77" t="s">
        <v>635</v>
      </c>
      <c r="H77" s="2">
        <v>12</v>
      </c>
      <c r="I77" t="s">
        <v>89</v>
      </c>
      <c r="J77" s="2">
        <f>INDEX(Positions!$A:$A,MATCH(E77,Positions!$B:$B,0))</f>
        <v>28</v>
      </c>
      <c r="K77" s="2">
        <f>INDEX(Locations!$A:$A,MATCH(I77,Locations!$B:$B,0))</f>
        <v>8</v>
      </c>
    </row>
    <row r="78" spans="1:11" x14ac:dyDescent="0.2">
      <c r="A78" s="3">
        <v>77</v>
      </c>
      <c r="B78" t="s">
        <v>385</v>
      </c>
      <c r="C78" t="s">
        <v>117</v>
      </c>
      <c r="D78" s="1">
        <v>37484</v>
      </c>
      <c r="E78" t="s">
        <v>109</v>
      </c>
      <c r="F78">
        <v>2</v>
      </c>
      <c r="G78" t="s">
        <v>636</v>
      </c>
      <c r="H78" s="2">
        <v>12</v>
      </c>
      <c r="I78" t="s">
        <v>92</v>
      </c>
      <c r="J78" s="2">
        <f>INDEX(Positions!$A:$A,MATCH(E78,Positions!$B:$B,0))</f>
        <v>19</v>
      </c>
      <c r="K78" s="2">
        <f>INDEX(Locations!$A:$A,MATCH(I78,Locations!$B:$B,0))</f>
        <v>6</v>
      </c>
    </row>
    <row r="79" spans="1:11" x14ac:dyDescent="0.2">
      <c r="A79" s="3">
        <v>78</v>
      </c>
      <c r="B79" t="s">
        <v>348</v>
      </c>
      <c r="C79" t="s">
        <v>199</v>
      </c>
      <c r="D79" s="1">
        <v>37849</v>
      </c>
      <c r="E79" t="s">
        <v>104</v>
      </c>
      <c r="F79">
        <v>1</v>
      </c>
      <c r="G79" t="s">
        <v>637</v>
      </c>
      <c r="H79" s="2">
        <v>226</v>
      </c>
      <c r="I79" t="s">
        <v>89</v>
      </c>
      <c r="J79" s="2">
        <f>INDEX(Positions!$A:$A,MATCH(E79,Positions!$B:$B,0))</f>
        <v>6</v>
      </c>
      <c r="K79" s="2">
        <f>INDEX(Locations!$A:$A,MATCH(I79,Locations!$B:$B,0))</f>
        <v>8</v>
      </c>
    </row>
    <row r="80" spans="1:11" x14ac:dyDescent="0.2">
      <c r="A80" s="3">
        <v>79</v>
      </c>
      <c r="B80" t="s">
        <v>638</v>
      </c>
      <c r="C80" t="s">
        <v>496</v>
      </c>
      <c r="D80" s="1">
        <v>34284</v>
      </c>
      <c r="E80" t="s">
        <v>109</v>
      </c>
      <c r="F80">
        <v>2</v>
      </c>
      <c r="G80" t="s">
        <v>639</v>
      </c>
      <c r="H80" s="2">
        <v>12</v>
      </c>
      <c r="I80" t="s">
        <v>89</v>
      </c>
      <c r="J80" s="2">
        <f>INDEX(Positions!$A:$A,MATCH(E80,Positions!$B:$B,0))</f>
        <v>19</v>
      </c>
      <c r="K80" s="2">
        <f>INDEX(Locations!$A:$A,MATCH(I80,Locations!$B:$B,0))</f>
        <v>8</v>
      </c>
    </row>
    <row r="81" spans="1:11" x14ac:dyDescent="0.2">
      <c r="A81" s="3">
        <v>80</v>
      </c>
      <c r="B81" t="s">
        <v>486</v>
      </c>
      <c r="C81" t="s">
        <v>216</v>
      </c>
      <c r="D81" s="1">
        <v>34513</v>
      </c>
      <c r="E81" t="s">
        <v>104</v>
      </c>
      <c r="F81">
        <v>1</v>
      </c>
      <c r="G81" t="s">
        <v>640</v>
      </c>
      <c r="H81" s="2">
        <v>12</v>
      </c>
      <c r="I81" t="s">
        <v>89</v>
      </c>
      <c r="J81" s="2">
        <f>INDEX(Positions!$A:$A,MATCH(E81,Positions!$B:$B,0))</f>
        <v>6</v>
      </c>
      <c r="K81" s="2">
        <f>INDEX(Locations!$A:$A,MATCH(I81,Locations!$B:$B,0))</f>
        <v>8</v>
      </c>
    </row>
    <row r="82" spans="1:11" x14ac:dyDescent="0.2">
      <c r="A82" s="3">
        <v>81</v>
      </c>
      <c r="B82" t="s">
        <v>300</v>
      </c>
      <c r="C82" t="s">
        <v>641</v>
      </c>
      <c r="D82" s="1">
        <v>33597</v>
      </c>
      <c r="E82" t="s">
        <v>118</v>
      </c>
      <c r="F82">
        <v>3</v>
      </c>
      <c r="G82" t="s">
        <v>642</v>
      </c>
      <c r="H82" s="2">
        <v>12</v>
      </c>
      <c r="I82" t="s">
        <v>233</v>
      </c>
      <c r="J82" s="2">
        <f>INDEX(Positions!$A:$A,MATCH(E82,Positions!$B:$B,0))</f>
        <v>28</v>
      </c>
      <c r="K82" s="2">
        <f>INDEX(Locations!$A:$A,MATCH(I82,Locations!$B:$B,0))</f>
        <v>11</v>
      </c>
    </row>
    <row r="83" spans="1:11" x14ac:dyDescent="0.2">
      <c r="A83" s="3">
        <v>82</v>
      </c>
      <c r="B83" t="s">
        <v>223</v>
      </c>
      <c r="C83" t="s">
        <v>359</v>
      </c>
      <c r="D83" s="1">
        <v>30818</v>
      </c>
      <c r="E83" t="s">
        <v>121</v>
      </c>
      <c r="F83">
        <v>3</v>
      </c>
      <c r="G83" t="s">
        <v>643</v>
      </c>
      <c r="H83" s="2">
        <v>12</v>
      </c>
      <c r="I83" t="s">
        <v>89</v>
      </c>
      <c r="J83" s="2">
        <f>INDEX(Positions!$A:$A,MATCH(E83,Positions!$B:$B,0))</f>
        <v>31</v>
      </c>
      <c r="K83" s="2">
        <f>INDEX(Locations!$A:$A,MATCH(I83,Locations!$B:$B,0))</f>
        <v>8</v>
      </c>
    </row>
    <row r="84" spans="1:11" x14ac:dyDescent="0.2">
      <c r="A84" s="3">
        <v>83</v>
      </c>
      <c r="B84" t="s">
        <v>538</v>
      </c>
      <c r="C84" t="s">
        <v>303</v>
      </c>
      <c r="D84" s="1">
        <v>37646</v>
      </c>
      <c r="E84" t="s">
        <v>109</v>
      </c>
      <c r="F84">
        <v>2</v>
      </c>
      <c r="G84" t="s">
        <v>644</v>
      </c>
      <c r="H84" s="2">
        <v>12</v>
      </c>
      <c r="I84" t="s">
        <v>89</v>
      </c>
      <c r="J84" s="2">
        <f>INDEX(Positions!$A:$A,MATCH(E84,Positions!$B:$B,0))</f>
        <v>19</v>
      </c>
      <c r="K84" s="2">
        <f>INDEX(Locations!$A:$A,MATCH(I84,Locations!$B:$B,0))</f>
        <v>8</v>
      </c>
    </row>
    <row r="85" spans="1:11" x14ac:dyDescent="0.2">
      <c r="A85" s="3">
        <v>84</v>
      </c>
      <c r="B85" t="s">
        <v>528</v>
      </c>
      <c r="C85" t="s">
        <v>560</v>
      </c>
      <c r="D85" s="1">
        <v>37265</v>
      </c>
      <c r="E85" t="s">
        <v>104</v>
      </c>
      <c r="F85">
        <v>1</v>
      </c>
      <c r="G85" t="s">
        <v>645</v>
      </c>
      <c r="H85" s="2">
        <v>12</v>
      </c>
      <c r="I85" t="s">
        <v>92</v>
      </c>
      <c r="J85" s="2">
        <f>INDEX(Positions!$A:$A,MATCH(E85,Positions!$B:$B,0))</f>
        <v>6</v>
      </c>
      <c r="K85" s="2">
        <f>INDEX(Locations!$A:$A,MATCH(I85,Locations!$B:$B,0))</f>
        <v>6</v>
      </c>
    </row>
    <row r="86" spans="1:11" x14ac:dyDescent="0.2">
      <c r="A86" s="3">
        <v>85</v>
      </c>
      <c r="B86" t="s">
        <v>338</v>
      </c>
      <c r="C86" t="s">
        <v>545</v>
      </c>
      <c r="D86" s="1">
        <v>30464</v>
      </c>
      <c r="E86" t="s">
        <v>124</v>
      </c>
      <c r="F86">
        <v>4</v>
      </c>
      <c r="G86" t="s">
        <v>646</v>
      </c>
      <c r="H86" s="2">
        <v>12</v>
      </c>
      <c r="I86" t="s">
        <v>92</v>
      </c>
      <c r="J86" s="2">
        <f>INDEX(Positions!$A:$A,MATCH(E86,Positions!$B:$B,0))</f>
        <v>58</v>
      </c>
      <c r="K86" s="2">
        <f>INDEX(Locations!$A:$A,MATCH(I86,Locations!$B:$B,0))</f>
        <v>6</v>
      </c>
    </row>
    <row r="87" spans="1:11" x14ac:dyDescent="0.2">
      <c r="A87" s="3">
        <v>86</v>
      </c>
      <c r="B87" t="s">
        <v>418</v>
      </c>
      <c r="C87" t="s">
        <v>140</v>
      </c>
      <c r="D87" s="1">
        <v>35317</v>
      </c>
      <c r="E87" t="s">
        <v>121</v>
      </c>
      <c r="F87">
        <v>3</v>
      </c>
      <c r="G87" t="s">
        <v>647</v>
      </c>
      <c r="H87" s="2">
        <v>119</v>
      </c>
      <c r="I87" t="s">
        <v>92</v>
      </c>
      <c r="J87" s="2">
        <f>INDEX(Positions!$A:$A,MATCH(E87,Positions!$B:$B,0))</f>
        <v>31</v>
      </c>
      <c r="K87" s="2">
        <f>INDEX(Locations!$A:$A,MATCH(I87,Locations!$B:$B,0))</f>
        <v>6</v>
      </c>
    </row>
    <row r="88" spans="1:11" x14ac:dyDescent="0.2">
      <c r="A88" s="3">
        <v>87</v>
      </c>
      <c r="B88" t="s">
        <v>452</v>
      </c>
      <c r="C88" t="s">
        <v>532</v>
      </c>
      <c r="D88" s="1">
        <v>35602</v>
      </c>
      <c r="E88" t="s">
        <v>104</v>
      </c>
      <c r="F88">
        <v>1</v>
      </c>
      <c r="G88" t="s">
        <v>648</v>
      </c>
      <c r="H88" s="2">
        <v>12</v>
      </c>
      <c r="I88" t="s">
        <v>92</v>
      </c>
      <c r="J88" s="2">
        <f>INDEX(Positions!$A:$A,MATCH(E88,Positions!$B:$B,0))</f>
        <v>6</v>
      </c>
      <c r="K88" s="2">
        <f>INDEX(Locations!$A:$A,MATCH(I88,Locations!$B:$B,0))</f>
        <v>6</v>
      </c>
    </row>
    <row r="89" spans="1:11" x14ac:dyDescent="0.2">
      <c r="A89" s="3">
        <v>88</v>
      </c>
      <c r="B89" t="s">
        <v>528</v>
      </c>
      <c r="C89" t="s">
        <v>120</v>
      </c>
      <c r="D89" s="1">
        <v>35263</v>
      </c>
      <c r="E89" t="s">
        <v>104</v>
      </c>
      <c r="F89">
        <v>1</v>
      </c>
      <c r="G89" t="s">
        <v>649</v>
      </c>
      <c r="H89" s="2">
        <v>209</v>
      </c>
      <c r="I89" t="s">
        <v>89</v>
      </c>
      <c r="J89" s="2">
        <f>INDEX(Positions!$A:$A,MATCH(E89,Positions!$B:$B,0))</f>
        <v>6</v>
      </c>
      <c r="K89" s="2">
        <f>INDEX(Locations!$A:$A,MATCH(I89,Locations!$B:$B,0))</f>
        <v>8</v>
      </c>
    </row>
    <row r="90" spans="1:11" x14ac:dyDescent="0.2">
      <c r="A90" s="3">
        <v>89</v>
      </c>
      <c r="B90" t="s">
        <v>650</v>
      </c>
      <c r="C90" t="s">
        <v>526</v>
      </c>
      <c r="D90" s="1">
        <v>35603</v>
      </c>
      <c r="E90" t="s">
        <v>104</v>
      </c>
      <c r="F90">
        <v>1</v>
      </c>
      <c r="G90" t="s">
        <v>651</v>
      </c>
      <c r="H90" s="2">
        <v>12</v>
      </c>
      <c r="I90" t="s">
        <v>233</v>
      </c>
      <c r="J90" s="2">
        <f>INDEX(Positions!$A:$A,MATCH(E90,Positions!$B:$B,0))</f>
        <v>6</v>
      </c>
      <c r="K90" s="2">
        <f>INDEX(Locations!$A:$A,MATCH(I90,Locations!$B:$B,0))</f>
        <v>11</v>
      </c>
    </row>
    <row r="91" spans="1:11" x14ac:dyDescent="0.2">
      <c r="A91" s="3">
        <v>90</v>
      </c>
      <c r="B91" t="s">
        <v>267</v>
      </c>
      <c r="C91" t="s">
        <v>652</v>
      </c>
      <c r="D91" s="1">
        <v>36635</v>
      </c>
      <c r="E91" t="s">
        <v>104</v>
      </c>
      <c r="F91">
        <v>1</v>
      </c>
      <c r="G91" t="s">
        <v>653</v>
      </c>
      <c r="H91" s="2">
        <v>12</v>
      </c>
      <c r="I91" t="s">
        <v>92</v>
      </c>
      <c r="J91" s="2">
        <f>INDEX(Positions!$A:$A,MATCH(E91,Positions!$B:$B,0))</f>
        <v>6</v>
      </c>
      <c r="K91" s="2">
        <f>INDEX(Locations!$A:$A,MATCH(I91,Locations!$B:$B,0))</f>
        <v>6</v>
      </c>
    </row>
    <row r="92" spans="1:11" x14ac:dyDescent="0.2">
      <c r="A92" s="3">
        <v>91</v>
      </c>
      <c r="B92" t="s">
        <v>370</v>
      </c>
      <c r="C92" t="s">
        <v>278</v>
      </c>
      <c r="D92" s="1">
        <v>38255</v>
      </c>
      <c r="E92" t="s">
        <v>104</v>
      </c>
      <c r="F92">
        <v>1</v>
      </c>
      <c r="G92" t="s">
        <v>654</v>
      </c>
      <c r="H92" s="2">
        <v>12</v>
      </c>
      <c r="I92" t="s">
        <v>233</v>
      </c>
      <c r="J92" s="2">
        <f>INDEX(Positions!$A:$A,MATCH(E92,Positions!$B:$B,0))</f>
        <v>6</v>
      </c>
      <c r="K92" s="2">
        <f>INDEX(Locations!$A:$A,MATCH(I92,Locations!$B:$B,0))</f>
        <v>11</v>
      </c>
    </row>
    <row r="93" spans="1:11" x14ac:dyDescent="0.2">
      <c r="A93" s="3">
        <v>92</v>
      </c>
      <c r="B93" t="s">
        <v>402</v>
      </c>
      <c r="C93" t="s">
        <v>106</v>
      </c>
      <c r="D93" s="1">
        <v>38050</v>
      </c>
      <c r="E93" t="s">
        <v>109</v>
      </c>
      <c r="F93">
        <v>2</v>
      </c>
      <c r="G93" t="s">
        <v>655</v>
      </c>
      <c r="H93" s="2">
        <v>144</v>
      </c>
      <c r="I93" t="s">
        <v>92</v>
      </c>
      <c r="J93" s="2">
        <f>INDEX(Positions!$A:$A,MATCH(E93,Positions!$B:$B,0))</f>
        <v>19</v>
      </c>
      <c r="K93" s="2">
        <f>INDEX(Locations!$A:$A,MATCH(I93,Locations!$B:$B,0))</f>
        <v>6</v>
      </c>
    </row>
    <row r="94" spans="1:11" x14ac:dyDescent="0.2">
      <c r="A94" s="3">
        <v>93</v>
      </c>
      <c r="B94" t="s">
        <v>328</v>
      </c>
      <c r="C94" t="s">
        <v>450</v>
      </c>
      <c r="D94" s="1">
        <v>35381</v>
      </c>
      <c r="E94" t="s">
        <v>121</v>
      </c>
      <c r="F94">
        <v>3</v>
      </c>
      <c r="G94" t="s">
        <v>656</v>
      </c>
      <c r="H94" s="2">
        <v>12</v>
      </c>
      <c r="I94" t="s">
        <v>92</v>
      </c>
      <c r="J94" s="2">
        <f>INDEX(Positions!$A:$A,MATCH(E94,Positions!$B:$B,0))</f>
        <v>31</v>
      </c>
      <c r="K94" s="2">
        <f>INDEX(Locations!$A:$A,MATCH(I94,Locations!$B:$B,0))</f>
        <v>6</v>
      </c>
    </row>
    <row r="95" spans="1:11" x14ac:dyDescent="0.2">
      <c r="A95" s="3">
        <v>94</v>
      </c>
      <c r="B95" t="s">
        <v>478</v>
      </c>
      <c r="C95" t="s">
        <v>120</v>
      </c>
      <c r="D95" s="1">
        <v>38320</v>
      </c>
      <c r="E95" t="s">
        <v>109</v>
      </c>
      <c r="F95">
        <v>2</v>
      </c>
      <c r="G95" t="s">
        <v>657</v>
      </c>
      <c r="H95" s="2">
        <v>12</v>
      </c>
      <c r="I95" t="s">
        <v>233</v>
      </c>
      <c r="J95" s="2">
        <f>INDEX(Positions!$A:$A,MATCH(E95,Positions!$B:$B,0))</f>
        <v>19</v>
      </c>
      <c r="K95" s="2">
        <f>INDEX(Locations!$A:$A,MATCH(I95,Locations!$B:$B,0))</f>
        <v>11</v>
      </c>
    </row>
    <row r="96" spans="1:11" x14ac:dyDescent="0.2">
      <c r="A96" s="3">
        <v>95</v>
      </c>
      <c r="B96" t="s">
        <v>265</v>
      </c>
      <c r="C96" t="s">
        <v>536</v>
      </c>
      <c r="D96" s="1">
        <v>34931</v>
      </c>
      <c r="E96" t="s">
        <v>109</v>
      </c>
      <c r="F96">
        <v>2</v>
      </c>
      <c r="G96" t="s">
        <v>658</v>
      </c>
      <c r="H96" s="2">
        <v>12</v>
      </c>
      <c r="I96" t="s">
        <v>92</v>
      </c>
      <c r="J96" s="2">
        <f>INDEX(Positions!$A:$A,MATCH(E96,Positions!$B:$B,0))</f>
        <v>19</v>
      </c>
      <c r="K96" s="2">
        <f>INDEX(Locations!$A:$A,MATCH(I96,Locations!$B:$B,0))</f>
        <v>6</v>
      </c>
    </row>
    <row r="97" spans="1:11" x14ac:dyDescent="0.2">
      <c r="A97" s="3">
        <v>96</v>
      </c>
      <c r="B97" t="s">
        <v>59</v>
      </c>
      <c r="C97" t="s">
        <v>332</v>
      </c>
      <c r="D97" s="1">
        <v>37678</v>
      </c>
      <c r="E97" t="s">
        <v>104</v>
      </c>
      <c r="F97">
        <v>1</v>
      </c>
      <c r="G97" t="s">
        <v>659</v>
      </c>
      <c r="H97" s="2">
        <v>12</v>
      </c>
      <c r="I97" t="s">
        <v>92</v>
      </c>
      <c r="J97" s="2">
        <f>INDEX(Positions!$A:$A,MATCH(E97,Positions!$B:$B,0))</f>
        <v>6</v>
      </c>
      <c r="K97" s="2">
        <f>INDEX(Locations!$A:$A,MATCH(I97,Locations!$B:$B,0))</f>
        <v>6</v>
      </c>
    </row>
    <row r="98" spans="1:11" x14ac:dyDescent="0.2">
      <c r="A98" s="3">
        <v>97</v>
      </c>
      <c r="B98" t="s">
        <v>546</v>
      </c>
      <c r="C98" t="s">
        <v>239</v>
      </c>
      <c r="D98" s="1">
        <v>30140</v>
      </c>
      <c r="E98" t="s">
        <v>95</v>
      </c>
      <c r="F98">
        <v>6</v>
      </c>
      <c r="G98" t="s">
        <v>660</v>
      </c>
      <c r="H98" s="2">
        <v>15</v>
      </c>
      <c r="I98" t="s">
        <v>233</v>
      </c>
      <c r="J98" s="2">
        <f>INDEX(Positions!$A:$A,MATCH(E98,Positions!$B:$B,0))</f>
        <v>89</v>
      </c>
      <c r="K98" s="2">
        <f>INDEX(Locations!$A:$A,MATCH(I98,Locations!$B:$B,0))</f>
        <v>11</v>
      </c>
    </row>
    <row r="99" spans="1:11" x14ac:dyDescent="0.2">
      <c r="A99" s="3">
        <v>98</v>
      </c>
      <c r="B99" t="s">
        <v>371</v>
      </c>
      <c r="C99" t="s">
        <v>304</v>
      </c>
      <c r="D99" s="1">
        <v>34482</v>
      </c>
      <c r="E99" t="s">
        <v>124</v>
      </c>
      <c r="F99">
        <v>4</v>
      </c>
      <c r="G99" t="s">
        <v>661</v>
      </c>
      <c r="H99" s="2">
        <v>12</v>
      </c>
      <c r="I99" t="s">
        <v>89</v>
      </c>
      <c r="J99" s="2">
        <f>INDEX(Positions!$A:$A,MATCH(E99,Positions!$B:$B,0))</f>
        <v>58</v>
      </c>
      <c r="K99" s="2">
        <f>INDEX(Locations!$A:$A,MATCH(I99,Locations!$B:$B,0))</f>
        <v>8</v>
      </c>
    </row>
    <row r="100" spans="1:11" x14ac:dyDescent="0.2">
      <c r="A100" s="3">
        <v>99</v>
      </c>
      <c r="B100" t="s">
        <v>272</v>
      </c>
      <c r="C100" t="s">
        <v>64</v>
      </c>
      <c r="D100" s="1">
        <v>37424</v>
      </c>
      <c r="E100" t="s">
        <v>109</v>
      </c>
      <c r="F100">
        <v>2</v>
      </c>
      <c r="G100" t="s">
        <v>662</v>
      </c>
      <c r="H100" s="2">
        <v>12</v>
      </c>
      <c r="I100" t="s">
        <v>92</v>
      </c>
      <c r="J100" s="2">
        <f>INDEX(Positions!$A:$A,MATCH(E100,Positions!$B:$B,0))</f>
        <v>19</v>
      </c>
      <c r="K100" s="2">
        <f>INDEX(Locations!$A:$A,MATCH(I100,Locations!$B:$B,0))</f>
        <v>6</v>
      </c>
    </row>
    <row r="101" spans="1:11" x14ac:dyDescent="0.2">
      <c r="A101" s="3">
        <v>100</v>
      </c>
      <c r="B101" t="s">
        <v>341</v>
      </c>
      <c r="C101" t="s">
        <v>103</v>
      </c>
      <c r="D101" s="1">
        <v>32274</v>
      </c>
      <c r="E101" t="s">
        <v>104</v>
      </c>
      <c r="F101">
        <v>1</v>
      </c>
      <c r="G101" t="s">
        <v>416</v>
      </c>
      <c r="H101" s="2">
        <v>12</v>
      </c>
      <c r="I101" t="s">
        <v>233</v>
      </c>
      <c r="J101" s="2">
        <f>INDEX(Positions!$A:$A,MATCH(E101,Positions!$B:$B,0))</f>
        <v>6</v>
      </c>
      <c r="K101" s="2">
        <f>INDEX(Locations!$A:$A,MATCH(I101,Locations!$B:$B,0))</f>
        <v>11</v>
      </c>
    </row>
    <row r="102" spans="1:11" x14ac:dyDescent="0.2">
      <c r="A102" s="3">
        <v>101</v>
      </c>
      <c r="B102" t="s">
        <v>663</v>
      </c>
      <c r="C102" t="s">
        <v>253</v>
      </c>
      <c r="D102" s="1">
        <v>27001</v>
      </c>
      <c r="E102" t="s">
        <v>88</v>
      </c>
      <c r="F102">
        <v>7</v>
      </c>
      <c r="G102" t="s">
        <v>664</v>
      </c>
      <c r="H102" s="2">
        <v>12</v>
      </c>
      <c r="I102" t="s">
        <v>92</v>
      </c>
      <c r="J102" s="2">
        <f>INDEX(Positions!$A:$A,MATCH(E102,Positions!$B:$B,0))</f>
        <v>104</v>
      </c>
      <c r="K102" s="2">
        <f>INDEX(Locations!$A:$A,MATCH(I102,Locations!$B:$B,0))</f>
        <v>6</v>
      </c>
    </row>
    <row r="103" spans="1:11" x14ac:dyDescent="0.2">
      <c r="A103" s="3">
        <v>102</v>
      </c>
      <c r="B103" t="s">
        <v>211</v>
      </c>
      <c r="C103" t="s">
        <v>173</v>
      </c>
      <c r="D103" s="1">
        <v>35326</v>
      </c>
      <c r="E103" t="s">
        <v>109</v>
      </c>
      <c r="F103">
        <v>2</v>
      </c>
      <c r="G103" t="s">
        <v>665</v>
      </c>
      <c r="H103" s="2">
        <v>119</v>
      </c>
      <c r="I103" t="s">
        <v>89</v>
      </c>
      <c r="J103" s="2">
        <f>INDEX(Positions!$A:$A,MATCH(E103,Positions!$B:$B,0))</f>
        <v>19</v>
      </c>
      <c r="K103" s="2">
        <f>INDEX(Locations!$A:$A,MATCH(I103,Locations!$B:$B,0))</f>
        <v>8</v>
      </c>
    </row>
    <row r="104" spans="1:11" x14ac:dyDescent="0.2">
      <c r="A104" s="3">
        <v>103</v>
      </c>
      <c r="B104" t="s">
        <v>221</v>
      </c>
      <c r="C104" t="s">
        <v>496</v>
      </c>
      <c r="D104" s="1">
        <v>34108</v>
      </c>
      <c r="E104" t="s">
        <v>109</v>
      </c>
      <c r="F104">
        <v>2</v>
      </c>
      <c r="G104" t="s">
        <v>666</v>
      </c>
      <c r="H104" s="2">
        <v>131</v>
      </c>
      <c r="I104" t="s">
        <v>92</v>
      </c>
      <c r="J104" s="2">
        <f>INDEX(Positions!$A:$A,MATCH(E104,Positions!$B:$B,0))</f>
        <v>19</v>
      </c>
      <c r="K104" s="2">
        <f>INDEX(Locations!$A:$A,MATCH(I104,Locations!$B:$B,0))</f>
        <v>6</v>
      </c>
    </row>
    <row r="105" spans="1:11" x14ac:dyDescent="0.2">
      <c r="A105" s="3">
        <v>104</v>
      </c>
      <c r="B105" t="s">
        <v>159</v>
      </c>
      <c r="C105" t="s">
        <v>430</v>
      </c>
      <c r="D105" s="1">
        <v>32847</v>
      </c>
      <c r="E105" t="s">
        <v>109</v>
      </c>
      <c r="F105">
        <v>2</v>
      </c>
      <c r="G105" t="s">
        <v>667</v>
      </c>
      <c r="H105" s="2">
        <v>12</v>
      </c>
      <c r="I105" t="s">
        <v>92</v>
      </c>
      <c r="J105" s="2">
        <f>INDEX(Positions!$A:$A,MATCH(E105,Positions!$B:$B,0))</f>
        <v>19</v>
      </c>
      <c r="K105" s="2">
        <f>INDEX(Locations!$A:$A,MATCH(I105,Locations!$B:$B,0))</f>
        <v>6</v>
      </c>
    </row>
    <row r="106" spans="1:11" x14ac:dyDescent="0.2">
      <c r="A106" s="3">
        <v>105</v>
      </c>
      <c r="B106" t="s">
        <v>146</v>
      </c>
      <c r="C106" t="s">
        <v>326</v>
      </c>
      <c r="D106" s="1">
        <v>37218</v>
      </c>
      <c r="E106" t="s">
        <v>104</v>
      </c>
      <c r="F106">
        <v>1</v>
      </c>
      <c r="G106" t="s">
        <v>668</v>
      </c>
      <c r="H106" s="2">
        <v>211</v>
      </c>
      <c r="I106" t="s">
        <v>89</v>
      </c>
      <c r="J106" s="2">
        <f>INDEX(Positions!$A:$A,MATCH(E106,Positions!$B:$B,0))</f>
        <v>6</v>
      </c>
      <c r="K106" s="2">
        <f>INDEX(Locations!$A:$A,MATCH(I106,Locations!$B:$B,0))</f>
        <v>8</v>
      </c>
    </row>
    <row r="107" spans="1:11" x14ac:dyDescent="0.2">
      <c r="A107" s="3">
        <v>106</v>
      </c>
      <c r="B107" t="s">
        <v>638</v>
      </c>
      <c r="C107" t="s">
        <v>103</v>
      </c>
      <c r="D107" s="1">
        <v>34873</v>
      </c>
      <c r="E107" t="s">
        <v>104</v>
      </c>
      <c r="F107">
        <v>1</v>
      </c>
      <c r="G107" t="s">
        <v>669</v>
      </c>
      <c r="H107" s="2">
        <v>119</v>
      </c>
      <c r="I107" t="s">
        <v>233</v>
      </c>
      <c r="J107" s="2">
        <f>INDEX(Positions!$A:$A,MATCH(E107,Positions!$B:$B,0))</f>
        <v>6</v>
      </c>
      <c r="K107" s="2">
        <f>INDEX(Locations!$A:$A,MATCH(I107,Locations!$B:$B,0))</f>
        <v>11</v>
      </c>
    </row>
    <row r="108" spans="1:11" x14ac:dyDescent="0.2">
      <c r="A108" s="3">
        <v>107</v>
      </c>
      <c r="B108" t="s">
        <v>90</v>
      </c>
      <c r="C108" t="s">
        <v>555</v>
      </c>
      <c r="D108" s="1">
        <v>36467</v>
      </c>
      <c r="E108" t="s">
        <v>104</v>
      </c>
      <c r="F108">
        <v>1</v>
      </c>
      <c r="G108" t="s">
        <v>670</v>
      </c>
      <c r="H108" s="2">
        <v>119</v>
      </c>
      <c r="I108" t="s">
        <v>89</v>
      </c>
      <c r="J108" s="2">
        <f>INDEX(Positions!$A:$A,MATCH(E108,Positions!$B:$B,0))</f>
        <v>6</v>
      </c>
      <c r="K108" s="2">
        <f>INDEX(Locations!$A:$A,MATCH(I108,Locations!$B:$B,0))</f>
        <v>8</v>
      </c>
    </row>
    <row r="109" spans="1:11" x14ac:dyDescent="0.2">
      <c r="A109" s="3">
        <v>108</v>
      </c>
      <c r="B109" t="s">
        <v>337</v>
      </c>
      <c r="C109" t="s">
        <v>212</v>
      </c>
      <c r="D109" s="1">
        <v>36983</v>
      </c>
      <c r="E109" t="s">
        <v>109</v>
      </c>
      <c r="F109">
        <v>2</v>
      </c>
      <c r="G109" t="s">
        <v>671</v>
      </c>
      <c r="H109" s="2">
        <v>12</v>
      </c>
      <c r="I109" t="s">
        <v>89</v>
      </c>
      <c r="J109" s="2">
        <f>INDEX(Positions!$A:$A,MATCH(E109,Positions!$B:$B,0))</f>
        <v>19</v>
      </c>
      <c r="K109" s="2">
        <f>INDEX(Locations!$A:$A,MATCH(I109,Locations!$B:$B,0))</f>
        <v>8</v>
      </c>
    </row>
    <row r="110" spans="1:11" x14ac:dyDescent="0.2">
      <c r="A110" s="3">
        <v>109</v>
      </c>
      <c r="B110" t="s">
        <v>322</v>
      </c>
      <c r="C110" t="s">
        <v>108</v>
      </c>
      <c r="D110" s="1">
        <v>35232</v>
      </c>
      <c r="E110" t="s">
        <v>104</v>
      </c>
      <c r="F110">
        <v>1</v>
      </c>
      <c r="G110" t="s">
        <v>672</v>
      </c>
      <c r="H110" s="2">
        <v>119</v>
      </c>
      <c r="I110" t="s">
        <v>233</v>
      </c>
      <c r="J110" s="2">
        <f>INDEX(Positions!$A:$A,MATCH(E110,Positions!$B:$B,0))</f>
        <v>6</v>
      </c>
      <c r="K110" s="2">
        <f>INDEX(Locations!$A:$A,MATCH(I110,Locations!$B:$B,0))</f>
        <v>11</v>
      </c>
    </row>
    <row r="111" spans="1:11" x14ac:dyDescent="0.2">
      <c r="A111" s="3">
        <v>110</v>
      </c>
      <c r="B111" t="s">
        <v>389</v>
      </c>
      <c r="C111" t="s">
        <v>64</v>
      </c>
      <c r="D111" s="1">
        <v>36867</v>
      </c>
      <c r="E111" t="s">
        <v>109</v>
      </c>
      <c r="F111">
        <v>2</v>
      </c>
      <c r="G111" t="s">
        <v>673</v>
      </c>
      <c r="H111" s="2">
        <v>145</v>
      </c>
      <c r="I111" t="s">
        <v>89</v>
      </c>
      <c r="J111" s="2">
        <f>INDEX(Positions!$A:$A,MATCH(E111,Positions!$B:$B,0))</f>
        <v>19</v>
      </c>
      <c r="K111" s="2">
        <f>INDEX(Locations!$A:$A,MATCH(I111,Locations!$B:$B,0))</f>
        <v>8</v>
      </c>
    </row>
    <row r="112" spans="1:11" x14ac:dyDescent="0.2">
      <c r="A112" s="3">
        <v>111</v>
      </c>
      <c r="B112" t="s">
        <v>159</v>
      </c>
      <c r="C112" t="s">
        <v>480</v>
      </c>
      <c r="D112" s="1">
        <v>36989</v>
      </c>
      <c r="E112" t="s">
        <v>104</v>
      </c>
      <c r="F112">
        <v>1</v>
      </c>
      <c r="G112" t="s">
        <v>674</v>
      </c>
      <c r="H112" s="2">
        <v>144</v>
      </c>
      <c r="I112" t="s">
        <v>92</v>
      </c>
      <c r="J112" s="2">
        <f>INDEX(Positions!$A:$A,MATCH(E112,Positions!$B:$B,0))</f>
        <v>6</v>
      </c>
      <c r="K112" s="2">
        <f>INDEX(Locations!$A:$A,MATCH(I112,Locations!$B:$B,0))</f>
        <v>6</v>
      </c>
    </row>
    <row r="113" spans="1:11" x14ac:dyDescent="0.2">
      <c r="A113" s="3">
        <v>112</v>
      </c>
      <c r="B113" t="s">
        <v>148</v>
      </c>
      <c r="C113" t="s">
        <v>536</v>
      </c>
      <c r="D113" s="1">
        <v>32752</v>
      </c>
      <c r="E113" t="s">
        <v>118</v>
      </c>
      <c r="F113">
        <v>3</v>
      </c>
      <c r="G113" t="s">
        <v>675</v>
      </c>
      <c r="H113" s="2">
        <v>12</v>
      </c>
      <c r="I113" t="s">
        <v>92</v>
      </c>
      <c r="J113" s="2">
        <f>INDEX(Positions!$A:$A,MATCH(E113,Positions!$B:$B,0))</f>
        <v>28</v>
      </c>
      <c r="K113" s="2">
        <f>INDEX(Locations!$A:$A,MATCH(I113,Locations!$B:$B,0))</f>
        <v>6</v>
      </c>
    </row>
    <row r="114" spans="1:11" x14ac:dyDescent="0.2">
      <c r="A114" s="3">
        <v>113</v>
      </c>
      <c r="B114" t="s">
        <v>186</v>
      </c>
      <c r="C114" t="s">
        <v>120</v>
      </c>
      <c r="D114" s="1">
        <v>33270</v>
      </c>
      <c r="E114" t="s">
        <v>104</v>
      </c>
      <c r="F114">
        <v>1</v>
      </c>
      <c r="G114" t="s">
        <v>676</v>
      </c>
      <c r="H114" s="2">
        <v>145</v>
      </c>
      <c r="I114" t="s">
        <v>92</v>
      </c>
      <c r="J114" s="2">
        <f>INDEX(Positions!$A:$A,MATCH(E114,Positions!$B:$B,0))</f>
        <v>6</v>
      </c>
      <c r="K114" s="2">
        <f>INDEX(Locations!$A:$A,MATCH(I114,Locations!$B:$B,0))</f>
        <v>6</v>
      </c>
    </row>
    <row r="115" spans="1:11" x14ac:dyDescent="0.2">
      <c r="A115" s="3">
        <v>114</v>
      </c>
      <c r="B115" t="s">
        <v>335</v>
      </c>
      <c r="C115" t="s">
        <v>341</v>
      </c>
      <c r="D115" s="1">
        <v>34212</v>
      </c>
      <c r="E115" t="s">
        <v>121</v>
      </c>
      <c r="F115">
        <v>3</v>
      </c>
      <c r="G115" t="s">
        <v>677</v>
      </c>
      <c r="H115" s="2">
        <v>131</v>
      </c>
      <c r="I115" t="s">
        <v>92</v>
      </c>
      <c r="J115" s="2">
        <f>INDEX(Positions!$A:$A,MATCH(E115,Positions!$B:$B,0))</f>
        <v>31</v>
      </c>
      <c r="K115" s="2">
        <f>INDEX(Locations!$A:$A,MATCH(I115,Locations!$B:$B,0))</f>
        <v>6</v>
      </c>
    </row>
    <row r="116" spans="1:11" x14ac:dyDescent="0.2">
      <c r="A116" s="3">
        <v>115</v>
      </c>
      <c r="B116" t="s">
        <v>364</v>
      </c>
      <c r="C116" t="s">
        <v>193</v>
      </c>
      <c r="D116" s="1">
        <v>36909</v>
      </c>
      <c r="E116" t="s">
        <v>104</v>
      </c>
      <c r="F116">
        <v>1</v>
      </c>
      <c r="G116" t="s">
        <v>678</v>
      </c>
      <c r="H116" s="2">
        <v>144</v>
      </c>
      <c r="I116" t="s">
        <v>92</v>
      </c>
      <c r="J116" s="2">
        <f>INDEX(Positions!$A:$A,MATCH(E116,Positions!$B:$B,0))</f>
        <v>6</v>
      </c>
      <c r="K116" s="2">
        <f>INDEX(Locations!$A:$A,MATCH(I116,Locations!$B:$B,0))</f>
        <v>6</v>
      </c>
    </row>
    <row r="117" spans="1:11" x14ac:dyDescent="0.2">
      <c r="A117" s="3">
        <v>116</v>
      </c>
      <c r="B117" t="s">
        <v>170</v>
      </c>
      <c r="C117" t="s">
        <v>419</v>
      </c>
      <c r="D117" s="1">
        <v>33556</v>
      </c>
      <c r="E117" t="s">
        <v>109</v>
      </c>
      <c r="F117">
        <v>2</v>
      </c>
      <c r="G117" t="s">
        <v>679</v>
      </c>
      <c r="H117" s="2">
        <v>131</v>
      </c>
      <c r="I117" t="s">
        <v>233</v>
      </c>
      <c r="J117" s="2">
        <f>INDEX(Positions!$A:$A,MATCH(E117,Positions!$B:$B,0))</f>
        <v>19</v>
      </c>
      <c r="K117" s="2">
        <f>INDEX(Locations!$A:$A,MATCH(I117,Locations!$B:$B,0))</f>
        <v>11</v>
      </c>
    </row>
    <row r="118" spans="1:11" x14ac:dyDescent="0.2">
      <c r="A118" s="3">
        <v>117</v>
      </c>
      <c r="B118" t="s">
        <v>650</v>
      </c>
      <c r="C118" t="s">
        <v>481</v>
      </c>
      <c r="D118" s="1">
        <v>35439</v>
      </c>
      <c r="E118" t="s">
        <v>109</v>
      </c>
      <c r="F118">
        <v>2</v>
      </c>
      <c r="G118" t="s">
        <v>680</v>
      </c>
      <c r="H118" s="2">
        <v>119</v>
      </c>
      <c r="I118" t="s">
        <v>89</v>
      </c>
      <c r="J118" s="2">
        <f>INDEX(Positions!$A:$A,MATCH(E118,Positions!$B:$B,0))</f>
        <v>19</v>
      </c>
      <c r="K118" s="2">
        <f>INDEX(Locations!$A:$A,MATCH(I118,Locations!$B:$B,0))</f>
        <v>8</v>
      </c>
    </row>
    <row r="119" spans="1:11" x14ac:dyDescent="0.2">
      <c r="A119" s="3">
        <v>118</v>
      </c>
      <c r="B119" t="s">
        <v>211</v>
      </c>
      <c r="C119" t="s">
        <v>420</v>
      </c>
      <c r="D119" s="1">
        <v>36147</v>
      </c>
      <c r="E119" t="s">
        <v>109</v>
      </c>
      <c r="F119">
        <v>2</v>
      </c>
      <c r="G119" t="s">
        <v>681</v>
      </c>
      <c r="H119" s="2">
        <v>119</v>
      </c>
      <c r="I119" t="s">
        <v>92</v>
      </c>
      <c r="J119" s="2">
        <f>INDEX(Positions!$A:$A,MATCH(E119,Positions!$B:$B,0))</f>
        <v>19</v>
      </c>
      <c r="K119" s="2">
        <f>INDEX(Locations!$A:$A,MATCH(I119,Locations!$B:$B,0))</f>
        <v>6</v>
      </c>
    </row>
    <row r="120" spans="1:11" x14ac:dyDescent="0.2">
      <c r="A120" s="3">
        <v>119</v>
      </c>
      <c r="B120" t="s">
        <v>185</v>
      </c>
      <c r="C120" t="s">
        <v>464</v>
      </c>
      <c r="D120" s="1">
        <v>32575</v>
      </c>
      <c r="E120" t="s">
        <v>101</v>
      </c>
      <c r="F120">
        <v>5</v>
      </c>
      <c r="G120" t="s">
        <v>682</v>
      </c>
      <c r="H120" s="2">
        <v>97</v>
      </c>
      <c r="I120" t="s">
        <v>233</v>
      </c>
      <c r="J120" s="2">
        <f>INDEX(Positions!$A:$A,MATCH(E120,Positions!$B:$B,0))</f>
        <v>76</v>
      </c>
      <c r="K120" s="2">
        <f>INDEX(Locations!$A:$A,MATCH(I120,Locations!$B:$B,0))</f>
        <v>11</v>
      </c>
    </row>
    <row r="121" spans="1:11" x14ac:dyDescent="0.2">
      <c r="A121" s="3">
        <v>120</v>
      </c>
      <c r="B121" t="s">
        <v>415</v>
      </c>
      <c r="C121" t="s">
        <v>517</v>
      </c>
      <c r="D121" s="1">
        <v>33913</v>
      </c>
      <c r="E121" t="s">
        <v>121</v>
      </c>
      <c r="F121">
        <v>3</v>
      </c>
      <c r="G121" t="s">
        <v>683</v>
      </c>
      <c r="H121" s="2">
        <v>119</v>
      </c>
      <c r="I121" t="s">
        <v>89</v>
      </c>
      <c r="J121" s="2">
        <f>INDEX(Positions!$A:$A,MATCH(E121,Positions!$B:$B,0))</f>
        <v>31</v>
      </c>
      <c r="K121" s="2">
        <f>INDEX(Locations!$A:$A,MATCH(I121,Locations!$B:$B,0))</f>
        <v>8</v>
      </c>
    </row>
    <row r="122" spans="1:11" x14ac:dyDescent="0.2">
      <c r="A122" s="3">
        <v>121</v>
      </c>
      <c r="B122" t="s">
        <v>302</v>
      </c>
      <c r="C122" t="s">
        <v>282</v>
      </c>
      <c r="D122" s="1">
        <v>38242</v>
      </c>
      <c r="E122" t="s">
        <v>104</v>
      </c>
      <c r="F122">
        <v>1</v>
      </c>
      <c r="G122" t="s">
        <v>684</v>
      </c>
      <c r="H122" s="2">
        <v>119</v>
      </c>
      <c r="I122" t="s">
        <v>233</v>
      </c>
      <c r="J122" s="2">
        <f>INDEX(Positions!$A:$A,MATCH(E122,Positions!$B:$B,0))</f>
        <v>6</v>
      </c>
      <c r="K122" s="2">
        <f>INDEX(Locations!$A:$A,MATCH(I122,Locations!$B:$B,0))</f>
        <v>11</v>
      </c>
    </row>
    <row r="123" spans="1:11" x14ac:dyDescent="0.2">
      <c r="A123" s="3">
        <v>122</v>
      </c>
      <c r="B123" t="s">
        <v>209</v>
      </c>
      <c r="C123" t="s">
        <v>685</v>
      </c>
      <c r="D123" s="1">
        <v>30297</v>
      </c>
      <c r="E123" t="s">
        <v>95</v>
      </c>
      <c r="F123">
        <v>6</v>
      </c>
      <c r="G123" t="s">
        <v>686</v>
      </c>
      <c r="H123" s="2">
        <v>101</v>
      </c>
      <c r="I123" t="s">
        <v>92</v>
      </c>
      <c r="J123" s="2">
        <f>INDEX(Positions!$A:$A,MATCH(E123,Positions!$B:$B,0))</f>
        <v>89</v>
      </c>
      <c r="K123" s="2">
        <f>INDEX(Locations!$A:$A,MATCH(I123,Locations!$B:$B,0))</f>
        <v>6</v>
      </c>
    </row>
    <row r="124" spans="1:11" x14ac:dyDescent="0.2">
      <c r="A124" s="3">
        <v>123</v>
      </c>
      <c r="B124" t="s">
        <v>335</v>
      </c>
      <c r="C124" t="s">
        <v>555</v>
      </c>
      <c r="D124" s="1">
        <v>37181</v>
      </c>
      <c r="E124" t="s">
        <v>109</v>
      </c>
      <c r="F124">
        <v>2</v>
      </c>
      <c r="G124" t="s">
        <v>687</v>
      </c>
      <c r="H124" s="2">
        <v>231</v>
      </c>
      <c r="I124" t="s">
        <v>89</v>
      </c>
      <c r="J124" s="2">
        <f>INDEX(Positions!$A:$A,MATCH(E124,Positions!$B:$B,0))</f>
        <v>19</v>
      </c>
      <c r="K124" s="2">
        <f>INDEX(Locations!$A:$A,MATCH(I124,Locations!$B:$B,0))</f>
        <v>8</v>
      </c>
    </row>
    <row r="125" spans="1:11" x14ac:dyDescent="0.2">
      <c r="A125" s="3">
        <v>124</v>
      </c>
      <c r="B125" t="s">
        <v>229</v>
      </c>
      <c r="C125" t="s">
        <v>375</v>
      </c>
      <c r="D125" s="1">
        <v>35480</v>
      </c>
      <c r="E125" t="s">
        <v>104</v>
      </c>
      <c r="F125">
        <v>1</v>
      </c>
      <c r="G125" t="s">
        <v>688</v>
      </c>
      <c r="H125" s="2">
        <v>119</v>
      </c>
      <c r="I125" t="s">
        <v>92</v>
      </c>
      <c r="J125" s="2">
        <f>INDEX(Positions!$A:$A,MATCH(E125,Positions!$B:$B,0))</f>
        <v>6</v>
      </c>
      <c r="K125" s="2">
        <f>INDEX(Locations!$A:$A,MATCH(I125,Locations!$B:$B,0))</f>
        <v>6</v>
      </c>
    </row>
    <row r="126" spans="1:11" x14ac:dyDescent="0.2">
      <c r="A126" s="3">
        <v>125</v>
      </c>
      <c r="B126" t="s">
        <v>468</v>
      </c>
      <c r="C126" t="s">
        <v>493</v>
      </c>
      <c r="D126" s="1">
        <v>35734</v>
      </c>
      <c r="E126" t="s">
        <v>104</v>
      </c>
      <c r="F126">
        <v>1</v>
      </c>
      <c r="G126" t="s">
        <v>689</v>
      </c>
      <c r="H126" s="2">
        <v>119</v>
      </c>
      <c r="I126" t="s">
        <v>89</v>
      </c>
      <c r="J126" s="2">
        <f>INDEX(Positions!$A:$A,MATCH(E126,Positions!$B:$B,0))</f>
        <v>6</v>
      </c>
      <c r="K126" s="2">
        <f>INDEX(Locations!$A:$A,MATCH(I126,Locations!$B:$B,0))</f>
        <v>8</v>
      </c>
    </row>
    <row r="127" spans="1:11" x14ac:dyDescent="0.2">
      <c r="A127" s="3">
        <v>126</v>
      </c>
      <c r="B127" t="s">
        <v>463</v>
      </c>
      <c r="C127" t="s">
        <v>368</v>
      </c>
      <c r="D127" s="1">
        <v>36506</v>
      </c>
      <c r="E127" t="s">
        <v>104</v>
      </c>
      <c r="F127">
        <v>1</v>
      </c>
      <c r="G127" t="s">
        <v>690</v>
      </c>
      <c r="H127" s="2">
        <v>144</v>
      </c>
      <c r="I127" t="s">
        <v>92</v>
      </c>
      <c r="J127" s="2">
        <f>INDEX(Positions!$A:$A,MATCH(E127,Positions!$B:$B,0))</f>
        <v>6</v>
      </c>
      <c r="K127" s="2">
        <f>INDEX(Locations!$A:$A,MATCH(I127,Locations!$B:$B,0))</f>
        <v>6</v>
      </c>
    </row>
    <row r="128" spans="1:11" x14ac:dyDescent="0.2">
      <c r="A128" s="3">
        <v>127</v>
      </c>
      <c r="B128" t="s">
        <v>533</v>
      </c>
      <c r="C128" t="s">
        <v>115</v>
      </c>
      <c r="D128" s="1">
        <v>32345</v>
      </c>
      <c r="E128" t="s">
        <v>109</v>
      </c>
      <c r="F128">
        <v>2</v>
      </c>
      <c r="G128" t="s">
        <v>691</v>
      </c>
      <c r="H128" s="2">
        <v>144</v>
      </c>
      <c r="I128" t="s">
        <v>92</v>
      </c>
      <c r="J128" s="2">
        <f>INDEX(Positions!$A:$A,MATCH(E128,Positions!$B:$B,0))</f>
        <v>19</v>
      </c>
      <c r="K128" s="2">
        <f>INDEX(Locations!$A:$A,MATCH(I128,Locations!$B:$B,0))</f>
        <v>6</v>
      </c>
    </row>
    <row r="129" spans="1:11" x14ac:dyDescent="0.2">
      <c r="A129" s="3">
        <v>128</v>
      </c>
      <c r="B129" t="s">
        <v>122</v>
      </c>
      <c r="C129" t="s">
        <v>164</v>
      </c>
      <c r="D129" s="1">
        <v>32650</v>
      </c>
      <c r="E129" t="s">
        <v>121</v>
      </c>
      <c r="F129">
        <v>3</v>
      </c>
      <c r="G129" t="s">
        <v>692</v>
      </c>
      <c r="H129" s="2">
        <v>131</v>
      </c>
      <c r="I129" t="s">
        <v>92</v>
      </c>
      <c r="J129" s="2">
        <f>INDEX(Positions!$A:$A,MATCH(E129,Positions!$B:$B,0))</f>
        <v>31</v>
      </c>
      <c r="K129" s="2">
        <f>INDEX(Locations!$A:$A,MATCH(I129,Locations!$B:$B,0))</f>
        <v>6</v>
      </c>
    </row>
    <row r="130" spans="1:11" x14ac:dyDescent="0.2">
      <c r="A130" s="3">
        <v>129</v>
      </c>
      <c r="B130" t="s">
        <v>397</v>
      </c>
      <c r="C130" t="s">
        <v>544</v>
      </c>
      <c r="D130" s="1">
        <v>30419</v>
      </c>
      <c r="E130" t="s">
        <v>95</v>
      </c>
      <c r="F130">
        <v>6</v>
      </c>
      <c r="G130" t="s">
        <v>693</v>
      </c>
      <c r="H130" s="2">
        <v>101</v>
      </c>
      <c r="I130" t="s">
        <v>92</v>
      </c>
      <c r="J130" s="2">
        <f>INDEX(Positions!$A:$A,MATCH(E130,Positions!$B:$B,0))</f>
        <v>89</v>
      </c>
      <c r="K130" s="2">
        <f>INDEX(Locations!$A:$A,MATCH(I130,Locations!$B:$B,0))</f>
        <v>6</v>
      </c>
    </row>
    <row r="131" spans="1:11" x14ac:dyDescent="0.2">
      <c r="A131" s="3">
        <v>130</v>
      </c>
      <c r="B131" t="s">
        <v>125</v>
      </c>
      <c r="C131" t="s">
        <v>606</v>
      </c>
      <c r="D131" s="1">
        <v>38496</v>
      </c>
      <c r="E131" t="s">
        <v>104</v>
      </c>
      <c r="F131">
        <v>1</v>
      </c>
      <c r="G131" t="s">
        <v>694</v>
      </c>
      <c r="H131" s="2">
        <v>148</v>
      </c>
      <c r="I131" t="s">
        <v>92</v>
      </c>
      <c r="J131" s="2">
        <f>INDEX(Positions!$A:$A,MATCH(E131,Positions!$B:$B,0))</f>
        <v>6</v>
      </c>
      <c r="K131" s="2">
        <f>INDEX(Locations!$A:$A,MATCH(I131,Locations!$B:$B,0))</f>
        <v>6</v>
      </c>
    </row>
    <row r="132" spans="1:11" x14ac:dyDescent="0.2">
      <c r="A132" s="3">
        <v>131</v>
      </c>
      <c r="B132" t="s">
        <v>401</v>
      </c>
      <c r="C132" t="s">
        <v>195</v>
      </c>
      <c r="D132" s="1">
        <v>32207</v>
      </c>
      <c r="E132" t="s">
        <v>101</v>
      </c>
      <c r="F132">
        <v>5</v>
      </c>
      <c r="G132" t="s">
        <v>695</v>
      </c>
      <c r="H132" s="2">
        <v>97</v>
      </c>
      <c r="I132" t="s">
        <v>233</v>
      </c>
      <c r="J132" s="2">
        <f>INDEX(Positions!$A:$A,MATCH(E132,Positions!$B:$B,0))</f>
        <v>76</v>
      </c>
      <c r="K132" s="2">
        <f>INDEX(Locations!$A:$A,MATCH(I132,Locations!$B:$B,0))</f>
        <v>11</v>
      </c>
    </row>
    <row r="133" spans="1:11" x14ac:dyDescent="0.2">
      <c r="A133" s="3">
        <v>132</v>
      </c>
      <c r="B133" t="s">
        <v>389</v>
      </c>
      <c r="C133" t="s">
        <v>479</v>
      </c>
      <c r="D133" s="1">
        <v>30866</v>
      </c>
      <c r="E133" t="s">
        <v>118</v>
      </c>
      <c r="F133">
        <v>3</v>
      </c>
      <c r="G133" t="s">
        <v>696</v>
      </c>
      <c r="H133" s="2">
        <v>211</v>
      </c>
      <c r="I133" t="s">
        <v>233</v>
      </c>
      <c r="J133" s="2">
        <f>INDEX(Positions!$A:$A,MATCH(E133,Positions!$B:$B,0))</f>
        <v>28</v>
      </c>
      <c r="K133" s="2">
        <f>INDEX(Locations!$A:$A,MATCH(I133,Locations!$B:$B,0))</f>
        <v>11</v>
      </c>
    </row>
    <row r="134" spans="1:11" x14ac:dyDescent="0.2">
      <c r="A134" s="3">
        <v>133</v>
      </c>
      <c r="B134" t="s">
        <v>258</v>
      </c>
      <c r="C134" t="s">
        <v>340</v>
      </c>
      <c r="D134" s="1">
        <v>38674</v>
      </c>
      <c r="E134" t="s">
        <v>104</v>
      </c>
      <c r="F134">
        <v>1</v>
      </c>
      <c r="G134" t="s">
        <v>697</v>
      </c>
      <c r="H134" s="2">
        <v>131</v>
      </c>
      <c r="I134" t="s">
        <v>89</v>
      </c>
      <c r="J134" s="2">
        <f>INDEX(Positions!$A:$A,MATCH(E134,Positions!$B:$B,0))</f>
        <v>6</v>
      </c>
      <c r="K134" s="2">
        <f>INDEX(Locations!$A:$A,MATCH(I134,Locations!$B:$B,0))</f>
        <v>8</v>
      </c>
    </row>
    <row r="135" spans="1:11" x14ac:dyDescent="0.2">
      <c r="A135" s="3">
        <v>134</v>
      </c>
      <c r="B135" t="s">
        <v>698</v>
      </c>
      <c r="C135" t="s">
        <v>448</v>
      </c>
      <c r="D135" s="1">
        <v>37736</v>
      </c>
      <c r="E135" t="s">
        <v>109</v>
      </c>
      <c r="F135">
        <v>2</v>
      </c>
      <c r="G135" t="s">
        <v>699</v>
      </c>
      <c r="H135" s="2">
        <v>263</v>
      </c>
      <c r="I135" t="s">
        <v>89</v>
      </c>
      <c r="J135" s="2">
        <f>INDEX(Positions!$A:$A,MATCH(E135,Positions!$B:$B,0))</f>
        <v>19</v>
      </c>
      <c r="K135" s="2">
        <f>INDEX(Locations!$A:$A,MATCH(I135,Locations!$B:$B,0))</f>
        <v>8</v>
      </c>
    </row>
    <row r="136" spans="1:11" x14ac:dyDescent="0.2">
      <c r="A136" s="3">
        <v>135</v>
      </c>
      <c r="B136" t="s">
        <v>302</v>
      </c>
      <c r="C136" t="s">
        <v>170</v>
      </c>
      <c r="D136" s="1">
        <v>32134</v>
      </c>
      <c r="E136" t="s">
        <v>121</v>
      </c>
      <c r="F136">
        <v>3</v>
      </c>
      <c r="G136" t="s">
        <v>700</v>
      </c>
      <c r="H136" s="2">
        <v>145</v>
      </c>
      <c r="I136" t="s">
        <v>92</v>
      </c>
      <c r="J136" s="2">
        <f>INDEX(Positions!$A:$A,MATCH(E136,Positions!$B:$B,0))</f>
        <v>31</v>
      </c>
      <c r="K136" s="2">
        <f>INDEX(Locations!$A:$A,MATCH(I136,Locations!$B:$B,0))</f>
        <v>6</v>
      </c>
    </row>
    <row r="137" spans="1:11" x14ac:dyDescent="0.2">
      <c r="A137" s="3">
        <v>136</v>
      </c>
      <c r="B137" t="s">
        <v>471</v>
      </c>
      <c r="C137" t="s">
        <v>72</v>
      </c>
      <c r="D137" s="1">
        <v>31034</v>
      </c>
      <c r="E137" t="s">
        <v>95</v>
      </c>
      <c r="F137">
        <v>6</v>
      </c>
      <c r="G137" t="s">
        <v>701</v>
      </c>
      <c r="H137" s="2">
        <v>101</v>
      </c>
      <c r="I137" t="s">
        <v>92</v>
      </c>
      <c r="J137" s="2">
        <f>INDEX(Positions!$A:$A,MATCH(E137,Positions!$B:$B,0))</f>
        <v>89</v>
      </c>
      <c r="K137" s="2">
        <f>INDEX(Locations!$A:$A,MATCH(I137,Locations!$B:$B,0))</f>
        <v>6</v>
      </c>
    </row>
    <row r="138" spans="1:11" x14ac:dyDescent="0.2">
      <c r="A138" s="3">
        <v>137</v>
      </c>
      <c r="B138" t="s">
        <v>702</v>
      </c>
      <c r="C138" t="s">
        <v>652</v>
      </c>
      <c r="D138" s="1">
        <v>37659</v>
      </c>
      <c r="E138" t="s">
        <v>109</v>
      </c>
      <c r="F138">
        <v>2</v>
      </c>
      <c r="G138" t="s">
        <v>703</v>
      </c>
      <c r="H138" s="2">
        <v>131</v>
      </c>
      <c r="I138" t="s">
        <v>233</v>
      </c>
      <c r="J138" s="2">
        <f>INDEX(Positions!$A:$A,MATCH(E138,Positions!$B:$B,0))</f>
        <v>19</v>
      </c>
      <c r="K138" s="2">
        <f>INDEX(Locations!$A:$A,MATCH(I138,Locations!$B:$B,0))</f>
        <v>11</v>
      </c>
    </row>
    <row r="139" spans="1:11" x14ac:dyDescent="0.2">
      <c r="A139" s="3">
        <v>138</v>
      </c>
      <c r="B139" t="s">
        <v>269</v>
      </c>
      <c r="C139" t="s">
        <v>363</v>
      </c>
      <c r="D139" s="1">
        <v>33835</v>
      </c>
      <c r="E139" t="s">
        <v>118</v>
      </c>
      <c r="F139">
        <v>3</v>
      </c>
      <c r="G139" t="s">
        <v>704</v>
      </c>
      <c r="H139" s="2">
        <v>119</v>
      </c>
      <c r="I139" t="s">
        <v>89</v>
      </c>
      <c r="J139" s="2">
        <f>INDEX(Positions!$A:$A,MATCH(E139,Positions!$B:$B,0))</f>
        <v>28</v>
      </c>
      <c r="K139" s="2">
        <f>INDEX(Locations!$A:$A,MATCH(I139,Locations!$B:$B,0))</f>
        <v>8</v>
      </c>
    </row>
    <row r="140" spans="1:11" x14ac:dyDescent="0.2">
      <c r="A140" s="3">
        <v>139</v>
      </c>
      <c r="B140" t="s">
        <v>112</v>
      </c>
      <c r="C140" t="s">
        <v>312</v>
      </c>
      <c r="D140" s="1">
        <v>33130</v>
      </c>
      <c r="E140" t="s">
        <v>121</v>
      </c>
      <c r="F140">
        <v>3</v>
      </c>
      <c r="G140" t="s">
        <v>705</v>
      </c>
      <c r="H140" s="2">
        <v>119</v>
      </c>
      <c r="I140" t="s">
        <v>233</v>
      </c>
      <c r="J140" s="2">
        <f>INDEX(Positions!$A:$A,MATCH(E140,Positions!$B:$B,0))</f>
        <v>31</v>
      </c>
      <c r="K140" s="2">
        <f>INDEX(Locations!$A:$A,MATCH(I140,Locations!$B:$B,0))</f>
        <v>11</v>
      </c>
    </row>
    <row r="141" spans="1:11" x14ac:dyDescent="0.2">
      <c r="A141" s="3">
        <v>140</v>
      </c>
      <c r="B141" t="s">
        <v>71</v>
      </c>
      <c r="C141" t="s">
        <v>575</v>
      </c>
      <c r="D141" s="1">
        <v>34459</v>
      </c>
      <c r="E141" t="s">
        <v>109</v>
      </c>
      <c r="F141">
        <v>2</v>
      </c>
      <c r="G141" t="s">
        <v>706</v>
      </c>
      <c r="H141" s="2">
        <v>119</v>
      </c>
      <c r="I141" t="s">
        <v>233</v>
      </c>
      <c r="J141" s="2">
        <f>INDEX(Positions!$A:$A,MATCH(E141,Positions!$B:$B,0))</f>
        <v>19</v>
      </c>
      <c r="K141" s="2">
        <f>INDEX(Locations!$A:$A,MATCH(I141,Locations!$B:$B,0))</f>
        <v>11</v>
      </c>
    </row>
    <row r="142" spans="1:11" x14ac:dyDescent="0.2">
      <c r="A142" s="3">
        <v>141</v>
      </c>
      <c r="B142" t="s">
        <v>486</v>
      </c>
      <c r="C142" t="s">
        <v>432</v>
      </c>
      <c r="D142" s="1">
        <v>36142</v>
      </c>
      <c r="E142" t="s">
        <v>109</v>
      </c>
      <c r="F142">
        <v>2</v>
      </c>
      <c r="G142" t="s">
        <v>707</v>
      </c>
      <c r="H142" s="2">
        <v>131</v>
      </c>
      <c r="I142" t="s">
        <v>89</v>
      </c>
      <c r="J142" s="2">
        <f>INDEX(Positions!$A:$A,MATCH(E142,Positions!$B:$B,0))</f>
        <v>19</v>
      </c>
      <c r="K142" s="2">
        <f>INDEX(Locations!$A:$A,MATCH(I142,Locations!$B:$B,0))</f>
        <v>8</v>
      </c>
    </row>
    <row r="143" spans="1:11" x14ac:dyDescent="0.2">
      <c r="A143" s="3">
        <v>142</v>
      </c>
      <c r="B143" t="s">
        <v>418</v>
      </c>
      <c r="C143" t="s">
        <v>247</v>
      </c>
      <c r="D143" s="1">
        <v>35872</v>
      </c>
      <c r="E143" t="s">
        <v>109</v>
      </c>
      <c r="F143">
        <v>2</v>
      </c>
      <c r="G143" t="s">
        <v>708</v>
      </c>
      <c r="H143" s="2">
        <v>145</v>
      </c>
      <c r="I143" t="s">
        <v>92</v>
      </c>
      <c r="J143" s="2">
        <f>INDEX(Positions!$A:$A,MATCH(E143,Positions!$B:$B,0))</f>
        <v>19</v>
      </c>
      <c r="K143" s="2">
        <f>INDEX(Locations!$A:$A,MATCH(I143,Locations!$B:$B,0))</f>
        <v>6</v>
      </c>
    </row>
    <row r="144" spans="1:11" x14ac:dyDescent="0.2">
      <c r="A144" s="3">
        <v>143</v>
      </c>
      <c r="B144" t="s">
        <v>315</v>
      </c>
      <c r="C144" t="s">
        <v>240</v>
      </c>
      <c r="D144" s="1">
        <v>36206</v>
      </c>
      <c r="E144" t="s">
        <v>121</v>
      </c>
      <c r="F144">
        <v>3</v>
      </c>
      <c r="G144" t="s">
        <v>709</v>
      </c>
      <c r="H144" s="2">
        <v>206</v>
      </c>
      <c r="I144" t="s">
        <v>233</v>
      </c>
      <c r="J144" s="2">
        <f>INDEX(Positions!$A:$A,MATCH(E144,Positions!$B:$B,0))</f>
        <v>31</v>
      </c>
      <c r="K144" s="2">
        <f>INDEX(Locations!$A:$A,MATCH(I144,Locations!$B:$B,0))</f>
        <v>11</v>
      </c>
    </row>
    <row r="145" spans="1:11" x14ac:dyDescent="0.2">
      <c r="A145" s="3">
        <v>144</v>
      </c>
      <c r="B145" t="s">
        <v>506</v>
      </c>
      <c r="C145" t="s">
        <v>155</v>
      </c>
      <c r="D145" s="1">
        <v>32122</v>
      </c>
      <c r="E145" t="s">
        <v>101</v>
      </c>
      <c r="F145">
        <v>5</v>
      </c>
      <c r="G145" t="s">
        <v>710</v>
      </c>
      <c r="H145" s="2">
        <v>129</v>
      </c>
      <c r="I145" t="s">
        <v>92</v>
      </c>
      <c r="J145" s="2">
        <f>INDEX(Positions!$A:$A,MATCH(E145,Positions!$B:$B,0))</f>
        <v>76</v>
      </c>
      <c r="K145" s="2">
        <f>INDEX(Locations!$A:$A,MATCH(I145,Locations!$B:$B,0))</f>
        <v>6</v>
      </c>
    </row>
    <row r="146" spans="1:11" x14ac:dyDescent="0.2">
      <c r="A146" s="3">
        <v>145</v>
      </c>
      <c r="B146" t="s">
        <v>196</v>
      </c>
      <c r="C146" t="s">
        <v>87</v>
      </c>
      <c r="D146" s="1">
        <v>31199</v>
      </c>
      <c r="E146" t="s">
        <v>101</v>
      </c>
      <c r="F146">
        <v>5</v>
      </c>
      <c r="G146" t="s">
        <v>711</v>
      </c>
      <c r="H146" s="2">
        <v>122</v>
      </c>
      <c r="I146" t="s">
        <v>92</v>
      </c>
      <c r="J146" s="2">
        <f>INDEX(Positions!$A:$A,MATCH(E146,Positions!$B:$B,0))</f>
        <v>76</v>
      </c>
      <c r="K146" s="2">
        <f>INDEX(Locations!$A:$A,MATCH(I146,Locations!$B:$B,0))</f>
        <v>6</v>
      </c>
    </row>
    <row r="147" spans="1:11" x14ac:dyDescent="0.2">
      <c r="A147" s="3">
        <v>146</v>
      </c>
      <c r="B147" t="s">
        <v>426</v>
      </c>
      <c r="C147" t="s">
        <v>245</v>
      </c>
      <c r="D147" s="1">
        <v>37694</v>
      </c>
      <c r="E147" t="s">
        <v>104</v>
      </c>
      <c r="F147">
        <v>1</v>
      </c>
      <c r="G147" t="s">
        <v>712</v>
      </c>
      <c r="H147" s="2">
        <v>144</v>
      </c>
      <c r="I147" t="s">
        <v>92</v>
      </c>
      <c r="J147" s="2">
        <f>INDEX(Positions!$A:$A,MATCH(E147,Positions!$B:$B,0))</f>
        <v>6</v>
      </c>
      <c r="K147" s="2">
        <f>INDEX(Locations!$A:$A,MATCH(I147,Locations!$B:$B,0))</f>
        <v>6</v>
      </c>
    </row>
    <row r="148" spans="1:11" x14ac:dyDescent="0.2">
      <c r="A148" s="3">
        <v>147</v>
      </c>
      <c r="B148" t="s">
        <v>389</v>
      </c>
      <c r="C148" t="s">
        <v>369</v>
      </c>
      <c r="D148" s="1">
        <v>34362</v>
      </c>
      <c r="E148" t="s">
        <v>109</v>
      </c>
      <c r="F148">
        <v>2</v>
      </c>
      <c r="G148" t="s">
        <v>713</v>
      </c>
      <c r="H148" s="2">
        <v>148</v>
      </c>
      <c r="I148" t="s">
        <v>89</v>
      </c>
      <c r="J148" s="2">
        <f>INDEX(Positions!$A:$A,MATCH(E148,Positions!$B:$B,0))</f>
        <v>19</v>
      </c>
      <c r="K148" s="2">
        <f>INDEX(Locations!$A:$A,MATCH(I148,Locations!$B:$B,0))</f>
        <v>8</v>
      </c>
    </row>
    <row r="149" spans="1:11" x14ac:dyDescent="0.2">
      <c r="A149" s="3">
        <v>148</v>
      </c>
      <c r="B149" t="s">
        <v>389</v>
      </c>
      <c r="C149" t="s">
        <v>496</v>
      </c>
      <c r="D149" s="1">
        <v>32963</v>
      </c>
      <c r="E149" t="s">
        <v>101</v>
      </c>
      <c r="F149">
        <v>5</v>
      </c>
      <c r="G149" t="s">
        <v>714</v>
      </c>
      <c r="H149" s="2">
        <v>136</v>
      </c>
      <c r="I149" t="s">
        <v>92</v>
      </c>
      <c r="J149" s="2">
        <f>INDEX(Positions!$A:$A,MATCH(E149,Positions!$B:$B,0))</f>
        <v>76</v>
      </c>
      <c r="K149" s="2">
        <f>INDEX(Locations!$A:$A,MATCH(I149,Locations!$B:$B,0))</f>
        <v>6</v>
      </c>
    </row>
    <row r="150" spans="1:11" x14ac:dyDescent="0.2">
      <c r="A150" s="3">
        <v>149</v>
      </c>
      <c r="B150" t="s">
        <v>431</v>
      </c>
      <c r="C150" t="s">
        <v>153</v>
      </c>
      <c r="D150" s="1">
        <v>36691</v>
      </c>
      <c r="E150" t="s">
        <v>104</v>
      </c>
      <c r="F150">
        <v>1</v>
      </c>
      <c r="G150" t="s">
        <v>715</v>
      </c>
      <c r="H150" s="2">
        <v>152</v>
      </c>
      <c r="I150" t="s">
        <v>92</v>
      </c>
      <c r="J150" s="2">
        <f>INDEX(Positions!$A:$A,MATCH(E150,Positions!$B:$B,0))</f>
        <v>6</v>
      </c>
      <c r="K150" s="2">
        <f>INDEX(Locations!$A:$A,MATCH(I150,Locations!$B:$B,0))</f>
        <v>6</v>
      </c>
    </row>
    <row r="151" spans="1:11" x14ac:dyDescent="0.2">
      <c r="A151" s="3">
        <v>150</v>
      </c>
      <c r="B151" t="s">
        <v>338</v>
      </c>
      <c r="C151" t="s">
        <v>716</v>
      </c>
      <c r="D151" s="1">
        <v>36557</v>
      </c>
      <c r="E151" t="s">
        <v>104</v>
      </c>
      <c r="F151">
        <v>1</v>
      </c>
      <c r="G151" t="s">
        <v>717</v>
      </c>
      <c r="H151" s="2">
        <v>131</v>
      </c>
      <c r="I151" t="s">
        <v>233</v>
      </c>
      <c r="J151" s="2">
        <f>INDEX(Positions!$A:$A,MATCH(E151,Positions!$B:$B,0))</f>
        <v>6</v>
      </c>
      <c r="K151" s="2">
        <f>INDEX(Locations!$A:$A,MATCH(I151,Locations!$B:$B,0))</f>
        <v>11</v>
      </c>
    </row>
    <row r="152" spans="1:11" x14ac:dyDescent="0.2">
      <c r="A152" s="3">
        <v>151</v>
      </c>
      <c r="B152" t="s">
        <v>279</v>
      </c>
      <c r="C152" t="s">
        <v>157</v>
      </c>
      <c r="D152" s="1">
        <v>34549</v>
      </c>
      <c r="E152" t="s">
        <v>118</v>
      </c>
      <c r="F152">
        <v>3</v>
      </c>
      <c r="G152" t="s">
        <v>718</v>
      </c>
      <c r="H152" s="2">
        <v>144</v>
      </c>
      <c r="I152" t="s">
        <v>92</v>
      </c>
      <c r="J152" s="2">
        <f>INDEX(Positions!$A:$A,MATCH(E152,Positions!$B:$B,0))</f>
        <v>28</v>
      </c>
      <c r="K152" s="2">
        <f>INDEX(Locations!$A:$A,MATCH(I152,Locations!$B:$B,0))</f>
        <v>6</v>
      </c>
    </row>
    <row r="153" spans="1:11" x14ac:dyDescent="0.2">
      <c r="A153" s="3">
        <v>152</v>
      </c>
      <c r="B153" t="s">
        <v>719</v>
      </c>
      <c r="C153" t="s">
        <v>403</v>
      </c>
      <c r="D153" s="1">
        <v>30799</v>
      </c>
      <c r="E153" t="s">
        <v>101</v>
      </c>
      <c r="F153">
        <v>5</v>
      </c>
      <c r="G153" t="s">
        <v>720</v>
      </c>
      <c r="H153" s="2">
        <v>129</v>
      </c>
      <c r="I153" t="s">
        <v>92</v>
      </c>
      <c r="J153" s="2">
        <f>INDEX(Positions!$A:$A,MATCH(E153,Positions!$B:$B,0))</f>
        <v>76</v>
      </c>
      <c r="K153" s="2">
        <f>INDEX(Locations!$A:$A,MATCH(I153,Locations!$B:$B,0))</f>
        <v>6</v>
      </c>
    </row>
    <row r="154" spans="1:11" x14ac:dyDescent="0.2">
      <c r="A154" s="3">
        <v>153</v>
      </c>
      <c r="B154" t="s">
        <v>268</v>
      </c>
      <c r="C154" t="s">
        <v>255</v>
      </c>
      <c r="D154" s="1">
        <v>34417</v>
      </c>
      <c r="E154" t="s">
        <v>124</v>
      </c>
      <c r="F154">
        <v>4</v>
      </c>
      <c r="G154" t="s">
        <v>721</v>
      </c>
      <c r="H154" s="2">
        <v>144</v>
      </c>
      <c r="I154" t="s">
        <v>92</v>
      </c>
      <c r="J154" s="2">
        <f>INDEX(Positions!$A:$A,MATCH(E154,Positions!$B:$B,0))</f>
        <v>58</v>
      </c>
      <c r="K154" s="2">
        <f>INDEX(Locations!$A:$A,MATCH(I154,Locations!$B:$B,0))</f>
        <v>6</v>
      </c>
    </row>
    <row r="155" spans="1:11" x14ac:dyDescent="0.2">
      <c r="A155" s="3">
        <v>154</v>
      </c>
      <c r="B155" t="s">
        <v>51</v>
      </c>
      <c r="C155" t="s">
        <v>425</v>
      </c>
      <c r="D155" s="1">
        <v>38896</v>
      </c>
      <c r="E155" t="s">
        <v>109</v>
      </c>
      <c r="F155">
        <v>2</v>
      </c>
      <c r="G155" t="s">
        <v>722</v>
      </c>
      <c r="H155" s="2">
        <v>148</v>
      </c>
      <c r="I155" t="s">
        <v>89</v>
      </c>
      <c r="J155" s="2">
        <f>INDEX(Positions!$A:$A,MATCH(E155,Positions!$B:$B,0))</f>
        <v>19</v>
      </c>
      <c r="K155" s="2">
        <f>INDEX(Locations!$A:$A,MATCH(I155,Locations!$B:$B,0))</f>
        <v>8</v>
      </c>
    </row>
    <row r="156" spans="1:11" x14ac:dyDescent="0.2">
      <c r="A156" s="3">
        <v>155</v>
      </c>
      <c r="B156" t="s">
        <v>277</v>
      </c>
      <c r="C156" t="s">
        <v>545</v>
      </c>
      <c r="D156" s="1">
        <v>35100</v>
      </c>
      <c r="E156" t="s">
        <v>104</v>
      </c>
      <c r="F156">
        <v>1</v>
      </c>
      <c r="G156" t="s">
        <v>723</v>
      </c>
      <c r="H156" s="2">
        <v>152</v>
      </c>
      <c r="I156" t="s">
        <v>92</v>
      </c>
      <c r="J156" s="2">
        <f>INDEX(Positions!$A:$A,MATCH(E156,Positions!$B:$B,0))</f>
        <v>6</v>
      </c>
      <c r="K156" s="2">
        <f>INDEX(Locations!$A:$A,MATCH(I156,Locations!$B:$B,0))</f>
        <v>6</v>
      </c>
    </row>
    <row r="157" spans="1:11" x14ac:dyDescent="0.2">
      <c r="A157" s="3">
        <v>156</v>
      </c>
      <c r="B157" t="s">
        <v>186</v>
      </c>
      <c r="C157" t="s">
        <v>190</v>
      </c>
      <c r="D157" s="1">
        <v>37494</v>
      </c>
      <c r="E157" t="s">
        <v>104</v>
      </c>
      <c r="F157">
        <v>1</v>
      </c>
      <c r="G157" t="s">
        <v>724</v>
      </c>
      <c r="H157" s="2">
        <v>144</v>
      </c>
      <c r="I157" t="s">
        <v>92</v>
      </c>
      <c r="J157" s="2">
        <f>INDEX(Positions!$A:$A,MATCH(E157,Positions!$B:$B,0))</f>
        <v>6</v>
      </c>
      <c r="K157" s="2">
        <f>INDEX(Locations!$A:$A,MATCH(I157,Locations!$B:$B,0))</f>
        <v>6</v>
      </c>
    </row>
    <row r="158" spans="1:11" x14ac:dyDescent="0.2">
      <c r="A158" s="3">
        <v>157</v>
      </c>
      <c r="B158" t="s">
        <v>176</v>
      </c>
      <c r="C158" t="s">
        <v>495</v>
      </c>
      <c r="D158" s="1">
        <v>36071</v>
      </c>
      <c r="E158" t="s">
        <v>104</v>
      </c>
      <c r="F158">
        <v>1</v>
      </c>
      <c r="G158" t="s">
        <v>725</v>
      </c>
      <c r="H158" s="2">
        <v>145</v>
      </c>
      <c r="I158" t="s">
        <v>92</v>
      </c>
      <c r="J158" s="2">
        <f>INDEX(Positions!$A:$A,MATCH(E158,Positions!$B:$B,0))</f>
        <v>6</v>
      </c>
      <c r="K158" s="2">
        <f>INDEX(Locations!$A:$A,MATCH(I158,Locations!$B:$B,0))</f>
        <v>6</v>
      </c>
    </row>
    <row r="159" spans="1:11" x14ac:dyDescent="0.2">
      <c r="A159" s="3">
        <v>158</v>
      </c>
      <c r="B159" t="s">
        <v>428</v>
      </c>
      <c r="C159" t="s">
        <v>153</v>
      </c>
      <c r="D159" s="1">
        <v>37712</v>
      </c>
      <c r="E159" t="s">
        <v>104</v>
      </c>
      <c r="F159">
        <v>1</v>
      </c>
      <c r="G159" t="s">
        <v>726</v>
      </c>
      <c r="H159" s="2">
        <v>152</v>
      </c>
      <c r="I159" t="s">
        <v>89</v>
      </c>
      <c r="J159" s="2">
        <f>INDEX(Positions!$A:$A,MATCH(E159,Positions!$B:$B,0))</f>
        <v>6</v>
      </c>
      <c r="K159" s="2">
        <f>INDEX(Locations!$A:$A,MATCH(I159,Locations!$B:$B,0))</f>
        <v>8</v>
      </c>
    </row>
    <row r="160" spans="1:11" x14ac:dyDescent="0.2">
      <c r="A160" s="3">
        <v>159</v>
      </c>
      <c r="B160" t="s">
        <v>257</v>
      </c>
      <c r="C160" t="s">
        <v>141</v>
      </c>
      <c r="D160" s="1">
        <v>30080</v>
      </c>
      <c r="E160" t="s">
        <v>95</v>
      </c>
      <c r="F160">
        <v>6</v>
      </c>
      <c r="G160" t="s">
        <v>727</v>
      </c>
      <c r="H160" s="2">
        <v>101</v>
      </c>
      <c r="I160" t="s">
        <v>92</v>
      </c>
      <c r="J160" s="2">
        <f>INDEX(Positions!$A:$A,MATCH(E160,Positions!$B:$B,0))</f>
        <v>89</v>
      </c>
      <c r="K160" s="2">
        <f>INDEX(Locations!$A:$A,MATCH(I160,Locations!$B:$B,0))</f>
        <v>6</v>
      </c>
    </row>
    <row r="161" spans="1:11" x14ac:dyDescent="0.2">
      <c r="A161" s="3">
        <v>160</v>
      </c>
      <c r="B161" t="s">
        <v>501</v>
      </c>
      <c r="C161" t="s">
        <v>212</v>
      </c>
      <c r="D161" s="1">
        <v>37862</v>
      </c>
      <c r="E161" t="s">
        <v>104</v>
      </c>
      <c r="F161">
        <v>1</v>
      </c>
      <c r="G161" t="s">
        <v>728</v>
      </c>
      <c r="H161" s="2">
        <v>119</v>
      </c>
      <c r="I161" t="s">
        <v>233</v>
      </c>
      <c r="J161" s="2">
        <f>INDEX(Positions!$A:$A,MATCH(E161,Positions!$B:$B,0))</f>
        <v>6</v>
      </c>
      <c r="K161" s="2">
        <f>INDEX(Locations!$A:$A,MATCH(I161,Locations!$B:$B,0))</f>
        <v>11</v>
      </c>
    </row>
    <row r="162" spans="1:11" x14ac:dyDescent="0.2">
      <c r="A162" s="3">
        <v>161</v>
      </c>
      <c r="B162" t="s">
        <v>385</v>
      </c>
      <c r="C162" t="s">
        <v>216</v>
      </c>
      <c r="D162" s="1">
        <v>33485</v>
      </c>
      <c r="E162" t="s">
        <v>121</v>
      </c>
      <c r="F162">
        <v>3</v>
      </c>
      <c r="G162" t="s">
        <v>729</v>
      </c>
      <c r="H162" s="2">
        <v>145</v>
      </c>
      <c r="I162" t="s">
        <v>92</v>
      </c>
      <c r="J162" s="2">
        <f>INDEX(Positions!$A:$A,MATCH(E162,Positions!$B:$B,0))</f>
        <v>31</v>
      </c>
      <c r="K162" s="2">
        <f>INDEX(Locations!$A:$A,MATCH(I162,Locations!$B:$B,0))</f>
        <v>6</v>
      </c>
    </row>
    <row r="163" spans="1:11" x14ac:dyDescent="0.2">
      <c r="A163" s="3">
        <v>162</v>
      </c>
      <c r="B163" t="s">
        <v>189</v>
      </c>
      <c r="C163" t="s">
        <v>432</v>
      </c>
      <c r="D163" s="1">
        <v>38213</v>
      </c>
      <c r="E163" t="s">
        <v>104</v>
      </c>
      <c r="F163">
        <v>1</v>
      </c>
      <c r="G163" t="s">
        <v>730</v>
      </c>
      <c r="H163" s="2">
        <v>152</v>
      </c>
      <c r="I163" t="s">
        <v>92</v>
      </c>
      <c r="J163" s="2">
        <f>INDEX(Positions!$A:$A,MATCH(E163,Positions!$B:$B,0))</f>
        <v>6</v>
      </c>
      <c r="K163" s="2">
        <f>INDEX(Locations!$A:$A,MATCH(I163,Locations!$B:$B,0))</f>
        <v>6</v>
      </c>
    </row>
    <row r="164" spans="1:11" x14ac:dyDescent="0.2">
      <c r="A164" s="3">
        <v>163</v>
      </c>
      <c r="B164" t="s">
        <v>129</v>
      </c>
      <c r="C164" t="s">
        <v>339</v>
      </c>
      <c r="D164" s="1">
        <v>33692</v>
      </c>
      <c r="E164" t="s">
        <v>104</v>
      </c>
      <c r="F164">
        <v>1</v>
      </c>
      <c r="G164" t="s">
        <v>731</v>
      </c>
      <c r="H164" s="2">
        <v>131</v>
      </c>
      <c r="I164" t="s">
        <v>233</v>
      </c>
      <c r="J164" s="2">
        <f>INDEX(Positions!$A:$A,MATCH(E164,Positions!$B:$B,0))</f>
        <v>6</v>
      </c>
      <c r="K164" s="2">
        <f>INDEX(Locations!$A:$A,MATCH(I164,Locations!$B:$B,0))</f>
        <v>11</v>
      </c>
    </row>
    <row r="165" spans="1:11" x14ac:dyDescent="0.2">
      <c r="A165" s="3">
        <v>164</v>
      </c>
      <c r="B165" t="s">
        <v>235</v>
      </c>
      <c r="C165" t="s">
        <v>732</v>
      </c>
      <c r="D165" s="1">
        <v>33554</v>
      </c>
      <c r="E165" t="s">
        <v>104</v>
      </c>
      <c r="F165">
        <v>1</v>
      </c>
      <c r="G165" t="s">
        <v>733</v>
      </c>
      <c r="H165" s="2">
        <v>263</v>
      </c>
      <c r="I165" t="s">
        <v>89</v>
      </c>
      <c r="J165" s="2">
        <f>INDEX(Positions!$A:$A,MATCH(E165,Positions!$B:$B,0))</f>
        <v>6</v>
      </c>
      <c r="K165" s="2">
        <f>INDEX(Locations!$A:$A,MATCH(I165,Locations!$B:$B,0))</f>
        <v>8</v>
      </c>
    </row>
    <row r="166" spans="1:11" x14ac:dyDescent="0.2">
      <c r="A166" s="3">
        <v>165</v>
      </c>
      <c r="B166" t="s">
        <v>506</v>
      </c>
      <c r="C166" t="s">
        <v>382</v>
      </c>
      <c r="D166" s="1">
        <v>38565</v>
      </c>
      <c r="E166" t="s">
        <v>109</v>
      </c>
      <c r="F166">
        <v>2</v>
      </c>
      <c r="G166" t="s">
        <v>734</v>
      </c>
      <c r="H166" s="2">
        <v>152</v>
      </c>
      <c r="I166" t="s">
        <v>92</v>
      </c>
      <c r="J166" s="2">
        <f>INDEX(Positions!$A:$A,MATCH(E166,Positions!$B:$B,0))</f>
        <v>19</v>
      </c>
      <c r="K166" s="2">
        <f>INDEX(Locations!$A:$A,MATCH(I166,Locations!$B:$B,0))</f>
        <v>6</v>
      </c>
    </row>
    <row r="167" spans="1:11" x14ac:dyDescent="0.2">
      <c r="A167" s="3">
        <v>166</v>
      </c>
      <c r="B167" t="s">
        <v>116</v>
      </c>
      <c r="C167" t="s">
        <v>91</v>
      </c>
      <c r="D167" s="1">
        <v>36466</v>
      </c>
      <c r="E167" t="s">
        <v>104</v>
      </c>
      <c r="F167">
        <v>1</v>
      </c>
      <c r="G167" t="s">
        <v>735</v>
      </c>
      <c r="H167" s="2">
        <v>131</v>
      </c>
      <c r="I167" t="s">
        <v>233</v>
      </c>
      <c r="J167" s="2">
        <f>INDEX(Positions!$A:$A,MATCH(E167,Positions!$B:$B,0))</f>
        <v>6</v>
      </c>
      <c r="K167" s="2">
        <f>INDEX(Locations!$A:$A,MATCH(I167,Locations!$B:$B,0))</f>
        <v>11</v>
      </c>
    </row>
    <row r="168" spans="1:11" x14ac:dyDescent="0.2">
      <c r="A168" s="3">
        <v>167</v>
      </c>
      <c r="B168" t="s">
        <v>165</v>
      </c>
      <c r="C168" t="s">
        <v>575</v>
      </c>
      <c r="D168" s="1">
        <v>36241</v>
      </c>
      <c r="E168" t="s">
        <v>109</v>
      </c>
      <c r="F168">
        <v>2</v>
      </c>
      <c r="G168" t="s">
        <v>736</v>
      </c>
      <c r="H168" s="2">
        <v>148</v>
      </c>
      <c r="I168" t="s">
        <v>92</v>
      </c>
      <c r="J168" s="2">
        <f>INDEX(Positions!$A:$A,MATCH(E168,Positions!$B:$B,0))</f>
        <v>19</v>
      </c>
      <c r="K168" s="2">
        <f>INDEX(Locations!$A:$A,MATCH(I168,Locations!$B:$B,0))</f>
        <v>6</v>
      </c>
    </row>
    <row r="169" spans="1:11" x14ac:dyDescent="0.2">
      <c r="A169" s="3">
        <v>168</v>
      </c>
      <c r="B169" t="s">
        <v>263</v>
      </c>
      <c r="C169" t="s">
        <v>56</v>
      </c>
      <c r="D169" s="1">
        <v>37329</v>
      </c>
      <c r="E169" t="s">
        <v>109</v>
      </c>
      <c r="F169">
        <v>2</v>
      </c>
      <c r="G169" t="s">
        <v>737</v>
      </c>
      <c r="H169" s="2">
        <v>131</v>
      </c>
      <c r="I169" t="s">
        <v>233</v>
      </c>
      <c r="J169" s="2">
        <f>INDEX(Positions!$A:$A,MATCH(E169,Positions!$B:$B,0))</f>
        <v>19</v>
      </c>
      <c r="K169" s="2">
        <f>INDEX(Locations!$A:$A,MATCH(I169,Locations!$B:$B,0))</f>
        <v>11</v>
      </c>
    </row>
    <row r="170" spans="1:11" x14ac:dyDescent="0.2">
      <c r="A170" s="3">
        <v>169</v>
      </c>
      <c r="B170" t="s">
        <v>530</v>
      </c>
      <c r="C170" t="s">
        <v>410</v>
      </c>
      <c r="D170" s="1">
        <v>38633</v>
      </c>
      <c r="E170" t="s">
        <v>109</v>
      </c>
      <c r="F170">
        <v>2</v>
      </c>
      <c r="G170" t="s">
        <v>738</v>
      </c>
      <c r="H170" s="2">
        <v>144</v>
      </c>
      <c r="I170" t="s">
        <v>92</v>
      </c>
      <c r="J170" s="2">
        <f>INDEX(Positions!$A:$A,MATCH(E170,Positions!$B:$B,0))</f>
        <v>19</v>
      </c>
      <c r="K170" s="2">
        <f>INDEX(Locations!$A:$A,MATCH(I170,Locations!$B:$B,0))</f>
        <v>6</v>
      </c>
    </row>
    <row r="171" spans="1:11" x14ac:dyDescent="0.2">
      <c r="A171" s="3">
        <v>170</v>
      </c>
      <c r="B171" t="s">
        <v>501</v>
      </c>
      <c r="C171" t="s">
        <v>195</v>
      </c>
      <c r="D171" s="1">
        <v>34738</v>
      </c>
      <c r="E171" t="s">
        <v>121</v>
      </c>
      <c r="F171">
        <v>3</v>
      </c>
      <c r="G171" t="s">
        <v>739</v>
      </c>
      <c r="H171" s="2">
        <v>152</v>
      </c>
      <c r="I171" t="s">
        <v>92</v>
      </c>
      <c r="J171" s="2">
        <f>INDEX(Positions!$A:$A,MATCH(E171,Positions!$B:$B,0))</f>
        <v>31</v>
      </c>
      <c r="K171" s="2">
        <f>INDEX(Locations!$A:$A,MATCH(I171,Locations!$B:$B,0))</f>
        <v>6</v>
      </c>
    </row>
    <row r="172" spans="1:11" x14ac:dyDescent="0.2">
      <c r="A172" s="3">
        <v>171</v>
      </c>
      <c r="B172" t="s">
        <v>484</v>
      </c>
      <c r="C172" t="s">
        <v>740</v>
      </c>
      <c r="D172" s="1">
        <v>38901</v>
      </c>
      <c r="E172" t="s">
        <v>109</v>
      </c>
      <c r="F172">
        <v>2</v>
      </c>
      <c r="G172" t="s">
        <v>741</v>
      </c>
      <c r="H172" s="2">
        <v>148</v>
      </c>
      <c r="I172" t="s">
        <v>92</v>
      </c>
      <c r="J172" s="2">
        <f>INDEX(Positions!$A:$A,MATCH(E172,Positions!$B:$B,0))</f>
        <v>19</v>
      </c>
      <c r="K172" s="2">
        <f>INDEX(Locations!$A:$A,MATCH(I172,Locations!$B:$B,0))</f>
        <v>6</v>
      </c>
    </row>
    <row r="173" spans="1:11" x14ac:dyDescent="0.2">
      <c r="A173" s="3">
        <v>172</v>
      </c>
      <c r="B173" t="s">
        <v>468</v>
      </c>
      <c r="C173" t="s">
        <v>481</v>
      </c>
      <c r="D173" s="1">
        <v>38933</v>
      </c>
      <c r="E173" t="s">
        <v>104</v>
      </c>
      <c r="F173">
        <v>1</v>
      </c>
      <c r="G173" t="s">
        <v>742</v>
      </c>
      <c r="H173" s="2">
        <v>206</v>
      </c>
      <c r="I173" t="s">
        <v>89</v>
      </c>
      <c r="J173" s="2">
        <f>INDEX(Positions!$A:$A,MATCH(E173,Positions!$B:$B,0))</f>
        <v>6</v>
      </c>
      <c r="K173" s="2">
        <f>INDEX(Locations!$A:$A,MATCH(I173,Locations!$B:$B,0))</f>
        <v>8</v>
      </c>
    </row>
    <row r="174" spans="1:11" x14ac:dyDescent="0.2">
      <c r="A174" s="3">
        <v>173</v>
      </c>
      <c r="B174" t="s">
        <v>90</v>
      </c>
      <c r="C174" t="s">
        <v>366</v>
      </c>
      <c r="D174" s="1">
        <v>38064</v>
      </c>
      <c r="E174" t="s">
        <v>109</v>
      </c>
      <c r="F174">
        <v>2</v>
      </c>
      <c r="G174" t="s">
        <v>743</v>
      </c>
      <c r="H174" s="2">
        <v>131</v>
      </c>
      <c r="I174" t="s">
        <v>233</v>
      </c>
      <c r="J174" s="2">
        <f>INDEX(Positions!$A:$A,MATCH(E174,Positions!$B:$B,0))</f>
        <v>19</v>
      </c>
      <c r="K174" s="2">
        <f>INDEX(Locations!$A:$A,MATCH(I174,Locations!$B:$B,0))</f>
        <v>11</v>
      </c>
    </row>
    <row r="175" spans="1:11" x14ac:dyDescent="0.2">
      <c r="A175" s="3">
        <v>174</v>
      </c>
      <c r="B175" t="s">
        <v>468</v>
      </c>
      <c r="C175" t="s">
        <v>399</v>
      </c>
      <c r="D175" s="1">
        <v>33847</v>
      </c>
      <c r="E175" t="s">
        <v>109</v>
      </c>
      <c r="F175">
        <v>2</v>
      </c>
      <c r="G175" t="s">
        <v>744</v>
      </c>
      <c r="H175" s="2">
        <v>119</v>
      </c>
      <c r="I175" t="s">
        <v>233</v>
      </c>
      <c r="J175" s="2">
        <f>INDEX(Positions!$A:$A,MATCH(E175,Positions!$B:$B,0))</f>
        <v>19</v>
      </c>
      <c r="K175" s="2">
        <f>INDEX(Locations!$A:$A,MATCH(I175,Locations!$B:$B,0))</f>
        <v>11</v>
      </c>
    </row>
    <row r="176" spans="1:11" x14ac:dyDescent="0.2">
      <c r="A176" s="3">
        <v>175</v>
      </c>
      <c r="B176" t="s">
        <v>271</v>
      </c>
      <c r="C176" t="s">
        <v>354</v>
      </c>
      <c r="D176" s="1">
        <v>35781</v>
      </c>
      <c r="E176" t="s">
        <v>118</v>
      </c>
      <c r="F176">
        <v>3</v>
      </c>
      <c r="G176" t="s">
        <v>745</v>
      </c>
      <c r="H176" s="2">
        <v>145</v>
      </c>
      <c r="I176" t="s">
        <v>92</v>
      </c>
      <c r="J176" s="2">
        <f>INDEX(Positions!$A:$A,MATCH(E176,Positions!$B:$B,0))</f>
        <v>28</v>
      </c>
      <c r="K176" s="2">
        <f>INDEX(Locations!$A:$A,MATCH(I176,Locations!$B:$B,0))</f>
        <v>6</v>
      </c>
    </row>
    <row r="177" spans="1:11" x14ac:dyDescent="0.2">
      <c r="A177" s="3">
        <v>176</v>
      </c>
      <c r="B177" t="s">
        <v>746</v>
      </c>
      <c r="C177" t="s">
        <v>568</v>
      </c>
      <c r="D177" s="1">
        <v>36914</v>
      </c>
      <c r="E177" t="s">
        <v>109</v>
      </c>
      <c r="F177">
        <v>2</v>
      </c>
      <c r="G177" t="s">
        <v>747</v>
      </c>
      <c r="H177" s="2">
        <v>131</v>
      </c>
      <c r="I177" t="s">
        <v>233</v>
      </c>
      <c r="J177" s="2">
        <f>INDEX(Positions!$A:$A,MATCH(E177,Positions!$B:$B,0))</f>
        <v>19</v>
      </c>
      <c r="K177" s="2">
        <f>INDEX(Locations!$A:$A,MATCH(I177,Locations!$B:$B,0))</f>
        <v>11</v>
      </c>
    </row>
    <row r="178" spans="1:11" x14ac:dyDescent="0.2">
      <c r="A178" s="3">
        <v>177</v>
      </c>
      <c r="B178" t="s">
        <v>437</v>
      </c>
      <c r="C178" t="s">
        <v>470</v>
      </c>
      <c r="D178" s="1">
        <v>32045</v>
      </c>
      <c r="E178" t="s">
        <v>118</v>
      </c>
      <c r="F178">
        <v>3</v>
      </c>
      <c r="G178" t="s">
        <v>748</v>
      </c>
      <c r="H178" s="2">
        <v>145</v>
      </c>
      <c r="I178" t="s">
        <v>92</v>
      </c>
      <c r="J178" s="2">
        <f>INDEX(Positions!$A:$A,MATCH(E178,Positions!$B:$B,0))</f>
        <v>28</v>
      </c>
      <c r="K178" s="2">
        <f>INDEX(Locations!$A:$A,MATCH(I178,Locations!$B:$B,0))</f>
        <v>6</v>
      </c>
    </row>
    <row r="179" spans="1:11" x14ac:dyDescent="0.2">
      <c r="A179" s="3">
        <v>178</v>
      </c>
      <c r="B179" t="s">
        <v>398</v>
      </c>
      <c r="C179" t="s">
        <v>76</v>
      </c>
      <c r="D179" s="1">
        <v>38613</v>
      </c>
      <c r="E179" t="s">
        <v>104</v>
      </c>
      <c r="F179">
        <v>1</v>
      </c>
      <c r="G179" t="s">
        <v>749</v>
      </c>
      <c r="H179" s="2">
        <v>148</v>
      </c>
      <c r="I179" t="s">
        <v>92</v>
      </c>
      <c r="J179" s="2">
        <f>INDEX(Positions!$A:$A,MATCH(E179,Positions!$B:$B,0))</f>
        <v>6</v>
      </c>
      <c r="K179" s="2">
        <f>INDEX(Locations!$A:$A,MATCH(I179,Locations!$B:$B,0))</f>
        <v>6</v>
      </c>
    </row>
    <row r="180" spans="1:11" x14ac:dyDescent="0.2">
      <c r="A180" s="3">
        <v>179</v>
      </c>
      <c r="B180" t="s">
        <v>83</v>
      </c>
      <c r="C180" t="s">
        <v>750</v>
      </c>
      <c r="D180" s="1">
        <v>33759</v>
      </c>
      <c r="E180" t="s">
        <v>121</v>
      </c>
      <c r="F180">
        <v>3</v>
      </c>
      <c r="G180" t="s">
        <v>751</v>
      </c>
      <c r="H180" s="2">
        <v>152</v>
      </c>
      <c r="I180" t="s">
        <v>92</v>
      </c>
      <c r="J180" s="2">
        <f>INDEX(Positions!$A:$A,MATCH(E180,Positions!$B:$B,0))</f>
        <v>31</v>
      </c>
      <c r="K180" s="2">
        <f>INDEX(Locations!$A:$A,MATCH(I180,Locations!$B:$B,0))</f>
        <v>6</v>
      </c>
    </row>
    <row r="181" spans="1:11" x14ac:dyDescent="0.2">
      <c r="A181" s="3">
        <v>180</v>
      </c>
      <c r="B181" t="s">
        <v>289</v>
      </c>
      <c r="C181" t="s">
        <v>247</v>
      </c>
      <c r="D181" s="1">
        <v>31665</v>
      </c>
      <c r="E181" t="s">
        <v>121</v>
      </c>
      <c r="F181">
        <v>3</v>
      </c>
      <c r="G181" t="s">
        <v>752</v>
      </c>
      <c r="H181" s="2">
        <v>148</v>
      </c>
      <c r="I181" t="s">
        <v>92</v>
      </c>
      <c r="J181" s="2">
        <f>INDEX(Positions!$A:$A,MATCH(E181,Positions!$B:$B,0))</f>
        <v>31</v>
      </c>
      <c r="K181" s="2">
        <f>INDEX(Locations!$A:$A,MATCH(I181,Locations!$B:$B,0))</f>
        <v>6</v>
      </c>
    </row>
    <row r="182" spans="1:11" x14ac:dyDescent="0.2">
      <c r="A182" s="3">
        <v>181</v>
      </c>
      <c r="B182" t="s">
        <v>205</v>
      </c>
      <c r="C182" t="s">
        <v>375</v>
      </c>
      <c r="D182" s="1">
        <v>36280</v>
      </c>
      <c r="E182" t="s">
        <v>109</v>
      </c>
      <c r="F182">
        <v>2</v>
      </c>
      <c r="G182" t="s">
        <v>753</v>
      </c>
      <c r="H182" s="2">
        <v>119</v>
      </c>
      <c r="I182" t="s">
        <v>233</v>
      </c>
      <c r="J182" s="2">
        <f>INDEX(Positions!$A:$A,MATCH(E182,Positions!$B:$B,0))</f>
        <v>19</v>
      </c>
      <c r="K182" s="2">
        <f>INDEX(Locations!$A:$A,MATCH(I182,Locations!$B:$B,0))</f>
        <v>11</v>
      </c>
    </row>
    <row r="183" spans="1:11" x14ac:dyDescent="0.2">
      <c r="A183" s="3">
        <v>182</v>
      </c>
      <c r="B183" t="s">
        <v>86</v>
      </c>
      <c r="C183" t="s">
        <v>294</v>
      </c>
      <c r="D183" s="1">
        <v>33239</v>
      </c>
      <c r="E183" t="s">
        <v>124</v>
      </c>
      <c r="F183">
        <v>4</v>
      </c>
      <c r="G183" t="s">
        <v>754</v>
      </c>
      <c r="H183" s="2">
        <v>131</v>
      </c>
      <c r="I183" t="s">
        <v>233</v>
      </c>
      <c r="J183" s="2">
        <f>INDEX(Positions!$A:$A,MATCH(E183,Positions!$B:$B,0))</f>
        <v>58</v>
      </c>
      <c r="K183" s="2">
        <f>INDEX(Locations!$A:$A,MATCH(I183,Locations!$B:$B,0))</f>
        <v>11</v>
      </c>
    </row>
    <row r="184" spans="1:11" x14ac:dyDescent="0.2">
      <c r="A184" s="3">
        <v>183</v>
      </c>
      <c r="B184" t="s">
        <v>161</v>
      </c>
      <c r="C184" t="s">
        <v>472</v>
      </c>
      <c r="D184" s="1">
        <v>35062</v>
      </c>
      <c r="E184" t="s">
        <v>101</v>
      </c>
      <c r="F184">
        <v>5</v>
      </c>
      <c r="G184" t="s">
        <v>755</v>
      </c>
      <c r="H184" s="2">
        <v>122</v>
      </c>
      <c r="I184" t="s">
        <v>92</v>
      </c>
      <c r="J184" s="2">
        <f>INDEX(Positions!$A:$A,MATCH(E184,Positions!$B:$B,0))</f>
        <v>76</v>
      </c>
      <c r="K184" s="2">
        <f>INDEX(Locations!$A:$A,MATCH(I184,Locations!$B:$B,0))</f>
        <v>6</v>
      </c>
    </row>
    <row r="185" spans="1:11" x14ac:dyDescent="0.2">
      <c r="A185" s="3">
        <v>184</v>
      </c>
      <c r="B185" t="s">
        <v>396</v>
      </c>
      <c r="C185" t="s">
        <v>438</v>
      </c>
      <c r="D185" s="1">
        <v>33622</v>
      </c>
      <c r="E185" t="s">
        <v>104</v>
      </c>
      <c r="F185">
        <v>1</v>
      </c>
      <c r="G185" t="s">
        <v>756</v>
      </c>
      <c r="H185" s="2">
        <v>148</v>
      </c>
      <c r="I185" t="s">
        <v>92</v>
      </c>
      <c r="J185" s="2">
        <f>INDEX(Positions!$A:$A,MATCH(E185,Positions!$B:$B,0))</f>
        <v>6</v>
      </c>
      <c r="K185" s="2">
        <f>INDEX(Locations!$A:$A,MATCH(I185,Locations!$B:$B,0))</f>
        <v>6</v>
      </c>
    </row>
    <row r="186" spans="1:11" x14ac:dyDescent="0.2">
      <c r="A186" s="3">
        <v>185</v>
      </c>
      <c r="B186" t="s">
        <v>328</v>
      </c>
      <c r="C186" t="s">
        <v>198</v>
      </c>
      <c r="D186" s="1">
        <v>36434</v>
      </c>
      <c r="E186" t="s">
        <v>121</v>
      </c>
      <c r="F186">
        <v>3</v>
      </c>
      <c r="G186" t="s">
        <v>757</v>
      </c>
      <c r="H186" s="2">
        <v>131</v>
      </c>
      <c r="I186" t="s">
        <v>233</v>
      </c>
      <c r="J186" s="2">
        <f>INDEX(Positions!$A:$A,MATCH(E186,Positions!$B:$B,0))</f>
        <v>31</v>
      </c>
      <c r="K186" s="2">
        <f>INDEX(Locations!$A:$A,MATCH(I186,Locations!$B:$B,0))</f>
        <v>11</v>
      </c>
    </row>
    <row r="187" spans="1:11" x14ac:dyDescent="0.2">
      <c r="A187" s="3">
        <v>186</v>
      </c>
      <c r="B187" t="s">
        <v>468</v>
      </c>
      <c r="C187" t="s">
        <v>545</v>
      </c>
      <c r="D187" s="1">
        <v>34964</v>
      </c>
      <c r="E187" t="s">
        <v>109</v>
      </c>
      <c r="F187">
        <v>2</v>
      </c>
      <c r="G187" t="s">
        <v>758</v>
      </c>
      <c r="H187" s="2">
        <v>131</v>
      </c>
      <c r="I187" t="s">
        <v>233</v>
      </c>
      <c r="J187" s="2">
        <f>INDEX(Positions!$A:$A,MATCH(E187,Positions!$B:$B,0))</f>
        <v>19</v>
      </c>
      <c r="K187" s="2">
        <f>INDEX(Locations!$A:$A,MATCH(I187,Locations!$B:$B,0))</f>
        <v>11</v>
      </c>
    </row>
    <row r="188" spans="1:11" x14ac:dyDescent="0.2">
      <c r="A188" s="3">
        <v>187</v>
      </c>
      <c r="B188" t="s">
        <v>325</v>
      </c>
      <c r="C188" t="s">
        <v>236</v>
      </c>
      <c r="D188" s="1">
        <v>36553</v>
      </c>
      <c r="E188" t="s">
        <v>104</v>
      </c>
      <c r="F188">
        <v>1</v>
      </c>
      <c r="G188" t="s">
        <v>759</v>
      </c>
      <c r="H188" s="2">
        <v>206</v>
      </c>
      <c r="I188" t="s">
        <v>233</v>
      </c>
      <c r="J188" s="2">
        <f>INDEX(Positions!$A:$A,MATCH(E188,Positions!$B:$B,0))</f>
        <v>6</v>
      </c>
      <c r="K188" s="2">
        <f>INDEX(Locations!$A:$A,MATCH(I188,Locations!$B:$B,0))</f>
        <v>11</v>
      </c>
    </row>
    <row r="189" spans="1:11" x14ac:dyDescent="0.2">
      <c r="A189" s="3">
        <v>188</v>
      </c>
      <c r="B189" t="s">
        <v>122</v>
      </c>
      <c r="C189" t="s">
        <v>240</v>
      </c>
      <c r="D189" s="1">
        <v>38292</v>
      </c>
      <c r="E189" t="s">
        <v>109</v>
      </c>
      <c r="F189">
        <v>2</v>
      </c>
      <c r="G189" t="s">
        <v>760</v>
      </c>
      <c r="H189" s="2">
        <v>131</v>
      </c>
      <c r="I189" t="s">
        <v>233</v>
      </c>
      <c r="J189" s="2">
        <f>INDEX(Positions!$A:$A,MATCH(E189,Positions!$B:$B,0))</f>
        <v>19</v>
      </c>
      <c r="K189" s="2">
        <f>INDEX(Locations!$A:$A,MATCH(I189,Locations!$B:$B,0))</f>
        <v>11</v>
      </c>
    </row>
    <row r="190" spans="1:11" x14ac:dyDescent="0.2">
      <c r="A190" s="3">
        <v>189</v>
      </c>
      <c r="B190" t="s">
        <v>478</v>
      </c>
      <c r="C190" t="s">
        <v>98</v>
      </c>
      <c r="D190" s="1">
        <v>34709</v>
      </c>
      <c r="E190" t="s">
        <v>118</v>
      </c>
      <c r="F190">
        <v>3</v>
      </c>
      <c r="G190" t="s">
        <v>761</v>
      </c>
      <c r="H190" s="2">
        <v>145</v>
      </c>
      <c r="I190" t="s">
        <v>89</v>
      </c>
      <c r="J190" s="2">
        <f>INDEX(Positions!$A:$A,MATCH(E190,Positions!$B:$B,0))</f>
        <v>28</v>
      </c>
      <c r="K190" s="2">
        <f>INDEX(Locations!$A:$A,MATCH(I190,Locations!$B:$B,0))</f>
        <v>8</v>
      </c>
    </row>
    <row r="191" spans="1:11" x14ac:dyDescent="0.2">
      <c r="A191" s="3">
        <v>190</v>
      </c>
      <c r="B191" t="s">
        <v>170</v>
      </c>
      <c r="C191" t="s">
        <v>350</v>
      </c>
      <c r="D191" s="1">
        <v>38332</v>
      </c>
      <c r="E191" t="s">
        <v>109</v>
      </c>
      <c r="F191">
        <v>2</v>
      </c>
      <c r="G191" t="s">
        <v>762</v>
      </c>
      <c r="H191" s="2">
        <v>131</v>
      </c>
      <c r="I191" t="s">
        <v>233</v>
      </c>
      <c r="J191" s="2">
        <f>INDEX(Positions!$A:$A,MATCH(E191,Positions!$B:$B,0))</f>
        <v>19</v>
      </c>
      <c r="K191" s="2">
        <f>INDEX(Locations!$A:$A,MATCH(I191,Locations!$B:$B,0))</f>
        <v>11</v>
      </c>
    </row>
    <row r="192" spans="1:11" x14ac:dyDescent="0.2">
      <c r="A192" s="3">
        <v>191</v>
      </c>
      <c r="B192" t="s">
        <v>279</v>
      </c>
      <c r="C192" t="s">
        <v>535</v>
      </c>
      <c r="D192" s="1">
        <v>38075</v>
      </c>
      <c r="E192" t="s">
        <v>104</v>
      </c>
      <c r="F192">
        <v>1</v>
      </c>
      <c r="G192" t="s">
        <v>763</v>
      </c>
      <c r="H192" s="2">
        <v>145</v>
      </c>
      <c r="I192" t="s">
        <v>92</v>
      </c>
      <c r="J192" s="2">
        <f>INDEX(Positions!$A:$A,MATCH(E192,Positions!$B:$B,0))</f>
        <v>6</v>
      </c>
      <c r="K192" s="2">
        <f>INDEX(Locations!$A:$A,MATCH(I192,Locations!$B:$B,0))</f>
        <v>6</v>
      </c>
    </row>
    <row r="193" spans="1:11" x14ac:dyDescent="0.2">
      <c r="A193" s="3">
        <v>192</v>
      </c>
      <c r="B193" t="s">
        <v>501</v>
      </c>
      <c r="C193" t="s">
        <v>166</v>
      </c>
      <c r="D193" s="1">
        <v>28446</v>
      </c>
      <c r="E193" t="s">
        <v>95</v>
      </c>
      <c r="F193">
        <v>6</v>
      </c>
      <c r="G193" t="s">
        <v>764</v>
      </c>
      <c r="H193" s="2">
        <v>101</v>
      </c>
      <c r="I193" t="s">
        <v>92</v>
      </c>
      <c r="J193" s="2">
        <f>INDEX(Positions!$A:$A,MATCH(E193,Positions!$B:$B,0))</f>
        <v>89</v>
      </c>
      <c r="K193" s="2">
        <f>INDEX(Locations!$A:$A,MATCH(I193,Locations!$B:$B,0))</f>
        <v>6</v>
      </c>
    </row>
    <row r="194" spans="1:11" x14ac:dyDescent="0.2">
      <c r="A194" s="3">
        <v>193</v>
      </c>
      <c r="B194" t="s">
        <v>223</v>
      </c>
      <c r="C194" t="s">
        <v>765</v>
      </c>
      <c r="D194" s="1">
        <v>29519</v>
      </c>
      <c r="E194" t="s">
        <v>101</v>
      </c>
      <c r="F194">
        <v>5</v>
      </c>
      <c r="G194" t="s">
        <v>766</v>
      </c>
      <c r="H194" s="2">
        <v>65</v>
      </c>
      <c r="I194" t="s">
        <v>233</v>
      </c>
      <c r="J194" s="2">
        <f>INDEX(Positions!$A:$A,MATCH(E194,Positions!$B:$B,0))</f>
        <v>76</v>
      </c>
      <c r="K194" s="2">
        <f>INDEX(Locations!$A:$A,MATCH(I194,Locations!$B:$B,0))</f>
        <v>11</v>
      </c>
    </row>
    <row r="195" spans="1:11" x14ac:dyDescent="0.2">
      <c r="A195" s="3">
        <v>194</v>
      </c>
      <c r="B195" t="s">
        <v>463</v>
      </c>
      <c r="C195" t="s">
        <v>247</v>
      </c>
      <c r="D195" s="1">
        <v>35844</v>
      </c>
      <c r="E195" t="s">
        <v>118</v>
      </c>
      <c r="F195">
        <v>3</v>
      </c>
      <c r="G195" t="s">
        <v>767</v>
      </c>
      <c r="H195" s="2">
        <v>148</v>
      </c>
      <c r="I195" t="s">
        <v>92</v>
      </c>
      <c r="J195" s="2">
        <f>INDEX(Positions!$A:$A,MATCH(E195,Positions!$B:$B,0))</f>
        <v>28</v>
      </c>
      <c r="K195" s="2">
        <f>INDEX(Locations!$A:$A,MATCH(I195,Locations!$B:$B,0))</f>
        <v>6</v>
      </c>
    </row>
    <row r="196" spans="1:11" x14ac:dyDescent="0.2">
      <c r="A196" s="3">
        <v>195</v>
      </c>
      <c r="B196" t="s">
        <v>172</v>
      </c>
      <c r="C196" t="s">
        <v>225</v>
      </c>
      <c r="D196" s="1">
        <v>39184</v>
      </c>
      <c r="E196" t="s">
        <v>104</v>
      </c>
      <c r="F196">
        <v>1</v>
      </c>
      <c r="G196" t="s">
        <v>768</v>
      </c>
      <c r="H196" s="2">
        <v>295</v>
      </c>
      <c r="I196" t="s">
        <v>92</v>
      </c>
      <c r="J196" s="2">
        <f>INDEX(Positions!$A:$A,MATCH(E196,Positions!$B:$B,0))</f>
        <v>6</v>
      </c>
      <c r="K196" s="2">
        <f>INDEX(Locations!$A:$A,MATCH(I196,Locations!$B:$B,0))</f>
        <v>6</v>
      </c>
    </row>
    <row r="197" spans="1:11" x14ac:dyDescent="0.2">
      <c r="A197" s="3">
        <v>196</v>
      </c>
      <c r="B197" t="s">
        <v>335</v>
      </c>
      <c r="C197" t="s">
        <v>568</v>
      </c>
      <c r="D197" s="1">
        <v>38046</v>
      </c>
      <c r="E197" t="s">
        <v>109</v>
      </c>
      <c r="F197">
        <v>2</v>
      </c>
      <c r="G197" t="s">
        <v>769</v>
      </c>
      <c r="H197" s="2">
        <v>183</v>
      </c>
      <c r="I197" t="s">
        <v>92</v>
      </c>
      <c r="J197" s="2">
        <f>INDEX(Positions!$A:$A,MATCH(E197,Positions!$B:$B,0))</f>
        <v>19</v>
      </c>
      <c r="K197" s="2">
        <f>INDEX(Locations!$A:$A,MATCH(I197,Locations!$B:$B,0))</f>
        <v>6</v>
      </c>
    </row>
    <row r="198" spans="1:11" x14ac:dyDescent="0.2">
      <c r="A198" s="3">
        <v>197</v>
      </c>
      <c r="B198" t="s">
        <v>170</v>
      </c>
      <c r="C198" t="s">
        <v>166</v>
      </c>
      <c r="D198" s="1">
        <v>30012</v>
      </c>
      <c r="E198" t="s">
        <v>109</v>
      </c>
      <c r="F198">
        <v>2</v>
      </c>
      <c r="G198" t="s">
        <v>770</v>
      </c>
      <c r="H198" s="2">
        <v>193</v>
      </c>
      <c r="I198" t="s">
        <v>233</v>
      </c>
      <c r="J198" s="2">
        <f>INDEX(Positions!$A:$A,MATCH(E198,Positions!$B:$B,0))</f>
        <v>19</v>
      </c>
      <c r="K198" s="2">
        <f>INDEX(Locations!$A:$A,MATCH(I198,Locations!$B:$B,0))</f>
        <v>11</v>
      </c>
    </row>
    <row r="199" spans="1:11" x14ac:dyDescent="0.2">
      <c r="A199" s="3">
        <v>198</v>
      </c>
      <c r="B199" t="s">
        <v>144</v>
      </c>
      <c r="C199" t="s">
        <v>149</v>
      </c>
      <c r="D199" s="1">
        <v>34363</v>
      </c>
      <c r="E199" t="s">
        <v>104</v>
      </c>
      <c r="F199">
        <v>1</v>
      </c>
      <c r="G199" t="s">
        <v>771</v>
      </c>
      <c r="H199" s="2">
        <v>119</v>
      </c>
      <c r="I199" t="s">
        <v>233</v>
      </c>
      <c r="J199" s="2">
        <f>INDEX(Positions!$A:$A,MATCH(E199,Positions!$B:$B,0))</f>
        <v>6</v>
      </c>
      <c r="K199" s="2">
        <f>INDEX(Locations!$A:$A,MATCH(I199,Locations!$B:$B,0))</f>
        <v>11</v>
      </c>
    </row>
    <row r="200" spans="1:11" x14ac:dyDescent="0.2">
      <c r="A200" s="3">
        <v>199</v>
      </c>
      <c r="B200" t="s">
        <v>348</v>
      </c>
      <c r="C200" t="s">
        <v>239</v>
      </c>
      <c r="D200" s="1">
        <v>34546</v>
      </c>
      <c r="E200" t="s">
        <v>121</v>
      </c>
      <c r="F200">
        <v>3</v>
      </c>
      <c r="G200" t="s">
        <v>772</v>
      </c>
      <c r="H200" s="2">
        <v>183</v>
      </c>
      <c r="I200" t="s">
        <v>92</v>
      </c>
      <c r="J200" s="2">
        <f>INDEX(Positions!$A:$A,MATCH(E200,Positions!$B:$B,0))</f>
        <v>31</v>
      </c>
      <c r="K200" s="2">
        <f>INDEX(Locations!$A:$A,MATCH(I200,Locations!$B:$B,0))</f>
        <v>6</v>
      </c>
    </row>
    <row r="201" spans="1:11" x14ac:dyDescent="0.2">
      <c r="A201" s="3">
        <v>200</v>
      </c>
      <c r="B201" t="s">
        <v>458</v>
      </c>
      <c r="C201" t="s">
        <v>64</v>
      </c>
      <c r="D201" s="1">
        <v>36659</v>
      </c>
      <c r="E201" t="s">
        <v>104</v>
      </c>
      <c r="F201">
        <v>1</v>
      </c>
      <c r="G201" t="s">
        <v>773</v>
      </c>
      <c r="H201" s="2">
        <v>209</v>
      </c>
      <c r="I201" t="s">
        <v>92</v>
      </c>
      <c r="J201" s="2">
        <f>INDEX(Positions!$A:$A,MATCH(E201,Positions!$B:$B,0))</f>
        <v>6</v>
      </c>
      <c r="K201" s="2">
        <f>INDEX(Locations!$A:$A,MATCH(I201,Locations!$B:$B,0))</f>
        <v>6</v>
      </c>
    </row>
    <row r="202" spans="1:11" x14ac:dyDescent="0.2">
      <c r="A202" s="3">
        <v>201</v>
      </c>
      <c r="B202" t="s">
        <v>338</v>
      </c>
      <c r="C202" t="s">
        <v>446</v>
      </c>
      <c r="D202" s="1">
        <v>39148</v>
      </c>
      <c r="E202" t="s">
        <v>104</v>
      </c>
      <c r="F202">
        <v>1</v>
      </c>
      <c r="G202" t="s">
        <v>774</v>
      </c>
      <c r="H202" s="2">
        <v>193</v>
      </c>
      <c r="I202" t="s">
        <v>233</v>
      </c>
      <c r="J202" s="2">
        <f>INDEX(Positions!$A:$A,MATCH(E202,Positions!$B:$B,0))</f>
        <v>6</v>
      </c>
      <c r="K202" s="2">
        <f>INDEX(Locations!$A:$A,MATCH(I202,Locations!$B:$B,0))</f>
        <v>11</v>
      </c>
    </row>
    <row r="203" spans="1:11" x14ac:dyDescent="0.2">
      <c r="A203" s="3">
        <v>202</v>
      </c>
      <c r="B203" t="s">
        <v>441</v>
      </c>
      <c r="C203" t="s">
        <v>96</v>
      </c>
      <c r="D203" s="1">
        <v>33831</v>
      </c>
      <c r="E203" t="s">
        <v>121</v>
      </c>
      <c r="F203">
        <v>3</v>
      </c>
      <c r="G203" t="s">
        <v>775</v>
      </c>
      <c r="H203" s="2">
        <v>145</v>
      </c>
      <c r="I203" t="s">
        <v>92</v>
      </c>
      <c r="J203" s="2">
        <f>INDEX(Positions!$A:$A,MATCH(E203,Positions!$B:$B,0))</f>
        <v>31</v>
      </c>
      <c r="K203" s="2">
        <f>INDEX(Locations!$A:$A,MATCH(I203,Locations!$B:$B,0))</f>
        <v>6</v>
      </c>
    </row>
    <row r="204" spans="1:11" x14ac:dyDescent="0.2">
      <c r="A204" s="3">
        <v>203</v>
      </c>
      <c r="B204" t="s">
        <v>302</v>
      </c>
      <c r="C204" t="s">
        <v>549</v>
      </c>
      <c r="D204" s="1">
        <v>32891</v>
      </c>
      <c r="E204" t="s">
        <v>124</v>
      </c>
      <c r="F204">
        <v>4</v>
      </c>
      <c r="G204" t="s">
        <v>776</v>
      </c>
      <c r="H204" s="2">
        <v>183</v>
      </c>
      <c r="I204" t="s">
        <v>92</v>
      </c>
      <c r="J204" s="2">
        <f>INDEX(Positions!$A:$A,MATCH(E204,Positions!$B:$B,0))</f>
        <v>58</v>
      </c>
      <c r="K204" s="2">
        <f>INDEX(Locations!$A:$A,MATCH(I204,Locations!$B:$B,0))</f>
        <v>6</v>
      </c>
    </row>
    <row r="205" spans="1:11" x14ac:dyDescent="0.2">
      <c r="A205" s="3">
        <v>204</v>
      </c>
      <c r="B205" t="s">
        <v>114</v>
      </c>
      <c r="C205" t="s">
        <v>56</v>
      </c>
      <c r="D205" s="1">
        <v>35045</v>
      </c>
      <c r="E205" t="s">
        <v>109</v>
      </c>
      <c r="F205">
        <v>2</v>
      </c>
      <c r="G205" t="s">
        <v>777</v>
      </c>
      <c r="H205" s="2">
        <v>206</v>
      </c>
      <c r="I205" t="s">
        <v>233</v>
      </c>
      <c r="J205" s="2">
        <f>INDEX(Positions!$A:$A,MATCH(E205,Positions!$B:$B,0))</f>
        <v>19</v>
      </c>
      <c r="K205" s="2">
        <f>INDEX(Locations!$A:$A,MATCH(I205,Locations!$B:$B,0))</f>
        <v>11</v>
      </c>
    </row>
    <row r="206" spans="1:11" x14ac:dyDescent="0.2">
      <c r="A206" s="3">
        <v>205</v>
      </c>
      <c r="B206" t="s">
        <v>513</v>
      </c>
      <c r="C206" t="s">
        <v>283</v>
      </c>
      <c r="D206" s="1">
        <v>39177</v>
      </c>
      <c r="E206" t="s">
        <v>109</v>
      </c>
      <c r="F206">
        <v>2</v>
      </c>
      <c r="G206" t="s">
        <v>778</v>
      </c>
      <c r="H206" s="2">
        <v>119</v>
      </c>
      <c r="I206" t="s">
        <v>233</v>
      </c>
      <c r="J206" s="2">
        <f>INDEX(Positions!$A:$A,MATCH(E206,Positions!$B:$B,0))</f>
        <v>19</v>
      </c>
      <c r="K206" s="2">
        <f>INDEX(Locations!$A:$A,MATCH(I206,Locations!$B:$B,0))</f>
        <v>11</v>
      </c>
    </row>
    <row r="207" spans="1:11" x14ac:dyDescent="0.2">
      <c r="A207" s="3">
        <v>206</v>
      </c>
      <c r="B207" t="s">
        <v>267</v>
      </c>
      <c r="C207" t="s">
        <v>542</v>
      </c>
      <c r="D207" s="1">
        <v>32250</v>
      </c>
      <c r="E207" t="s">
        <v>101</v>
      </c>
      <c r="F207">
        <v>5</v>
      </c>
      <c r="G207" t="s">
        <v>779</v>
      </c>
      <c r="H207" s="2">
        <v>65</v>
      </c>
      <c r="I207" t="s">
        <v>233</v>
      </c>
      <c r="J207" s="2">
        <f>INDEX(Positions!$A:$A,MATCH(E207,Positions!$B:$B,0))</f>
        <v>76</v>
      </c>
      <c r="K207" s="2">
        <f>INDEX(Locations!$A:$A,MATCH(I207,Locations!$B:$B,0))</f>
        <v>11</v>
      </c>
    </row>
    <row r="208" spans="1:11" x14ac:dyDescent="0.2">
      <c r="A208" s="3">
        <v>207</v>
      </c>
      <c r="B208" t="s">
        <v>170</v>
      </c>
      <c r="C208" t="s">
        <v>481</v>
      </c>
      <c r="D208" s="1">
        <v>29395</v>
      </c>
      <c r="E208" t="s">
        <v>118</v>
      </c>
      <c r="F208">
        <v>3</v>
      </c>
      <c r="G208" t="s">
        <v>780</v>
      </c>
      <c r="H208" s="2">
        <v>119</v>
      </c>
      <c r="I208" t="s">
        <v>233</v>
      </c>
      <c r="J208" s="2">
        <f>INDEX(Positions!$A:$A,MATCH(E208,Positions!$B:$B,0))</f>
        <v>28</v>
      </c>
      <c r="K208" s="2">
        <f>INDEX(Locations!$A:$A,MATCH(I208,Locations!$B:$B,0))</f>
        <v>11</v>
      </c>
    </row>
    <row r="209" spans="1:11" x14ac:dyDescent="0.2">
      <c r="A209" s="3">
        <v>208</v>
      </c>
      <c r="B209" t="s">
        <v>346</v>
      </c>
      <c r="C209" t="s">
        <v>320</v>
      </c>
      <c r="D209" s="1">
        <v>33784</v>
      </c>
      <c r="E209" t="s">
        <v>118</v>
      </c>
      <c r="F209">
        <v>3</v>
      </c>
      <c r="G209" t="s">
        <v>781</v>
      </c>
      <c r="H209" s="2">
        <v>183</v>
      </c>
      <c r="I209" t="s">
        <v>92</v>
      </c>
      <c r="J209" s="2">
        <f>INDEX(Positions!$A:$A,MATCH(E209,Positions!$B:$B,0))</f>
        <v>28</v>
      </c>
      <c r="K209" s="2">
        <f>INDEX(Locations!$A:$A,MATCH(I209,Locations!$B:$B,0))</f>
        <v>6</v>
      </c>
    </row>
    <row r="210" spans="1:11" x14ac:dyDescent="0.2">
      <c r="A210" s="3">
        <v>209</v>
      </c>
      <c r="B210" t="s">
        <v>59</v>
      </c>
      <c r="C210" t="s">
        <v>130</v>
      </c>
      <c r="D210" s="1">
        <v>34043</v>
      </c>
      <c r="E210" t="s">
        <v>101</v>
      </c>
      <c r="F210">
        <v>5</v>
      </c>
      <c r="G210" t="s">
        <v>782</v>
      </c>
      <c r="H210" s="2">
        <v>136</v>
      </c>
      <c r="I210" t="s">
        <v>92</v>
      </c>
      <c r="J210" s="2">
        <f>INDEX(Positions!$A:$A,MATCH(E210,Positions!$B:$B,0))</f>
        <v>76</v>
      </c>
      <c r="K210" s="2">
        <f>INDEX(Locations!$A:$A,MATCH(I210,Locations!$B:$B,0))</f>
        <v>6</v>
      </c>
    </row>
    <row r="211" spans="1:11" x14ac:dyDescent="0.2">
      <c r="A211" s="3">
        <v>210</v>
      </c>
      <c r="B211" t="s">
        <v>165</v>
      </c>
      <c r="C211" t="s">
        <v>399</v>
      </c>
      <c r="D211" s="1">
        <v>36272</v>
      </c>
      <c r="E211" t="s">
        <v>104</v>
      </c>
      <c r="F211">
        <v>1</v>
      </c>
      <c r="G211" t="s">
        <v>783</v>
      </c>
      <c r="H211" s="2">
        <v>206</v>
      </c>
      <c r="I211" t="s">
        <v>233</v>
      </c>
      <c r="J211" s="2">
        <f>INDEX(Positions!$A:$A,MATCH(E211,Positions!$B:$B,0))</f>
        <v>6</v>
      </c>
      <c r="K211" s="2">
        <f>INDEX(Locations!$A:$A,MATCH(I211,Locations!$B:$B,0))</f>
        <v>11</v>
      </c>
    </row>
    <row r="212" spans="1:11" x14ac:dyDescent="0.2">
      <c r="A212" s="3">
        <v>211</v>
      </c>
      <c r="B212" t="s">
        <v>110</v>
      </c>
      <c r="C212" t="s">
        <v>472</v>
      </c>
      <c r="D212" s="1">
        <v>31246</v>
      </c>
      <c r="E212" t="s">
        <v>101</v>
      </c>
      <c r="F212">
        <v>5</v>
      </c>
      <c r="G212" t="s">
        <v>784</v>
      </c>
      <c r="H212" s="2">
        <v>97</v>
      </c>
      <c r="I212" t="s">
        <v>233</v>
      </c>
      <c r="J212" s="2">
        <f>INDEX(Positions!$A:$A,MATCH(E212,Positions!$B:$B,0))</f>
        <v>76</v>
      </c>
      <c r="K212" s="2">
        <f>INDEX(Locations!$A:$A,MATCH(I212,Locations!$B:$B,0))</f>
        <v>11</v>
      </c>
    </row>
    <row r="213" spans="1:11" x14ac:dyDescent="0.2">
      <c r="A213" s="3">
        <v>212</v>
      </c>
      <c r="B213" t="s">
        <v>387</v>
      </c>
      <c r="C213" t="s">
        <v>318</v>
      </c>
      <c r="D213" s="1">
        <v>37808</v>
      </c>
      <c r="E213" t="s">
        <v>109</v>
      </c>
      <c r="F213">
        <v>2</v>
      </c>
      <c r="G213" t="s">
        <v>785</v>
      </c>
      <c r="H213" s="2">
        <v>148</v>
      </c>
      <c r="I213" t="s">
        <v>92</v>
      </c>
      <c r="J213" s="2">
        <f>INDEX(Positions!$A:$A,MATCH(E213,Positions!$B:$B,0))</f>
        <v>19</v>
      </c>
      <c r="K213" s="2">
        <f>INDEX(Locations!$A:$A,MATCH(I213,Locations!$B:$B,0))</f>
        <v>6</v>
      </c>
    </row>
    <row r="214" spans="1:11" x14ac:dyDescent="0.2">
      <c r="A214" s="3">
        <v>213</v>
      </c>
      <c r="B214" t="s">
        <v>204</v>
      </c>
      <c r="C214" t="s">
        <v>198</v>
      </c>
      <c r="D214" s="1">
        <v>32866</v>
      </c>
      <c r="E214" t="s">
        <v>124</v>
      </c>
      <c r="F214">
        <v>4</v>
      </c>
      <c r="G214" t="s">
        <v>786</v>
      </c>
      <c r="H214" s="2">
        <v>148</v>
      </c>
      <c r="I214" t="s">
        <v>92</v>
      </c>
      <c r="J214" s="2">
        <f>INDEX(Positions!$A:$A,MATCH(E214,Positions!$B:$B,0))</f>
        <v>58</v>
      </c>
      <c r="K214" s="2">
        <f>INDEX(Locations!$A:$A,MATCH(I214,Locations!$B:$B,0))</f>
        <v>6</v>
      </c>
    </row>
    <row r="215" spans="1:11" x14ac:dyDescent="0.2">
      <c r="A215" s="3">
        <v>214</v>
      </c>
      <c r="B215" t="s">
        <v>176</v>
      </c>
      <c r="C215" t="s">
        <v>135</v>
      </c>
      <c r="D215" s="1">
        <v>34420</v>
      </c>
      <c r="E215" t="s">
        <v>118</v>
      </c>
      <c r="F215">
        <v>3</v>
      </c>
      <c r="G215" t="s">
        <v>787</v>
      </c>
      <c r="H215" s="2">
        <v>183</v>
      </c>
      <c r="I215" t="s">
        <v>92</v>
      </c>
      <c r="J215" s="2">
        <f>INDEX(Positions!$A:$A,MATCH(E215,Positions!$B:$B,0))</f>
        <v>28</v>
      </c>
      <c r="K215" s="2">
        <f>INDEX(Locations!$A:$A,MATCH(I215,Locations!$B:$B,0))</f>
        <v>6</v>
      </c>
    </row>
    <row r="216" spans="1:11" x14ac:dyDescent="0.2">
      <c r="A216" s="3">
        <v>215</v>
      </c>
      <c r="B216" t="s">
        <v>360</v>
      </c>
      <c r="C216" t="s">
        <v>318</v>
      </c>
      <c r="D216" s="1">
        <v>34642</v>
      </c>
      <c r="E216" t="s">
        <v>118</v>
      </c>
      <c r="F216">
        <v>3</v>
      </c>
      <c r="G216" t="s">
        <v>788</v>
      </c>
      <c r="H216" s="2">
        <v>206</v>
      </c>
      <c r="I216" t="s">
        <v>233</v>
      </c>
      <c r="J216" s="2">
        <f>INDEX(Positions!$A:$A,MATCH(E216,Positions!$B:$B,0))</f>
        <v>28</v>
      </c>
      <c r="K216" s="2">
        <f>INDEX(Locations!$A:$A,MATCH(I216,Locations!$B:$B,0))</f>
        <v>11</v>
      </c>
    </row>
    <row r="217" spans="1:11" x14ac:dyDescent="0.2">
      <c r="A217" s="3">
        <v>216</v>
      </c>
      <c r="B217" t="s">
        <v>452</v>
      </c>
      <c r="C217" t="s">
        <v>789</v>
      </c>
      <c r="D217" s="1">
        <v>34565</v>
      </c>
      <c r="E217" t="s">
        <v>109</v>
      </c>
      <c r="F217">
        <v>2</v>
      </c>
      <c r="G217" t="s">
        <v>790</v>
      </c>
      <c r="H217" s="2">
        <v>144</v>
      </c>
      <c r="I217" t="s">
        <v>92</v>
      </c>
      <c r="J217" s="2">
        <f>INDEX(Positions!$A:$A,MATCH(E217,Positions!$B:$B,0))</f>
        <v>19</v>
      </c>
      <c r="K217" s="2">
        <f>INDEX(Locations!$A:$A,MATCH(I217,Locations!$B:$B,0))</f>
        <v>6</v>
      </c>
    </row>
    <row r="218" spans="1:11" x14ac:dyDescent="0.2">
      <c r="A218" s="3">
        <v>217</v>
      </c>
      <c r="B218" t="s">
        <v>387</v>
      </c>
      <c r="C218" t="s">
        <v>740</v>
      </c>
      <c r="D218" s="1">
        <v>32065</v>
      </c>
      <c r="E218" t="s">
        <v>95</v>
      </c>
      <c r="F218">
        <v>6</v>
      </c>
      <c r="G218" t="s">
        <v>791</v>
      </c>
      <c r="H218" s="2">
        <v>101</v>
      </c>
      <c r="I218" t="s">
        <v>92</v>
      </c>
      <c r="J218" s="2">
        <f>INDEX(Positions!$A:$A,MATCH(E218,Positions!$B:$B,0))</f>
        <v>89</v>
      </c>
      <c r="K218" s="2">
        <f>INDEX(Locations!$A:$A,MATCH(I218,Locations!$B:$B,0))</f>
        <v>6</v>
      </c>
    </row>
    <row r="219" spans="1:11" x14ac:dyDescent="0.2">
      <c r="A219" s="3">
        <v>218</v>
      </c>
      <c r="B219" t="s">
        <v>433</v>
      </c>
      <c r="C219" t="s">
        <v>192</v>
      </c>
      <c r="D219" s="1">
        <v>35546</v>
      </c>
      <c r="E219" t="s">
        <v>118</v>
      </c>
      <c r="F219">
        <v>3</v>
      </c>
      <c r="G219" t="s">
        <v>792</v>
      </c>
      <c r="H219" s="2">
        <v>193</v>
      </c>
      <c r="I219" t="s">
        <v>233</v>
      </c>
      <c r="J219" s="2">
        <f>INDEX(Positions!$A:$A,MATCH(E219,Positions!$B:$B,0))</f>
        <v>28</v>
      </c>
      <c r="K219" s="2">
        <f>INDEX(Locations!$A:$A,MATCH(I219,Locations!$B:$B,0))</f>
        <v>11</v>
      </c>
    </row>
    <row r="220" spans="1:11" x14ac:dyDescent="0.2">
      <c r="A220" s="3">
        <v>219</v>
      </c>
      <c r="B220" t="s">
        <v>486</v>
      </c>
      <c r="C220" t="s">
        <v>236</v>
      </c>
      <c r="D220" s="1">
        <v>38657</v>
      </c>
      <c r="E220" t="s">
        <v>104</v>
      </c>
      <c r="F220">
        <v>1</v>
      </c>
      <c r="G220" t="s">
        <v>793</v>
      </c>
      <c r="H220" s="2">
        <v>119</v>
      </c>
      <c r="I220" t="s">
        <v>233</v>
      </c>
      <c r="J220" s="2">
        <f>INDEX(Positions!$A:$A,MATCH(E220,Positions!$B:$B,0))</f>
        <v>6</v>
      </c>
      <c r="K220" s="2">
        <f>INDEX(Locations!$A:$A,MATCH(I220,Locations!$B:$B,0))</f>
        <v>11</v>
      </c>
    </row>
    <row r="221" spans="1:11" x14ac:dyDescent="0.2">
      <c r="A221" s="3">
        <v>220</v>
      </c>
      <c r="B221" t="s">
        <v>308</v>
      </c>
      <c r="C221" t="s">
        <v>462</v>
      </c>
      <c r="D221" s="1">
        <v>35906</v>
      </c>
      <c r="E221" t="s">
        <v>104</v>
      </c>
      <c r="F221">
        <v>1</v>
      </c>
      <c r="G221" t="s">
        <v>794</v>
      </c>
      <c r="H221" s="2">
        <v>193</v>
      </c>
      <c r="I221" t="s">
        <v>233</v>
      </c>
      <c r="J221" s="2">
        <f>INDEX(Positions!$A:$A,MATCH(E221,Positions!$B:$B,0))</f>
        <v>6</v>
      </c>
      <c r="K221" s="2">
        <f>INDEX(Locations!$A:$A,MATCH(I221,Locations!$B:$B,0))</f>
        <v>11</v>
      </c>
    </row>
    <row r="222" spans="1:11" x14ac:dyDescent="0.2">
      <c r="A222" s="3">
        <v>221</v>
      </c>
      <c r="B222" t="s">
        <v>63</v>
      </c>
      <c r="C222" t="s">
        <v>168</v>
      </c>
      <c r="D222" s="1">
        <v>32693</v>
      </c>
      <c r="E222" t="s">
        <v>109</v>
      </c>
      <c r="F222">
        <v>2</v>
      </c>
      <c r="G222" t="s">
        <v>795</v>
      </c>
      <c r="H222" s="2">
        <v>193</v>
      </c>
      <c r="I222" t="s">
        <v>233</v>
      </c>
      <c r="J222" s="2">
        <f>INDEX(Positions!$A:$A,MATCH(E222,Positions!$B:$B,0))</f>
        <v>19</v>
      </c>
      <c r="K222" s="2">
        <f>INDEX(Locations!$A:$A,MATCH(I222,Locations!$B:$B,0))</f>
        <v>11</v>
      </c>
    </row>
    <row r="223" spans="1:11" x14ac:dyDescent="0.2">
      <c r="A223" s="3">
        <v>222</v>
      </c>
      <c r="B223" t="s">
        <v>433</v>
      </c>
      <c r="C223" t="s">
        <v>208</v>
      </c>
      <c r="D223" s="1">
        <v>36052</v>
      </c>
      <c r="E223" t="s">
        <v>109</v>
      </c>
      <c r="F223">
        <v>2</v>
      </c>
      <c r="G223" t="s">
        <v>796</v>
      </c>
      <c r="H223" s="2">
        <v>209</v>
      </c>
      <c r="I223" t="s">
        <v>92</v>
      </c>
      <c r="J223" s="2">
        <f>INDEX(Positions!$A:$A,MATCH(E223,Positions!$B:$B,0))</f>
        <v>19</v>
      </c>
      <c r="K223" s="2">
        <f>INDEX(Locations!$A:$A,MATCH(I223,Locations!$B:$B,0))</f>
        <v>6</v>
      </c>
    </row>
    <row r="224" spans="1:11" x14ac:dyDescent="0.2">
      <c r="A224" s="3">
        <v>223</v>
      </c>
      <c r="B224" t="s">
        <v>191</v>
      </c>
      <c r="C224" t="s">
        <v>294</v>
      </c>
      <c r="D224" s="1">
        <v>35759</v>
      </c>
      <c r="E224" t="s">
        <v>109</v>
      </c>
      <c r="F224">
        <v>2</v>
      </c>
      <c r="G224" t="s">
        <v>797</v>
      </c>
      <c r="H224" s="2">
        <v>206</v>
      </c>
      <c r="I224" t="s">
        <v>233</v>
      </c>
      <c r="J224" s="2">
        <f>INDEX(Positions!$A:$A,MATCH(E224,Positions!$B:$B,0))</f>
        <v>19</v>
      </c>
      <c r="K224" s="2">
        <f>INDEX(Locations!$A:$A,MATCH(I224,Locations!$B:$B,0))</f>
        <v>11</v>
      </c>
    </row>
    <row r="225" spans="1:11" x14ac:dyDescent="0.2">
      <c r="A225" s="3">
        <v>224</v>
      </c>
      <c r="B225" t="s">
        <v>379</v>
      </c>
      <c r="C225" t="s">
        <v>249</v>
      </c>
      <c r="D225" s="1">
        <v>33475</v>
      </c>
      <c r="E225" t="s">
        <v>118</v>
      </c>
      <c r="F225">
        <v>3</v>
      </c>
      <c r="G225" t="s">
        <v>798</v>
      </c>
      <c r="H225" s="2">
        <v>152</v>
      </c>
      <c r="I225" t="s">
        <v>92</v>
      </c>
      <c r="J225" s="2">
        <f>INDEX(Positions!$A:$A,MATCH(E225,Positions!$B:$B,0))</f>
        <v>28</v>
      </c>
      <c r="K225" s="2">
        <f>INDEX(Locations!$A:$A,MATCH(I225,Locations!$B:$B,0))</f>
        <v>6</v>
      </c>
    </row>
    <row r="226" spans="1:11" x14ac:dyDescent="0.2">
      <c r="A226" s="3">
        <v>225</v>
      </c>
      <c r="B226" t="s">
        <v>227</v>
      </c>
      <c r="C226" t="s">
        <v>359</v>
      </c>
      <c r="D226" s="1">
        <v>36436</v>
      </c>
      <c r="E226" t="s">
        <v>124</v>
      </c>
      <c r="F226">
        <v>4</v>
      </c>
      <c r="G226" t="s">
        <v>799</v>
      </c>
      <c r="H226" s="2">
        <v>152</v>
      </c>
      <c r="I226" t="s">
        <v>92</v>
      </c>
      <c r="J226" s="2">
        <f>INDEX(Positions!$A:$A,MATCH(E226,Positions!$B:$B,0))</f>
        <v>58</v>
      </c>
      <c r="K226" s="2">
        <f>INDEX(Locations!$A:$A,MATCH(I226,Locations!$B:$B,0))</f>
        <v>6</v>
      </c>
    </row>
    <row r="227" spans="1:11" x14ac:dyDescent="0.2">
      <c r="A227" s="3">
        <v>226</v>
      </c>
      <c r="B227" t="s">
        <v>285</v>
      </c>
      <c r="C227" t="s">
        <v>198</v>
      </c>
      <c r="D227" s="1">
        <v>33152</v>
      </c>
      <c r="E227" t="s">
        <v>101</v>
      </c>
      <c r="F227">
        <v>5</v>
      </c>
      <c r="G227" t="s">
        <v>800</v>
      </c>
      <c r="H227" s="2">
        <v>192</v>
      </c>
      <c r="I227" t="s">
        <v>92</v>
      </c>
      <c r="J227" s="2">
        <f>INDEX(Positions!$A:$A,MATCH(E227,Positions!$B:$B,0))</f>
        <v>76</v>
      </c>
      <c r="K227" s="2">
        <f>INDEX(Locations!$A:$A,MATCH(I227,Locations!$B:$B,0))</f>
        <v>6</v>
      </c>
    </row>
    <row r="228" spans="1:11" x14ac:dyDescent="0.2">
      <c r="A228" s="3">
        <v>227</v>
      </c>
      <c r="B228" t="s">
        <v>258</v>
      </c>
      <c r="C228" t="s">
        <v>324</v>
      </c>
      <c r="D228" s="1">
        <v>36336</v>
      </c>
      <c r="E228" t="s">
        <v>109</v>
      </c>
      <c r="F228">
        <v>2</v>
      </c>
      <c r="G228" t="s">
        <v>801</v>
      </c>
      <c r="H228" s="2">
        <v>148</v>
      </c>
      <c r="I228" t="s">
        <v>92</v>
      </c>
      <c r="J228" s="2">
        <f>INDEX(Positions!$A:$A,MATCH(E228,Positions!$B:$B,0))</f>
        <v>19</v>
      </c>
      <c r="K228" s="2">
        <f>INDEX(Locations!$A:$A,MATCH(I228,Locations!$B:$B,0))</f>
        <v>6</v>
      </c>
    </row>
    <row r="229" spans="1:11" x14ac:dyDescent="0.2">
      <c r="A229" s="3">
        <v>228</v>
      </c>
      <c r="B229" t="s">
        <v>165</v>
      </c>
      <c r="C229" t="s">
        <v>802</v>
      </c>
      <c r="D229" s="1">
        <v>38394</v>
      </c>
      <c r="E229" t="s">
        <v>104</v>
      </c>
      <c r="F229">
        <v>1</v>
      </c>
      <c r="G229" t="s">
        <v>803</v>
      </c>
      <c r="H229" s="2">
        <v>152</v>
      </c>
      <c r="I229" t="s">
        <v>92</v>
      </c>
      <c r="J229" s="2">
        <f>INDEX(Positions!$A:$A,MATCH(E229,Positions!$B:$B,0))</f>
        <v>6</v>
      </c>
      <c r="K229" s="2">
        <f>INDEX(Locations!$A:$A,MATCH(I229,Locations!$B:$B,0))</f>
        <v>6</v>
      </c>
    </row>
    <row r="230" spans="1:11" x14ac:dyDescent="0.2">
      <c r="A230" s="3">
        <v>229</v>
      </c>
      <c r="B230" t="s">
        <v>471</v>
      </c>
      <c r="C230" t="s">
        <v>323</v>
      </c>
      <c r="D230" s="1">
        <v>34363</v>
      </c>
      <c r="E230" t="s">
        <v>118</v>
      </c>
      <c r="F230">
        <v>3</v>
      </c>
      <c r="G230" t="s">
        <v>804</v>
      </c>
      <c r="H230" s="2">
        <v>211</v>
      </c>
      <c r="I230" t="s">
        <v>233</v>
      </c>
      <c r="J230" s="2">
        <f>INDEX(Positions!$A:$A,MATCH(E230,Positions!$B:$B,0))</f>
        <v>28</v>
      </c>
      <c r="K230" s="2">
        <f>INDEX(Locations!$A:$A,MATCH(I230,Locations!$B:$B,0))</f>
        <v>11</v>
      </c>
    </row>
    <row r="231" spans="1:11" x14ac:dyDescent="0.2">
      <c r="A231" s="3">
        <v>230</v>
      </c>
      <c r="B231" t="s">
        <v>186</v>
      </c>
      <c r="C231" t="s">
        <v>173</v>
      </c>
      <c r="D231" s="1">
        <v>32832</v>
      </c>
      <c r="E231" t="s">
        <v>124</v>
      </c>
      <c r="F231">
        <v>4</v>
      </c>
      <c r="G231" t="s">
        <v>805</v>
      </c>
      <c r="H231" s="2">
        <v>144</v>
      </c>
      <c r="I231" t="s">
        <v>92</v>
      </c>
      <c r="J231" s="2">
        <f>INDEX(Positions!$A:$A,MATCH(E231,Positions!$B:$B,0))</f>
        <v>58</v>
      </c>
      <c r="K231" s="2">
        <f>INDEX(Locations!$A:$A,MATCH(I231,Locations!$B:$B,0))</f>
        <v>6</v>
      </c>
    </row>
    <row r="232" spans="1:11" x14ac:dyDescent="0.2">
      <c r="A232" s="3">
        <v>231</v>
      </c>
      <c r="B232" t="s">
        <v>331</v>
      </c>
      <c r="C232" t="s">
        <v>555</v>
      </c>
      <c r="D232" s="1">
        <v>28354</v>
      </c>
      <c r="E232" t="s">
        <v>101</v>
      </c>
      <c r="F232">
        <v>5</v>
      </c>
      <c r="G232" t="s">
        <v>806</v>
      </c>
      <c r="H232" s="2">
        <v>129</v>
      </c>
      <c r="I232" t="s">
        <v>92</v>
      </c>
      <c r="J232" s="2">
        <f>INDEX(Positions!$A:$A,MATCH(E232,Positions!$B:$B,0))</f>
        <v>76</v>
      </c>
      <c r="K232" s="2">
        <f>INDEX(Locations!$A:$A,MATCH(I232,Locations!$B:$B,0))</f>
        <v>6</v>
      </c>
    </row>
    <row r="233" spans="1:11" x14ac:dyDescent="0.2">
      <c r="A233" s="3">
        <v>232</v>
      </c>
      <c r="B233" t="s">
        <v>90</v>
      </c>
      <c r="C233" t="s">
        <v>76</v>
      </c>
      <c r="D233" s="1">
        <v>36091</v>
      </c>
      <c r="E233" t="s">
        <v>104</v>
      </c>
      <c r="F233">
        <v>1</v>
      </c>
      <c r="G233" t="s">
        <v>807</v>
      </c>
      <c r="H233" s="2">
        <v>148</v>
      </c>
      <c r="I233" t="s">
        <v>92</v>
      </c>
      <c r="J233" s="2">
        <f>INDEX(Positions!$A:$A,MATCH(E233,Positions!$B:$B,0))</f>
        <v>6</v>
      </c>
      <c r="K233" s="2">
        <f>INDEX(Locations!$A:$A,MATCH(I233,Locations!$B:$B,0))</f>
        <v>6</v>
      </c>
    </row>
    <row r="234" spans="1:11" x14ac:dyDescent="0.2">
      <c r="A234" s="3">
        <v>233</v>
      </c>
      <c r="B234" t="s">
        <v>127</v>
      </c>
      <c r="C234" t="s">
        <v>106</v>
      </c>
      <c r="D234" s="1">
        <v>36780</v>
      </c>
      <c r="E234" t="s">
        <v>109</v>
      </c>
      <c r="F234">
        <v>2</v>
      </c>
      <c r="G234" t="s">
        <v>808</v>
      </c>
      <c r="H234" s="2">
        <v>231</v>
      </c>
      <c r="I234" t="s">
        <v>92</v>
      </c>
      <c r="J234" s="2">
        <f>INDEX(Positions!$A:$A,MATCH(E234,Positions!$B:$B,0))</f>
        <v>19</v>
      </c>
      <c r="K234" s="2">
        <f>INDEX(Locations!$A:$A,MATCH(I234,Locations!$B:$B,0))</f>
        <v>6</v>
      </c>
    </row>
    <row r="235" spans="1:11" x14ac:dyDescent="0.2">
      <c r="A235" s="3">
        <v>234</v>
      </c>
      <c r="B235" t="s">
        <v>129</v>
      </c>
      <c r="C235" t="s">
        <v>266</v>
      </c>
      <c r="D235" s="1">
        <v>35840</v>
      </c>
      <c r="E235" t="s">
        <v>109</v>
      </c>
      <c r="F235">
        <v>2</v>
      </c>
      <c r="G235" t="s">
        <v>809</v>
      </c>
      <c r="H235" s="2">
        <v>145</v>
      </c>
      <c r="I235" t="s">
        <v>92</v>
      </c>
      <c r="J235" s="2">
        <f>INDEX(Positions!$A:$A,MATCH(E235,Positions!$B:$B,0))</f>
        <v>19</v>
      </c>
      <c r="K235" s="2">
        <f>INDEX(Locations!$A:$A,MATCH(I235,Locations!$B:$B,0))</f>
        <v>6</v>
      </c>
    </row>
    <row r="236" spans="1:11" x14ac:dyDescent="0.2">
      <c r="A236" s="3">
        <v>235</v>
      </c>
      <c r="B236" t="s">
        <v>163</v>
      </c>
      <c r="C236" t="s">
        <v>488</v>
      </c>
      <c r="D236" s="1">
        <v>34855</v>
      </c>
      <c r="E236" t="s">
        <v>104</v>
      </c>
      <c r="F236">
        <v>1</v>
      </c>
      <c r="G236" t="s">
        <v>810</v>
      </c>
      <c r="H236" s="2">
        <v>226</v>
      </c>
      <c r="I236" t="s">
        <v>92</v>
      </c>
      <c r="J236" s="2">
        <f>INDEX(Positions!$A:$A,MATCH(E236,Positions!$B:$B,0))</f>
        <v>6</v>
      </c>
      <c r="K236" s="2">
        <f>INDEX(Locations!$A:$A,MATCH(I236,Locations!$B:$B,0))</f>
        <v>6</v>
      </c>
    </row>
    <row r="237" spans="1:11" x14ac:dyDescent="0.2">
      <c r="A237" s="3">
        <v>236</v>
      </c>
      <c r="B237" t="s">
        <v>437</v>
      </c>
      <c r="C237" t="s">
        <v>716</v>
      </c>
      <c r="D237" s="1">
        <v>38171</v>
      </c>
      <c r="E237" t="s">
        <v>109</v>
      </c>
      <c r="F237">
        <v>2</v>
      </c>
      <c r="G237" t="s">
        <v>811</v>
      </c>
      <c r="H237" s="2">
        <v>226</v>
      </c>
      <c r="I237" t="s">
        <v>92</v>
      </c>
      <c r="J237" s="2">
        <f>INDEX(Positions!$A:$A,MATCH(E237,Positions!$B:$B,0))</f>
        <v>19</v>
      </c>
      <c r="K237" s="2">
        <f>INDEX(Locations!$A:$A,MATCH(I237,Locations!$B:$B,0))</f>
        <v>6</v>
      </c>
    </row>
    <row r="238" spans="1:11" x14ac:dyDescent="0.2">
      <c r="A238" s="3">
        <v>237</v>
      </c>
      <c r="B238" t="s">
        <v>217</v>
      </c>
      <c r="C238" t="s">
        <v>479</v>
      </c>
      <c r="D238" s="1">
        <v>36136</v>
      </c>
      <c r="E238" t="s">
        <v>109</v>
      </c>
      <c r="F238">
        <v>2</v>
      </c>
      <c r="G238" t="s">
        <v>812</v>
      </c>
      <c r="H238" s="2">
        <v>206</v>
      </c>
      <c r="I238" t="s">
        <v>233</v>
      </c>
      <c r="J238" s="2">
        <f>INDEX(Positions!$A:$A,MATCH(E238,Positions!$B:$B,0))</f>
        <v>19</v>
      </c>
      <c r="K238" s="2">
        <f>INDEX(Locations!$A:$A,MATCH(I238,Locations!$B:$B,0))</f>
        <v>11</v>
      </c>
    </row>
    <row r="239" spans="1:11" x14ac:dyDescent="0.2">
      <c r="A239" s="3">
        <v>238</v>
      </c>
      <c r="B239" t="s">
        <v>279</v>
      </c>
      <c r="C239" t="s">
        <v>304</v>
      </c>
      <c r="D239" s="1">
        <v>39029</v>
      </c>
      <c r="E239" t="s">
        <v>109</v>
      </c>
      <c r="F239">
        <v>2</v>
      </c>
      <c r="G239" t="s">
        <v>813</v>
      </c>
      <c r="H239" s="2">
        <v>145</v>
      </c>
      <c r="I239" t="s">
        <v>92</v>
      </c>
      <c r="J239" s="2">
        <f>INDEX(Positions!$A:$A,MATCH(E239,Positions!$B:$B,0))</f>
        <v>19</v>
      </c>
      <c r="K239" s="2">
        <f>INDEX(Locations!$A:$A,MATCH(I239,Locations!$B:$B,0))</f>
        <v>6</v>
      </c>
    </row>
    <row r="240" spans="1:11" x14ac:dyDescent="0.2">
      <c r="A240" s="3">
        <v>239</v>
      </c>
      <c r="B240" t="s">
        <v>374</v>
      </c>
      <c r="C240" t="s">
        <v>206</v>
      </c>
      <c r="D240" s="1">
        <v>34536</v>
      </c>
      <c r="E240" t="s">
        <v>101</v>
      </c>
      <c r="F240">
        <v>5</v>
      </c>
      <c r="G240" t="s">
        <v>814</v>
      </c>
      <c r="H240" s="2">
        <v>217</v>
      </c>
      <c r="I240" t="s">
        <v>92</v>
      </c>
      <c r="J240" s="2">
        <f>INDEX(Positions!$A:$A,MATCH(E240,Positions!$B:$B,0))</f>
        <v>76</v>
      </c>
      <c r="K240" s="2">
        <f>INDEX(Locations!$A:$A,MATCH(I240,Locations!$B:$B,0))</f>
        <v>6</v>
      </c>
    </row>
    <row r="241" spans="1:11" x14ac:dyDescent="0.2">
      <c r="A241" s="3">
        <v>240</v>
      </c>
      <c r="B241" t="s">
        <v>311</v>
      </c>
      <c r="C241" t="s">
        <v>218</v>
      </c>
      <c r="D241" s="1">
        <v>38832</v>
      </c>
      <c r="E241" t="s">
        <v>109</v>
      </c>
      <c r="F241">
        <v>2</v>
      </c>
      <c r="G241" t="s">
        <v>815</v>
      </c>
      <c r="H241" s="2">
        <v>209</v>
      </c>
      <c r="I241" t="s">
        <v>92</v>
      </c>
      <c r="J241" s="2">
        <f>INDEX(Positions!$A:$A,MATCH(E241,Positions!$B:$B,0))</f>
        <v>19</v>
      </c>
      <c r="K241" s="2">
        <f>INDEX(Locations!$A:$A,MATCH(I241,Locations!$B:$B,0))</f>
        <v>6</v>
      </c>
    </row>
    <row r="242" spans="1:11" x14ac:dyDescent="0.2">
      <c r="A242" s="3">
        <v>241</v>
      </c>
      <c r="B242" t="s">
        <v>293</v>
      </c>
      <c r="C242" t="s">
        <v>175</v>
      </c>
      <c r="D242" s="1">
        <v>33423</v>
      </c>
      <c r="E242" t="s">
        <v>109</v>
      </c>
      <c r="F242">
        <v>2</v>
      </c>
      <c r="G242" t="s">
        <v>816</v>
      </c>
      <c r="H242" s="2">
        <v>131</v>
      </c>
      <c r="I242" t="s">
        <v>89</v>
      </c>
      <c r="J242" s="2">
        <f>INDEX(Positions!$A:$A,MATCH(E242,Positions!$B:$B,0))</f>
        <v>19</v>
      </c>
      <c r="K242" s="2">
        <f>INDEX(Locations!$A:$A,MATCH(I242,Locations!$B:$B,0))</f>
        <v>8</v>
      </c>
    </row>
    <row r="243" spans="1:11" x14ac:dyDescent="0.2">
      <c r="A243" s="3">
        <v>242</v>
      </c>
      <c r="B243" t="s">
        <v>139</v>
      </c>
      <c r="C243" t="s">
        <v>327</v>
      </c>
      <c r="D243" s="1">
        <v>39231</v>
      </c>
      <c r="E243" t="s">
        <v>109</v>
      </c>
      <c r="F243">
        <v>2</v>
      </c>
      <c r="G243" t="s">
        <v>817</v>
      </c>
      <c r="H243" s="2">
        <v>239</v>
      </c>
      <c r="I243" t="s">
        <v>92</v>
      </c>
      <c r="J243" s="2">
        <f>INDEX(Positions!$A:$A,MATCH(E243,Positions!$B:$B,0))</f>
        <v>19</v>
      </c>
      <c r="K243" s="2">
        <f>INDEX(Locations!$A:$A,MATCH(I243,Locations!$B:$B,0))</f>
        <v>6</v>
      </c>
    </row>
    <row r="244" spans="1:11" x14ac:dyDescent="0.2">
      <c r="A244" s="3">
        <v>243</v>
      </c>
      <c r="B244" t="s">
        <v>217</v>
      </c>
      <c r="C244" t="s">
        <v>512</v>
      </c>
      <c r="D244" s="1">
        <v>37185</v>
      </c>
      <c r="E244" t="s">
        <v>104</v>
      </c>
      <c r="F244">
        <v>1</v>
      </c>
      <c r="G244" t="s">
        <v>818</v>
      </c>
      <c r="H244" s="2">
        <v>193</v>
      </c>
      <c r="I244" t="s">
        <v>233</v>
      </c>
      <c r="J244" s="2">
        <f>INDEX(Positions!$A:$A,MATCH(E244,Positions!$B:$B,0))</f>
        <v>6</v>
      </c>
      <c r="K244" s="2">
        <f>INDEX(Locations!$A:$A,MATCH(I244,Locations!$B:$B,0))</f>
        <v>11</v>
      </c>
    </row>
    <row r="245" spans="1:11" x14ac:dyDescent="0.2">
      <c r="A245" s="3">
        <v>244</v>
      </c>
      <c r="B245" t="s">
        <v>268</v>
      </c>
      <c r="C245" t="s">
        <v>499</v>
      </c>
      <c r="D245" s="1">
        <v>33598</v>
      </c>
      <c r="E245" t="s">
        <v>109</v>
      </c>
      <c r="F245">
        <v>2</v>
      </c>
      <c r="G245" t="s">
        <v>819</v>
      </c>
      <c r="H245" s="2">
        <v>119</v>
      </c>
      <c r="I245" t="s">
        <v>233</v>
      </c>
      <c r="J245" s="2">
        <f>INDEX(Positions!$A:$A,MATCH(E245,Positions!$B:$B,0))</f>
        <v>19</v>
      </c>
      <c r="K245" s="2">
        <f>INDEX(Locations!$A:$A,MATCH(I245,Locations!$B:$B,0))</f>
        <v>11</v>
      </c>
    </row>
    <row r="246" spans="1:11" x14ac:dyDescent="0.2">
      <c r="A246" s="3">
        <v>245</v>
      </c>
      <c r="B246" t="s">
        <v>296</v>
      </c>
      <c r="C246" t="s">
        <v>377</v>
      </c>
      <c r="D246" s="1">
        <v>39213</v>
      </c>
      <c r="E246" t="s">
        <v>104</v>
      </c>
      <c r="F246">
        <v>1</v>
      </c>
      <c r="G246" t="s">
        <v>820</v>
      </c>
      <c r="H246" s="2">
        <v>231</v>
      </c>
      <c r="I246" t="s">
        <v>92</v>
      </c>
      <c r="J246" s="2">
        <f>INDEX(Positions!$A:$A,MATCH(E246,Positions!$B:$B,0))</f>
        <v>6</v>
      </c>
      <c r="K246" s="2">
        <f>INDEX(Locations!$A:$A,MATCH(I246,Locations!$B:$B,0))</f>
        <v>6</v>
      </c>
    </row>
    <row r="247" spans="1:11" x14ac:dyDescent="0.2">
      <c r="A247" s="3">
        <v>246</v>
      </c>
      <c r="B247" t="s">
        <v>159</v>
      </c>
      <c r="C247" t="s">
        <v>145</v>
      </c>
      <c r="D247" s="1">
        <v>37134</v>
      </c>
      <c r="E247" t="s">
        <v>109</v>
      </c>
      <c r="F247">
        <v>2</v>
      </c>
      <c r="G247" t="s">
        <v>413</v>
      </c>
      <c r="H247" s="2">
        <v>211</v>
      </c>
      <c r="I247" t="s">
        <v>233</v>
      </c>
      <c r="J247" s="2">
        <f>INDEX(Positions!$A:$A,MATCH(E247,Positions!$B:$B,0))</f>
        <v>19</v>
      </c>
      <c r="K247" s="2">
        <f>INDEX(Locations!$A:$A,MATCH(I247,Locations!$B:$B,0))</f>
        <v>11</v>
      </c>
    </row>
    <row r="248" spans="1:11" x14ac:dyDescent="0.2">
      <c r="A248" s="3">
        <v>247</v>
      </c>
      <c r="B248" t="s">
        <v>129</v>
      </c>
      <c r="C248" t="s">
        <v>318</v>
      </c>
      <c r="D248" s="1">
        <v>37610</v>
      </c>
      <c r="E248" t="s">
        <v>104</v>
      </c>
      <c r="F248">
        <v>1</v>
      </c>
      <c r="G248" t="s">
        <v>821</v>
      </c>
      <c r="H248" s="2">
        <v>206</v>
      </c>
      <c r="I248" t="s">
        <v>233</v>
      </c>
      <c r="J248" s="2">
        <f>INDEX(Positions!$A:$A,MATCH(E248,Positions!$B:$B,0))</f>
        <v>6</v>
      </c>
      <c r="K248" s="2">
        <f>INDEX(Locations!$A:$A,MATCH(I248,Locations!$B:$B,0))</f>
        <v>11</v>
      </c>
    </row>
    <row r="249" spans="1:11" x14ac:dyDescent="0.2">
      <c r="A249" s="3">
        <v>248</v>
      </c>
      <c r="B249" t="s">
        <v>310</v>
      </c>
      <c r="C249" t="s">
        <v>531</v>
      </c>
      <c r="D249" s="1">
        <v>37248</v>
      </c>
      <c r="E249" t="s">
        <v>109</v>
      </c>
      <c r="F249">
        <v>2</v>
      </c>
      <c r="G249" t="s">
        <v>822</v>
      </c>
      <c r="H249" s="2">
        <v>148</v>
      </c>
      <c r="I249" t="s">
        <v>92</v>
      </c>
      <c r="J249" s="2">
        <f>INDEX(Positions!$A:$A,MATCH(E249,Positions!$B:$B,0))</f>
        <v>19</v>
      </c>
      <c r="K249" s="2">
        <f>INDEX(Locations!$A:$A,MATCH(I249,Locations!$B:$B,0))</f>
        <v>6</v>
      </c>
    </row>
    <row r="250" spans="1:11" x14ac:dyDescent="0.2">
      <c r="A250" s="3">
        <v>249</v>
      </c>
      <c r="B250" t="s">
        <v>112</v>
      </c>
      <c r="C250" t="s">
        <v>499</v>
      </c>
      <c r="D250" s="1">
        <v>36057</v>
      </c>
      <c r="E250" t="s">
        <v>118</v>
      </c>
      <c r="F250">
        <v>3</v>
      </c>
      <c r="G250" t="s">
        <v>823</v>
      </c>
      <c r="H250" s="2">
        <v>209</v>
      </c>
      <c r="I250" t="s">
        <v>92</v>
      </c>
      <c r="J250" s="2">
        <f>INDEX(Positions!$A:$A,MATCH(E250,Positions!$B:$B,0))</f>
        <v>28</v>
      </c>
      <c r="K250" s="2">
        <f>INDEX(Locations!$A:$A,MATCH(I250,Locations!$B:$B,0))</f>
        <v>6</v>
      </c>
    </row>
    <row r="251" spans="1:11" x14ac:dyDescent="0.2">
      <c r="A251" s="3">
        <v>250</v>
      </c>
      <c r="B251" t="s">
        <v>261</v>
      </c>
      <c r="C251" t="s">
        <v>316</v>
      </c>
      <c r="D251" s="1">
        <v>34171</v>
      </c>
      <c r="E251" t="s">
        <v>118</v>
      </c>
      <c r="F251">
        <v>3</v>
      </c>
      <c r="G251" t="s">
        <v>824</v>
      </c>
      <c r="H251" s="2">
        <v>209</v>
      </c>
      <c r="I251" t="s">
        <v>92</v>
      </c>
      <c r="J251" s="2">
        <f>INDEX(Positions!$A:$A,MATCH(E251,Positions!$B:$B,0))</f>
        <v>28</v>
      </c>
      <c r="K251" s="2">
        <f>INDEX(Locations!$A:$A,MATCH(I251,Locations!$B:$B,0))</f>
        <v>6</v>
      </c>
    </row>
    <row r="252" spans="1:11" x14ac:dyDescent="0.2">
      <c r="A252" s="3">
        <v>251</v>
      </c>
      <c r="B252" t="s">
        <v>71</v>
      </c>
      <c r="C252" t="s">
        <v>802</v>
      </c>
      <c r="D252" s="1">
        <v>38463</v>
      </c>
      <c r="E252" t="s">
        <v>104</v>
      </c>
      <c r="F252">
        <v>1</v>
      </c>
      <c r="G252" t="s">
        <v>825</v>
      </c>
      <c r="H252" s="2">
        <v>209</v>
      </c>
      <c r="I252" t="s">
        <v>92</v>
      </c>
      <c r="J252" s="2">
        <f>INDEX(Positions!$A:$A,MATCH(E252,Positions!$B:$B,0))</f>
        <v>6</v>
      </c>
      <c r="K252" s="2">
        <f>INDEX(Locations!$A:$A,MATCH(I252,Locations!$B:$B,0))</f>
        <v>6</v>
      </c>
    </row>
    <row r="253" spans="1:11" x14ac:dyDescent="0.2">
      <c r="A253" s="3">
        <v>252</v>
      </c>
      <c r="B253" t="s">
        <v>116</v>
      </c>
      <c r="C253" t="s">
        <v>323</v>
      </c>
      <c r="D253" s="1">
        <v>30684</v>
      </c>
      <c r="E253" t="s">
        <v>101</v>
      </c>
      <c r="F253">
        <v>5</v>
      </c>
      <c r="G253" t="s">
        <v>826</v>
      </c>
      <c r="H253" s="2">
        <v>159</v>
      </c>
      <c r="I253" t="s">
        <v>92</v>
      </c>
      <c r="J253" s="2">
        <f>INDEX(Positions!$A:$A,MATCH(E253,Positions!$B:$B,0))</f>
        <v>76</v>
      </c>
      <c r="K253" s="2">
        <f>INDEX(Locations!$A:$A,MATCH(I253,Locations!$B:$B,0))</f>
        <v>6</v>
      </c>
    </row>
    <row r="254" spans="1:11" x14ac:dyDescent="0.2">
      <c r="A254" s="3">
        <v>253</v>
      </c>
      <c r="B254" t="s">
        <v>229</v>
      </c>
      <c r="C254" t="s">
        <v>164</v>
      </c>
      <c r="D254" s="1">
        <v>35922</v>
      </c>
      <c r="E254" t="s">
        <v>109</v>
      </c>
      <c r="F254">
        <v>2</v>
      </c>
      <c r="G254" t="s">
        <v>827</v>
      </c>
      <c r="H254" s="2">
        <v>226</v>
      </c>
      <c r="I254" t="s">
        <v>92</v>
      </c>
      <c r="J254" s="2">
        <f>INDEX(Positions!$A:$A,MATCH(E254,Positions!$B:$B,0))</f>
        <v>19</v>
      </c>
      <c r="K254" s="2">
        <f>INDEX(Locations!$A:$A,MATCH(I254,Locations!$B:$B,0))</f>
        <v>6</v>
      </c>
    </row>
    <row r="255" spans="1:11" x14ac:dyDescent="0.2">
      <c r="A255" s="3">
        <v>254</v>
      </c>
      <c r="B255" t="s">
        <v>551</v>
      </c>
      <c r="C255" t="s">
        <v>400</v>
      </c>
      <c r="D255" s="1">
        <v>31661</v>
      </c>
      <c r="E255" t="s">
        <v>124</v>
      </c>
      <c r="F255">
        <v>4</v>
      </c>
      <c r="G255" t="s">
        <v>828</v>
      </c>
      <c r="H255" s="2">
        <v>252</v>
      </c>
      <c r="I255" t="s">
        <v>92</v>
      </c>
      <c r="J255" s="2">
        <f>INDEX(Positions!$A:$A,MATCH(E255,Positions!$B:$B,0))</f>
        <v>58</v>
      </c>
      <c r="K255" s="2">
        <f>INDEX(Locations!$A:$A,MATCH(I255,Locations!$B:$B,0))</f>
        <v>6</v>
      </c>
    </row>
    <row r="256" spans="1:11" x14ac:dyDescent="0.2">
      <c r="A256" s="3">
        <v>255</v>
      </c>
      <c r="B256" t="s">
        <v>302</v>
      </c>
      <c r="C256" t="s">
        <v>309</v>
      </c>
      <c r="D256" s="1">
        <v>33653</v>
      </c>
      <c r="E256" t="s">
        <v>121</v>
      </c>
      <c r="F256">
        <v>3</v>
      </c>
      <c r="G256" t="s">
        <v>829</v>
      </c>
      <c r="H256" s="2">
        <v>206</v>
      </c>
      <c r="I256" t="s">
        <v>233</v>
      </c>
      <c r="J256" s="2">
        <f>INDEX(Positions!$A:$A,MATCH(E256,Positions!$B:$B,0))</f>
        <v>31</v>
      </c>
      <c r="K256" s="2">
        <f>INDEX(Locations!$A:$A,MATCH(I256,Locations!$B:$B,0))</f>
        <v>11</v>
      </c>
    </row>
    <row r="257" spans="1:11" x14ac:dyDescent="0.2">
      <c r="A257" s="3">
        <v>256</v>
      </c>
      <c r="B257" t="s">
        <v>461</v>
      </c>
      <c r="C257" t="s">
        <v>91</v>
      </c>
      <c r="D257" s="1">
        <v>33701</v>
      </c>
      <c r="E257" t="s">
        <v>121</v>
      </c>
      <c r="F257">
        <v>3</v>
      </c>
      <c r="G257" t="s">
        <v>830</v>
      </c>
      <c r="H257" s="2">
        <v>131</v>
      </c>
      <c r="I257" t="s">
        <v>233</v>
      </c>
      <c r="J257" s="2">
        <f>INDEX(Positions!$A:$A,MATCH(E257,Positions!$B:$B,0))</f>
        <v>31</v>
      </c>
      <c r="K257" s="2">
        <f>INDEX(Locations!$A:$A,MATCH(I257,Locations!$B:$B,0))</f>
        <v>11</v>
      </c>
    </row>
    <row r="258" spans="1:11" x14ac:dyDescent="0.2">
      <c r="A258" s="3">
        <v>257</v>
      </c>
      <c r="B258" t="s">
        <v>268</v>
      </c>
      <c r="C258" t="s">
        <v>344</v>
      </c>
      <c r="D258" s="1">
        <v>37436</v>
      </c>
      <c r="E258" t="s">
        <v>104</v>
      </c>
      <c r="F258">
        <v>1</v>
      </c>
      <c r="G258" t="s">
        <v>831</v>
      </c>
      <c r="H258" s="2">
        <v>148</v>
      </c>
      <c r="I258" t="s">
        <v>92</v>
      </c>
      <c r="J258" s="2">
        <f>INDEX(Positions!$A:$A,MATCH(E258,Positions!$B:$B,0))</f>
        <v>6</v>
      </c>
      <c r="K258" s="2">
        <f>INDEX(Locations!$A:$A,MATCH(I258,Locations!$B:$B,0))</f>
        <v>6</v>
      </c>
    </row>
    <row r="259" spans="1:11" x14ac:dyDescent="0.2">
      <c r="A259" s="3">
        <v>258</v>
      </c>
      <c r="B259" t="s">
        <v>423</v>
      </c>
      <c r="C259" t="s">
        <v>552</v>
      </c>
      <c r="D259" s="1">
        <v>29624</v>
      </c>
      <c r="E259" t="s">
        <v>124</v>
      </c>
      <c r="F259">
        <v>4</v>
      </c>
      <c r="G259" t="s">
        <v>832</v>
      </c>
      <c r="H259" s="2">
        <v>239</v>
      </c>
      <c r="I259" t="s">
        <v>92</v>
      </c>
      <c r="J259" s="2">
        <f>INDEX(Positions!$A:$A,MATCH(E259,Positions!$B:$B,0))</f>
        <v>58</v>
      </c>
      <c r="K259" s="2">
        <f>INDEX(Locations!$A:$A,MATCH(I259,Locations!$B:$B,0))</f>
        <v>6</v>
      </c>
    </row>
    <row r="260" spans="1:11" x14ac:dyDescent="0.2">
      <c r="A260" s="3">
        <v>259</v>
      </c>
      <c r="B260" t="s">
        <v>323</v>
      </c>
      <c r="C260" t="s">
        <v>135</v>
      </c>
      <c r="D260" s="1">
        <v>33863</v>
      </c>
      <c r="E260" t="s">
        <v>118</v>
      </c>
      <c r="F260">
        <v>3</v>
      </c>
      <c r="G260" t="s">
        <v>833</v>
      </c>
      <c r="H260" s="2">
        <v>148</v>
      </c>
      <c r="I260" t="s">
        <v>92</v>
      </c>
      <c r="J260" s="2">
        <f>INDEX(Positions!$A:$A,MATCH(E260,Positions!$B:$B,0))</f>
        <v>28</v>
      </c>
      <c r="K260" s="2">
        <f>INDEX(Locations!$A:$A,MATCH(I260,Locations!$B:$B,0))</f>
        <v>6</v>
      </c>
    </row>
    <row r="261" spans="1:11" x14ac:dyDescent="0.2">
      <c r="A261" s="3">
        <v>260</v>
      </c>
      <c r="B261" t="s">
        <v>211</v>
      </c>
      <c r="C261" t="s">
        <v>198</v>
      </c>
      <c r="D261" s="1">
        <v>35940</v>
      </c>
      <c r="E261" t="s">
        <v>109</v>
      </c>
      <c r="F261">
        <v>2</v>
      </c>
      <c r="G261" t="s">
        <v>834</v>
      </c>
      <c r="H261" s="2">
        <v>239</v>
      </c>
      <c r="I261" t="s">
        <v>92</v>
      </c>
      <c r="J261" s="2">
        <f>INDEX(Positions!$A:$A,MATCH(E261,Positions!$B:$B,0))</f>
        <v>19</v>
      </c>
      <c r="K261" s="2">
        <f>INDEX(Locations!$A:$A,MATCH(I261,Locations!$B:$B,0))</f>
        <v>6</v>
      </c>
    </row>
    <row r="262" spans="1:11" x14ac:dyDescent="0.2">
      <c r="A262" s="3">
        <v>261</v>
      </c>
      <c r="B262" t="s">
        <v>409</v>
      </c>
      <c r="C262" t="s">
        <v>162</v>
      </c>
      <c r="D262" s="1">
        <v>29682</v>
      </c>
      <c r="E262" t="s">
        <v>88</v>
      </c>
      <c r="F262">
        <v>7</v>
      </c>
      <c r="G262" t="s">
        <v>835</v>
      </c>
      <c r="H262" s="2">
        <v>12</v>
      </c>
      <c r="I262" t="s">
        <v>89</v>
      </c>
      <c r="J262" s="2">
        <f>INDEX(Positions!$A:$A,MATCH(E262,Positions!$B:$B,0))</f>
        <v>104</v>
      </c>
      <c r="K262" s="2">
        <f>INDEX(Locations!$A:$A,MATCH(I262,Locations!$B:$B,0))</f>
        <v>8</v>
      </c>
    </row>
    <row r="263" spans="1:11" x14ac:dyDescent="0.2">
      <c r="A263" s="3">
        <v>262</v>
      </c>
      <c r="B263" t="s">
        <v>532</v>
      </c>
      <c r="C263" t="s">
        <v>295</v>
      </c>
      <c r="D263" s="1">
        <v>35745</v>
      </c>
      <c r="E263" t="s">
        <v>104</v>
      </c>
      <c r="F263">
        <v>1</v>
      </c>
      <c r="G263" t="s">
        <v>836</v>
      </c>
      <c r="H263" s="2">
        <v>209</v>
      </c>
      <c r="I263" t="s">
        <v>92</v>
      </c>
      <c r="J263" s="2">
        <f>INDEX(Positions!$A:$A,MATCH(E263,Positions!$B:$B,0))</f>
        <v>6</v>
      </c>
      <c r="K263" s="2">
        <f>INDEX(Locations!$A:$A,MATCH(I263,Locations!$B:$B,0))</f>
        <v>6</v>
      </c>
    </row>
    <row r="264" spans="1:11" x14ac:dyDescent="0.2">
      <c r="A264" s="3">
        <v>263</v>
      </c>
      <c r="B264" t="s">
        <v>181</v>
      </c>
      <c r="C264" t="s">
        <v>222</v>
      </c>
      <c r="D264" s="1">
        <v>32199</v>
      </c>
      <c r="E264" t="s">
        <v>101</v>
      </c>
      <c r="F264">
        <v>5</v>
      </c>
      <c r="G264" t="s">
        <v>837</v>
      </c>
      <c r="H264" s="2">
        <v>97</v>
      </c>
      <c r="I264" t="s">
        <v>233</v>
      </c>
      <c r="J264" s="2">
        <f>INDEX(Positions!$A:$A,MATCH(E264,Positions!$B:$B,0))</f>
        <v>76</v>
      </c>
      <c r="K264" s="2">
        <f>INDEX(Locations!$A:$A,MATCH(I264,Locations!$B:$B,0))</f>
        <v>11</v>
      </c>
    </row>
    <row r="265" spans="1:11" x14ac:dyDescent="0.2">
      <c r="A265" s="3">
        <v>264</v>
      </c>
      <c r="B265" t="s">
        <v>261</v>
      </c>
      <c r="C265" t="s">
        <v>489</v>
      </c>
      <c r="D265" s="1">
        <v>33857</v>
      </c>
      <c r="E265" t="s">
        <v>121</v>
      </c>
      <c r="F265">
        <v>3</v>
      </c>
      <c r="G265" t="s">
        <v>838</v>
      </c>
      <c r="H265" s="2">
        <v>226</v>
      </c>
      <c r="I265" t="s">
        <v>92</v>
      </c>
      <c r="J265" s="2">
        <f>INDEX(Positions!$A:$A,MATCH(E265,Positions!$B:$B,0))</f>
        <v>31</v>
      </c>
      <c r="K265" s="2">
        <f>INDEX(Locations!$A:$A,MATCH(I265,Locations!$B:$B,0))</f>
        <v>6</v>
      </c>
    </row>
    <row r="266" spans="1:11" x14ac:dyDescent="0.2">
      <c r="A266" s="3">
        <v>265</v>
      </c>
      <c r="B266" t="s">
        <v>491</v>
      </c>
      <c r="C266" t="s">
        <v>407</v>
      </c>
      <c r="D266" s="1">
        <v>37241</v>
      </c>
      <c r="E266" t="s">
        <v>124</v>
      </c>
      <c r="F266">
        <v>4</v>
      </c>
      <c r="G266" t="s">
        <v>839</v>
      </c>
      <c r="H266" s="2">
        <v>193</v>
      </c>
      <c r="I266" t="s">
        <v>233</v>
      </c>
      <c r="J266" s="2">
        <f>INDEX(Positions!$A:$A,MATCH(E266,Positions!$B:$B,0))</f>
        <v>58</v>
      </c>
      <c r="K266" s="2">
        <f>INDEX(Locations!$A:$A,MATCH(I266,Locations!$B:$B,0))</f>
        <v>11</v>
      </c>
    </row>
    <row r="267" spans="1:11" x14ac:dyDescent="0.2">
      <c r="A267" s="3">
        <v>266</v>
      </c>
      <c r="B267" t="s">
        <v>144</v>
      </c>
      <c r="C267" t="s">
        <v>232</v>
      </c>
      <c r="D267" s="1">
        <v>36679</v>
      </c>
      <c r="E267" t="s">
        <v>124</v>
      </c>
      <c r="F267">
        <v>4</v>
      </c>
      <c r="G267" t="s">
        <v>840</v>
      </c>
      <c r="H267" s="2">
        <v>211</v>
      </c>
      <c r="I267" t="s">
        <v>233</v>
      </c>
      <c r="J267" s="2">
        <f>INDEX(Positions!$A:$A,MATCH(E267,Positions!$B:$B,0))</f>
        <v>58</v>
      </c>
      <c r="K267" s="2">
        <f>INDEX(Locations!$A:$A,MATCH(I267,Locations!$B:$B,0))</f>
        <v>11</v>
      </c>
    </row>
    <row r="268" spans="1:11" x14ac:dyDescent="0.2">
      <c r="A268" s="3">
        <v>267</v>
      </c>
      <c r="B268" t="s">
        <v>442</v>
      </c>
      <c r="C268" t="s">
        <v>524</v>
      </c>
      <c r="D268" s="1">
        <v>35310</v>
      </c>
      <c r="E268" t="s">
        <v>109</v>
      </c>
      <c r="F268">
        <v>2</v>
      </c>
      <c r="G268" t="s">
        <v>841</v>
      </c>
      <c r="H268" s="2">
        <v>206</v>
      </c>
      <c r="I268" t="s">
        <v>233</v>
      </c>
      <c r="J268" s="2">
        <f>INDEX(Positions!$A:$A,MATCH(E268,Positions!$B:$B,0))</f>
        <v>19</v>
      </c>
      <c r="K268" s="2">
        <f>INDEX(Locations!$A:$A,MATCH(I268,Locations!$B:$B,0))</f>
        <v>11</v>
      </c>
    </row>
    <row r="269" spans="1:11" x14ac:dyDescent="0.2">
      <c r="A269" s="3">
        <v>268</v>
      </c>
      <c r="B269" t="s">
        <v>418</v>
      </c>
      <c r="C269" t="s">
        <v>305</v>
      </c>
      <c r="D269" s="1">
        <v>34717</v>
      </c>
      <c r="E269" t="s">
        <v>109</v>
      </c>
      <c r="F269">
        <v>2</v>
      </c>
      <c r="G269" t="s">
        <v>842</v>
      </c>
      <c r="H269" s="2">
        <v>145</v>
      </c>
      <c r="I269" t="s">
        <v>92</v>
      </c>
      <c r="J269" s="2">
        <f>INDEX(Positions!$A:$A,MATCH(E269,Positions!$B:$B,0))</f>
        <v>19</v>
      </c>
      <c r="K269" s="2">
        <f>INDEX(Locations!$A:$A,MATCH(I269,Locations!$B:$B,0))</f>
        <v>6</v>
      </c>
    </row>
    <row r="270" spans="1:11" x14ac:dyDescent="0.2">
      <c r="A270" s="3">
        <v>269</v>
      </c>
      <c r="B270" t="s">
        <v>137</v>
      </c>
      <c r="C270" t="s">
        <v>802</v>
      </c>
      <c r="D270" s="1">
        <v>36602</v>
      </c>
      <c r="E270" t="s">
        <v>104</v>
      </c>
      <c r="F270">
        <v>1</v>
      </c>
      <c r="G270" t="s">
        <v>843</v>
      </c>
      <c r="H270" s="2">
        <v>211</v>
      </c>
      <c r="I270" t="s">
        <v>233</v>
      </c>
      <c r="J270" s="2">
        <f>INDEX(Positions!$A:$A,MATCH(E270,Positions!$B:$B,0))</f>
        <v>6</v>
      </c>
      <c r="K270" s="2">
        <f>INDEX(Locations!$A:$A,MATCH(I270,Locations!$B:$B,0))</f>
        <v>11</v>
      </c>
    </row>
    <row r="271" spans="1:11" x14ac:dyDescent="0.2">
      <c r="A271" s="3">
        <v>270</v>
      </c>
      <c r="B271" t="s">
        <v>269</v>
      </c>
      <c r="C271" t="s">
        <v>532</v>
      </c>
      <c r="D271" s="1">
        <v>36477</v>
      </c>
      <c r="E271" t="s">
        <v>109</v>
      </c>
      <c r="F271">
        <v>2</v>
      </c>
      <c r="G271" t="s">
        <v>844</v>
      </c>
      <c r="H271" s="2">
        <v>239</v>
      </c>
      <c r="I271" t="s">
        <v>92</v>
      </c>
      <c r="J271" s="2">
        <f>INDEX(Positions!$A:$A,MATCH(E271,Positions!$B:$B,0))</f>
        <v>19</v>
      </c>
      <c r="K271" s="2">
        <f>INDEX(Locations!$A:$A,MATCH(I271,Locations!$B:$B,0))</f>
        <v>6</v>
      </c>
    </row>
    <row r="272" spans="1:11" x14ac:dyDescent="0.2">
      <c r="A272" s="3">
        <v>271</v>
      </c>
      <c r="B272" t="s">
        <v>71</v>
      </c>
      <c r="C272" t="s">
        <v>456</v>
      </c>
      <c r="D272" s="1">
        <v>33279</v>
      </c>
      <c r="E272" t="s">
        <v>109</v>
      </c>
      <c r="F272">
        <v>2</v>
      </c>
      <c r="G272" t="s">
        <v>845</v>
      </c>
      <c r="H272" s="2">
        <v>152</v>
      </c>
      <c r="I272" t="s">
        <v>92</v>
      </c>
      <c r="J272" s="2">
        <f>INDEX(Positions!$A:$A,MATCH(E272,Positions!$B:$B,0))</f>
        <v>19</v>
      </c>
      <c r="K272" s="2">
        <f>INDEX(Locations!$A:$A,MATCH(I272,Locations!$B:$B,0))</f>
        <v>6</v>
      </c>
    </row>
    <row r="273" spans="1:11" x14ac:dyDescent="0.2">
      <c r="A273" s="3">
        <v>272</v>
      </c>
      <c r="B273" t="s">
        <v>227</v>
      </c>
      <c r="C273" t="s">
        <v>286</v>
      </c>
      <c r="D273" s="1">
        <v>35098</v>
      </c>
      <c r="E273" t="s">
        <v>104</v>
      </c>
      <c r="F273">
        <v>1</v>
      </c>
      <c r="G273" t="s">
        <v>846</v>
      </c>
      <c r="H273" s="2">
        <v>152</v>
      </c>
      <c r="I273" t="s">
        <v>92</v>
      </c>
      <c r="J273" s="2">
        <f>INDEX(Positions!$A:$A,MATCH(E273,Positions!$B:$B,0))</f>
        <v>6</v>
      </c>
      <c r="K273" s="2">
        <f>INDEX(Locations!$A:$A,MATCH(I273,Locations!$B:$B,0))</f>
        <v>6</v>
      </c>
    </row>
    <row r="274" spans="1:11" x14ac:dyDescent="0.2">
      <c r="A274" s="3">
        <v>273</v>
      </c>
      <c r="B274" t="s">
        <v>297</v>
      </c>
      <c r="C274" t="s">
        <v>197</v>
      </c>
      <c r="D274" s="1">
        <v>37637</v>
      </c>
      <c r="E274" t="s">
        <v>118</v>
      </c>
      <c r="F274">
        <v>3</v>
      </c>
      <c r="G274" t="s">
        <v>847</v>
      </c>
      <c r="H274" s="2">
        <v>239</v>
      </c>
      <c r="I274" t="s">
        <v>92</v>
      </c>
      <c r="J274" s="2">
        <f>INDEX(Positions!$A:$A,MATCH(E274,Positions!$B:$B,0))</f>
        <v>28</v>
      </c>
      <c r="K274" s="2">
        <f>INDEX(Locations!$A:$A,MATCH(I274,Locations!$B:$B,0))</f>
        <v>6</v>
      </c>
    </row>
    <row r="275" spans="1:11" x14ac:dyDescent="0.2">
      <c r="A275" s="3">
        <v>274</v>
      </c>
      <c r="B275" t="s">
        <v>110</v>
      </c>
      <c r="C275" t="s">
        <v>193</v>
      </c>
      <c r="D275" s="1">
        <v>37383</v>
      </c>
      <c r="E275" t="s">
        <v>104</v>
      </c>
      <c r="F275">
        <v>1</v>
      </c>
      <c r="G275" t="s">
        <v>848</v>
      </c>
      <c r="H275" s="2">
        <v>211</v>
      </c>
      <c r="I275" t="s">
        <v>233</v>
      </c>
      <c r="J275" s="2">
        <f>INDEX(Positions!$A:$A,MATCH(E275,Positions!$B:$B,0))</f>
        <v>6</v>
      </c>
      <c r="K275" s="2">
        <f>INDEX(Locations!$A:$A,MATCH(I275,Locations!$B:$B,0))</f>
        <v>11</v>
      </c>
    </row>
    <row r="276" spans="1:11" x14ac:dyDescent="0.2">
      <c r="A276" s="3">
        <v>275</v>
      </c>
      <c r="B276" t="s">
        <v>209</v>
      </c>
      <c r="C276" t="s">
        <v>552</v>
      </c>
      <c r="D276" s="1">
        <v>36649</v>
      </c>
      <c r="E276" t="s">
        <v>109</v>
      </c>
      <c r="F276">
        <v>2</v>
      </c>
      <c r="G276" t="s">
        <v>849</v>
      </c>
      <c r="H276" s="2">
        <v>209</v>
      </c>
      <c r="I276" t="s">
        <v>92</v>
      </c>
      <c r="J276" s="2">
        <f>INDEX(Positions!$A:$A,MATCH(E276,Positions!$B:$B,0))</f>
        <v>19</v>
      </c>
      <c r="K276" s="2">
        <f>INDEX(Locations!$A:$A,MATCH(I276,Locations!$B:$B,0))</f>
        <v>6</v>
      </c>
    </row>
    <row r="277" spans="1:11" x14ac:dyDescent="0.2">
      <c r="A277" s="3">
        <v>276</v>
      </c>
      <c r="B277" t="s">
        <v>259</v>
      </c>
      <c r="C277" t="s">
        <v>489</v>
      </c>
      <c r="D277" s="1">
        <v>36661</v>
      </c>
      <c r="E277" t="s">
        <v>104</v>
      </c>
      <c r="F277">
        <v>1</v>
      </c>
      <c r="G277" t="s">
        <v>850</v>
      </c>
      <c r="H277" s="2">
        <v>183</v>
      </c>
      <c r="I277" t="s">
        <v>92</v>
      </c>
      <c r="J277" s="2">
        <f>INDEX(Positions!$A:$A,MATCH(E277,Positions!$B:$B,0))</f>
        <v>6</v>
      </c>
      <c r="K277" s="2">
        <f>INDEX(Locations!$A:$A,MATCH(I277,Locations!$B:$B,0))</f>
        <v>6</v>
      </c>
    </row>
    <row r="278" spans="1:11" x14ac:dyDescent="0.2">
      <c r="A278" s="3">
        <v>277</v>
      </c>
      <c r="B278" t="s">
        <v>63</v>
      </c>
      <c r="C278" t="s">
        <v>408</v>
      </c>
      <c r="D278" s="1">
        <v>33294</v>
      </c>
      <c r="E278" t="s">
        <v>118</v>
      </c>
      <c r="F278">
        <v>3</v>
      </c>
      <c r="G278" t="s">
        <v>851</v>
      </c>
      <c r="H278" s="2">
        <v>226</v>
      </c>
      <c r="I278" t="s">
        <v>92</v>
      </c>
      <c r="J278" s="2">
        <f>INDEX(Positions!$A:$A,MATCH(E278,Positions!$B:$B,0))</f>
        <v>28</v>
      </c>
      <c r="K278" s="2">
        <f>INDEX(Locations!$A:$A,MATCH(I278,Locations!$B:$B,0))</f>
        <v>6</v>
      </c>
    </row>
    <row r="279" spans="1:11" x14ac:dyDescent="0.2">
      <c r="A279" s="3">
        <v>278</v>
      </c>
      <c r="B279" t="s">
        <v>310</v>
      </c>
      <c r="C279" t="s">
        <v>595</v>
      </c>
      <c r="D279" s="1">
        <v>35273</v>
      </c>
      <c r="E279" t="s">
        <v>118</v>
      </c>
      <c r="F279">
        <v>3</v>
      </c>
      <c r="G279" t="s">
        <v>852</v>
      </c>
      <c r="H279" s="2">
        <v>193</v>
      </c>
      <c r="I279" t="s">
        <v>233</v>
      </c>
      <c r="J279" s="2">
        <f>INDEX(Positions!$A:$A,MATCH(E279,Positions!$B:$B,0))</f>
        <v>28</v>
      </c>
      <c r="K279" s="2">
        <f>INDEX(Locations!$A:$A,MATCH(I279,Locations!$B:$B,0))</f>
        <v>11</v>
      </c>
    </row>
    <row r="280" spans="1:11" x14ac:dyDescent="0.2">
      <c r="A280" s="3">
        <v>279</v>
      </c>
      <c r="B280" t="s">
        <v>293</v>
      </c>
      <c r="C280" t="s">
        <v>652</v>
      </c>
      <c r="D280" s="1">
        <v>37537</v>
      </c>
      <c r="E280" t="s">
        <v>118</v>
      </c>
      <c r="F280">
        <v>3</v>
      </c>
      <c r="G280" t="s">
        <v>853</v>
      </c>
      <c r="H280" s="2">
        <v>226</v>
      </c>
      <c r="I280" t="s">
        <v>92</v>
      </c>
      <c r="J280" s="2">
        <f>INDEX(Positions!$A:$A,MATCH(E280,Positions!$B:$B,0))</f>
        <v>28</v>
      </c>
      <c r="K280" s="2">
        <f>INDEX(Locations!$A:$A,MATCH(I280,Locations!$B:$B,0))</f>
        <v>6</v>
      </c>
    </row>
    <row r="281" spans="1:11" x14ac:dyDescent="0.2">
      <c r="A281" s="3">
        <v>280</v>
      </c>
      <c r="B281" t="s">
        <v>207</v>
      </c>
      <c r="C281" t="s">
        <v>536</v>
      </c>
      <c r="D281" s="1">
        <v>34705</v>
      </c>
      <c r="E281" t="s">
        <v>104</v>
      </c>
      <c r="F281">
        <v>1</v>
      </c>
      <c r="G281" t="s">
        <v>854</v>
      </c>
      <c r="H281" s="2">
        <v>211</v>
      </c>
      <c r="I281" t="s">
        <v>233</v>
      </c>
      <c r="J281" s="2">
        <f>INDEX(Positions!$A:$A,MATCH(E281,Positions!$B:$B,0))</f>
        <v>6</v>
      </c>
      <c r="K281" s="2">
        <f>INDEX(Locations!$A:$A,MATCH(I281,Locations!$B:$B,0))</f>
        <v>11</v>
      </c>
    </row>
    <row r="282" spans="1:11" x14ac:dyDescent="0.2">
      <c r="A282" s="3">
        <v>281</v>
      </c>
      <c r="B282" t="s">
        <v>216</v>
      </c>
      <c r="C282" t="s">
        <v>224</v>
      </c>
      <c r="D282" s="1">
        <v>36572</v>
      </c>
      <c r="E282" t="s">
        <v>104</v>
      </c>
      <c r="F282">
        <v>1</v>
      </c>
      <c r="G282" t="s">
        <v>855</v>
      </c>
      <c r="H282" s="2">
        <v>239</v>
      </c>
      <c r="I282" t="s">
        <v>92</v>
      </c>
      <c r="J282" s="2">
        <f>INDEX(Positions!$A:$A,MATCH(E282,Positions!$B:$B,0))</f>
        <v>6</v>
      </c>
      <c r="K282" s="2">
        <f>INDEX(Locations!$A:$A,MATCH(I282,Locations!$B:$B,0))</f>
        <v>6</v>
      </c>
    </row>
    <row r="283" spans="1:11" x14ac:dyDescent="0.2">
      <c r="A283" s="3">
        <v>282</v>
      </c>
      <c r="B283" t="s">
        <v>477</v>
      </c>
      <c r="C283" t="s">
        <v>408</v>
      </c>
      <c r="D283" s="1">
        <v>34776</v>
      </c>
      <c r="E283" t="s">
        <v>109</v>
      </c>
      <c r="F283">
        <v>2</v>
      </c>
      <c r="G283" t="s">
        <v>856</v>
      </c>
      <c r="H283" s="2">
        <v>193</v>
      </c>
      <c r="I283" t="s">
        <v>233</v>
      </c>
      <c r="J283" s="2">
        <f>INDEX(Positions!$A:$A,MATCH(E283,Positions!$B:$B,0))</f>
        <v>19</v>
      </c>
      <c r="K283" s="2">
        <f>INDEX(Locations!$A:$A,MATCH(I283,Locations!$B:$B,0))</f>
        <v>11</v>
      </c>
    </row>
    <row r="284" spans="1:11" x14ac:dyDescent="0.2">
      <c r="A284" s="3">
        <v>283</v>
      </c>
      <c r="B284" t="s">
        <v>393</v>
      </c>
      <c r="C284" t="s">
        <v>262</v>
      </c>
      <c r="D284" s="1">
        <v>37054</v>
      </c>
      <c r="E284" t="s">
        <v>109</v>
      </c>
      <c r="F284">
        <v>2</v>
      </c>
      <c r="G284" t="s">
        <v>857</v>
      </c>
      <c r="H284" s="2">
        <v>263</v>
      </c>
      <c r="I284" t="s">
        <v>233</v>
      </c>
      <c r="J284" s="2">
        <f>INDEX(Positions!$A:$A,MATCH(E284,Positions!$B:$B,0))</f>
        <v>19</v>
      </c>
      <c r="K284" s="2">
        <f>INDEX(Locations!$A:$A,MATCH(I284,Locations!$B:$B,0))</f>
        <v>11</v>
      </c>
    </row>
    <row r="285" spans="1:11" x14ac:dyDescent="0.2">
      <c r="A285" s="3">
        <v>284</v>
      </c>
      <c r="B285" t="s">
        <v>285</v>
      </c>
      <c r="C285" t="s">
        <v>542</v>
      </c>
      <c r="D285" s="1">
        <v>39269</v>
      </c>
      <c r="E285" t="s">
        <v>104</v>
      </c>
      <c r="F285">
        <v>1</v>
      </c>
      <c r="G285" t="s">
        <v>858</v>
      </c>
      <c r="H285" s="2">
        <v>131</v>
      </c>
      <c r="I285" t="s">
        <v>233</v>
      </c>
      <c r="J285" s="2">
        <f>INDEX(Positions!$A:$A,MATCH(E285,Positions!$B:$B,0))</f>
        <v>6</v>
      </c>
      <c r="K285" s="2">
        <f>INDEX(Locations!$A:$A,MATCH(I285,Locations!$B:$B,0))</f>
        <v>11</v>
      </c>
    </row>
    <row r="286" spans="1:11" x14ac:dyDescent="0.2">
      <c r="A286" s="3">
        <v>285</v>
      </c>
      <c r="B286" t="s">
        <v>638</v>
      </c>
      <c r="C286" t="s">
        <v>303</v>
      </c>
      <c r="D286" s="1">
        <v>36699</v>
      </c>
      <c r="E286" t="s">
        <v>104</v>
      </c>
      <c r="F286">
        <v>1</v>
      </c>
      <c r="G286" t="s">
        <v>859</v>
      </c>
      <c r="H286" s="2">
        <v>145</v>
      </c>
      <c r="I286" t="s">
        <v>92</v>
      </c>
      <c r="J286" s="2">
        <f>INDEX(Positions!$A:$A,MATCH(E286,Positions!$B:$B,0))</f>
        <v>6</v>
      </c>
      <c r="K286" s="2">
        <f>INDEX(Locations!$A:$A,MATCH(I286,Locations!$B:$B,0))</f>
        <v>6</v>
      </c>
    </row>
    <row r="287" spans="1:11" x14ac:dyDescent="0.2">
      <c r="A287" s="3">
        <v>286</v>
      </c>
      <c r="B287" t="s">
        <v>170</v>
      </c>
      <c r="C287" t="s">
        <v>368</v>
      </c>
      <c r="D287" s="1">
        <v>33118</v>
      </c>
      <c r="E287" t="s">
        <v>109</v>
      </c>
      <c r="F287">
        <v>2</v>
      </c>
      <c r="G287" t="s">
        <v>860</v>
      </c>
      <c r="H287" s="2">
        <v>145</v>
      </c>
      <c r="I287" t="s">
        <v>92</v>
      </c>
      <c r="J287" s="2">
        <f>INDEX(Positions!$A:$A,MATCH(E287,Positions!$B:$B,0))</f>
        <v>19</v>
      </c>
      <c r="K287" s="2">
        <f>INDEX(Locations!$A:$A,MATCH(I287,Locations!$B:$B,0))</f>
        <v>6</v>
      </c>
    </row>
    <row r="288" spans="1:11" x14ac:dyDescent="0.2">
      <c r="A288" s="3">
        <v>287</v>
      </c>
      <c r="B288" t="s">
        <v>485</v>
      </c>
      <c r="C288" t="s">
        <v>151</v>
      </c>
      <c r="D288" s="1">
        <v>36556</v>
      </c>
      <c r="E288" t="s">
        <v>109</v>
      </c>
      <c r="F288">
        <v>2</v>
      </c>
      <c r="G288" t="s">
        <v>861</v>
      </c>
      <c r="H288" s="2">
        <v>263</v>
      </c>
      <c r="I288" t="s">
        <v>233</v>
      </c>
      <c r="J288" s="2">
        <f>INDEX(Positions!$A:$A,MATCH(E288,Positions!$B:$B,0))</f>
        <v>19</v>
      </c>
      <c r="K288" s="2">
        <f>INDEX(Locations!$A:$A,MATCH(I288,Locations!$B:$B,0))</f>
        <v>11</v>
      </c>
    </row>
    <row r="289" spans="1:11" x14ac:dyDescent="0.2">
      <c r="A289" s="3">
        <v>288</v>
      </c>
      <c r="B289" t="s">
        <v>441</v>
      </c>
      <c r="C289" t="s">
        <v>395</v>
      </c>
      <c r="D289" s="1">
        <v>37096</v>
      </c>
      <c r="E289" t="s">
        <v>109</v>
      </c>
      <c r="F289">
        <v>2</v>
      </c>
      <c r="G289" t="s">
        <v>862</v>
      </c>
      <c r="H289" s="2">
        <v>231</v>
      </c>
      <c r="I289" t="s">
        <v>92</v>
      </c>
      <c r="J289" s="2">
        <f>INDEX(Positions!$A:$A,MATCH(E289,Positions!$B:$B,0))</f>
        <v>19</v>
      </c>
      <c r="K289" s="2">
        <f>INDEX(Locations!$A:$A,MATCH(I289,Locations!$B:$B,0))</f>
        <v>6</v>
      </c>
    </row>
    <row r="290" spans="1:11" x14ac:dyDescent="0.2">
      <c r="A290" s="3">
        <v>289</v>
      </c>
      <c r="B290" t="s">
        <v>463</v>
      </c>
      <c r="C290" t="s">
        <v>459</v>
      </c>
      <c r="D290" s="1">
        <v>34345</v>
      </c>
      <c r="E290" t="s">
        <v>104</v>
      </c>
      <c r="F290">
        <v>1</v>
      </c>
      <c r="G290" t="s">
        <v>863</v>
      </c>
      <c r="H290" s="2">
        <v>231</v>
      </c>
      <c r="I290" t="s">
        <v>92</v>
      </c>
      <c r="J290" s="2">
        <f>INDEX(Positions!$A:$A,MATCH(E290,Positions!$B:$B,0))</f>
        <v>6</v>
      </c>
      <c r="K290" s="2">
        <f>INDEX(Locations!$A:$A,MATCH(I290,Locations!$B:$B,0))</f>
        <v>6</v>
      </c>
    </row>
    <row r="291" spans="1:11" x14ac:dyDescent="0.2">
      <c r="A291" s="3">
        <v>290</v>
      </c>
      <c r="B291" t="s">
        <v>268</v>
      </c>
      <c r="C291" t="s">
        <v>440</v>
      </c>
      <c r="D291" s="1">
        <v>36400</v>
      </c>
      <c r="E291" t="s">
        <v>109</v>
      </c>
      <c r="F291">
        <v>2</v>
      </c>
      <c r="G291" t="s">
        <v>864</v>
      </c>
      <c r="H291" s="2">
        <v>231</v>
      </c>
      <c r="I291" t="s">
        <v>92</v>
      </c>
      <c r="J291" s="2">
        <f>INDEX(Positions!$A:$A,MATCH(E291,Positions!$B:$B,0))</f>
        <v>19</v>
      </c>
      <c r="K291" s="2">
        <f>INDEX(Locations!$A:$A,MATCH(I291,Locations!$B:$B,0))</f>
        <v>6</v>
      </c>
    </row>
    <row r="292" spans="1:11" x14ac:dyDescent="0.2">
      <c r="A292" s="3">
        <v>291</v>
      </c>
      <c r="B292" t="s">
        <v>298</v>
      </c>
      <c r="C292" t="s">
        <v>443</v>
      </c>
      <c r="D292" s="1">
        <v>37959</v>
      </c>
      <c r="E292" t="s">
        <v>109</v>
      </c>
      <c r="F292">
        <v>2</v>
      </c>
      <c r="G292" t="s">
        <v>865</v>
      </c>
      <c r="H292" s="2">
        <v>226</v>
      </c>
      <c r="I292" t="s">
        <v>92</v>
      </c>
      <c r="J292" s="2">
        <f>INDEX(Positions!$A:$A,MATCH(E292,Positions!$B:$B,0))</f>
        <v>19</v>
      </c>
      <c r="K292" s="2">
        <f>INDEX(Locations!$A:$A,MATCH(I292,Locations!$B:$B,0))</f>
        <v>6</v>
      </c>
    </row>
    <row r="293" spans="1:11" x14ac:dyDescent="0.2">
      <c r="A293" s="3">
        <v>292</v>
      </c>
      <c r="B293" t="s">
        <v>397</v>
      </c>
      <c r="C293" t="s">
        <v>318</v>
      </c>
      <c r="D293" s="1">
        <v>36881</v>
      </c>
      <c r="E293" t="s">
        <v>104</v>
      </c>
      <c r="F293">
        <v>1</v>
      </c>
      <c r="G293" t="s">
        <v>866</v>
      </c>
      <c r="H293" s="2">
        <v>252</v>
      </c>
      <c r="I293" t="s">
        <v>92</v>
      </c>
      <c r="J293" s="2">
        <f>INDEX(Positions!$A:$A,MATCH(E293,Positions!$B:$B,0))</f>
        <v>6</v>
      </c>
      <c r="K293" s="2">
        <f>INDEX(Locations!$A:$A,MATCH(I293,Locations!$B:$B,0))</f>
        <v>6</v>
      </c>
    </row>
    <row r="294" spans="1:11" x14ac:dyDescent="0.2">
      <c r="A294" s="3">
        <v>293</v>
      </c>
      <c r="B294" t="s">
        <v>63</v>
      </c>
      <c r="C294" t="s">
        <v>108</v>
      </c>
      <c r="D294" s="1">
        <v>38131</v>
      </c>
      <c r="E294" t="s">
        <v>118</v>
      </c>
      <c r="F294">
        <v>3</v>
      </c>
      <c r="G294" t="s">
        <v>867</v>
      </c>
      <c r="H294" s="2">
        <v>263</v>
      </c>
      <c r="I294" t="s">
        <v>233</v>
      </c>
      <c r="J294" s="2">
        <f>INDEX(Positions!$A:$A,MATCH(E294,Positions!$B:$B,0))</f>
        <v>28</v>
      </c>
      <c r="K294" s="2">
        <f>INDEX(Locations!$A:$A,MATCH(I294,Locations!$B:$B,0))</f>
        <v>11</v>
      </c>
    </row>
    <row r="295" spans="1:11" x14ac:dyDescent="0.2">
      <c r="A295" s="3">
        <v>294</v>
      </c>
      <c r="B295" t="s">
        <v>289</v>
      </c>
      <c r="C295" t="s">
        <v>419</v>
      </c>
      <c r="D295" s="1">
        <v>34719</v>
      </c>
      <c r="E295" t="s">
        <v>104</v>
      </c>
      <c r="F295">
        <v>1</v>
      </c>
      <c r="G295" t="s">
        <v>868</v>
      </c>
      <c r="H295" s="2">
        <v>263</v>
      </c>
      <c r="I295" t="s">
        <v>233</v>
      </c>
      <c r="J295" s="2">
        <f>INDEX(Positions!$A:$A,MATCH(E295,Positions!$B:$B,0))</f>
        <v>6</v>
      </c>
      <c r="K295" s="2">
        <f>INDEX(Locations!$A:$A,MATCH(I295,Locations!$B:$B,0))</f>
        <v>11</v>
      </c>
    </row>
    <row r="296" spans="1:11" x14ac:dyDescent="0.2">
      <c r="A296" s="3">
        <v>295</v>
      </c>
      <c r="B296" t="s">
        <v>322</v>
      </c>
      <c r="C296" t="s">
        <v>76</v>
      </c>
      <c r="D296" s="1">
        <v>30221</v>
      </c>
      <c r="E296" t="s">
        <v>101</v>
      </c>
      <c r="F296">
        <v>5</v>
      </c>
      <c r="G296" t="s">
        <v>869</v>
      </c>
      <c r="H296" s="2">
        <v>192</v>
      </c>
      <c r="I296" t="s">
        <v>92</v>
      </c>
      <c r="J296" s="2">
        <f>INDEX(Positions!$A:$A,MATCH(E296,Positions!$B:$B,0))</f>
        <v>76</v>
      </c>
      <c r="K296" s="2">
        <f>INDEX(Locations!$A:$A,MATCH(I296,Locations!$B:$B,0))</f>
        <v>6</v>
      </c>
    </row>
    <row r="297" spans="1:11" x14ac:dyDescent="0.2">
      <c r="A297" s="3">
        <v>296</v>
      </c>
      <c r="B297" t="s">
        <v>387</v>
      </c>
      <c r="C297" t="s">
        <v>94</v>
      </c>
      <c r="D297" s="1">
        <v>36707</v>
      </c>
      <c r="E297" t="s">
        <v>104</v>
      </c>
      <c r="F297">
        <v>1</v>
      </c>
      <c r="G297" t="s">
        <v>870</v>
      </c>
      <c r="H297" s="2">
        <v>152</v>
      </c>
      <c r="I297" t="s">
        <v>92</v>
      </c>
      <c r="J297" s="2">
        <f>INDEX(Positions!$A:$A,MATCH(E297,Positions!$B:$B,0))</f>
        <v>6</v>
      </c>
      <c r="K297" s="2">
        <f>INDEX(Locations!$A:$A,MATCH(I297,Locations!$B:$B,0))</f>
        <v>6</v>
      </c>
    </row>
    <row r="298" spans="1:11" x14ac:dyDescent="0.2">
      <c r="A298" s="3">
        <v>297</v>
      </c>
      <c r="B298" t="s">
        <v>167</v>
      </c>
      <c r="C298" t="s">
        <v>173</v>
      </c>
      <c r="D298" s="1">
        <v>32363</v>
      </c>
      <c r="E298" t="s">
        <v>118</v>
      </c>
      <c r="F298">
        <v>3</v>
      </c>
      <c r="G298" t="s">
        <v>871</v>
      </c>
      <c r="H298" s="2">
        <v>119</v>
      </c>
      <c r="I298" t="s">
        <v>233</v>
      </c>
      <c r="J298" s="2">
        <f>INDEX(Positions!$A:$A,MATCH(E298,Positions!$B:$B,0))</f>
        <v>28</v>
      </c>
      <c r="K298" s="2">
        <f>INDEX(Locations!$A:$A,MATCH(I298,Locations!$B:$B,0))</f>
        <v>11</v>
      </c>
    </row>
    <row r="299" spans="1:11" x14ac:dyDescent="0.2">
      <c r="A299" s="3">
        <v>298</v>
      </c>
      <c r="B299" t="s">
        <v>269</v>
      </c>
      <c r="C299" t="s">
        <v>356</v>
      </c>
      <c r="D299" s="1">
        <v>36303</v>
      </c>
      <c r="E299" t="s">
        <v>121</v>
      </c>
      <c r="F299">
        <v>3</v>
      </c>
      <c r="G299" t="s">
        <v>872</v>
      </c>
      <c r="H299" s="2">
        <v>239</v>
      </c>
      <c r="I299" t="s">
        <v>92</v>
      </c>
      <c r="J299" s="2">
        <f>INDEX(Positions!$A:$A,MATCH(E299,Positions!$B:$B,0))</f>
        <v>31</v>
      </c>
      <c r="K299" s="2">
        <f>INDEX(Locations!$A:$A,MATCH(I299,Locations!$B:$B,0))</f>
        <v>6</v>
      </c>
    </row>
    <row r="300" spans="1:11" x14ac:dyDescent="0.2">
      <c r="A300" s="3">
        <v>299</v>
      </c>
      <c r="B300" t="s">
        <v>431</v>
      </c>
      <c r="C300" t="s">
        <v>210</v>
      </c>
      <c r="D300" s="1">
        <v>39304</v>
      </c>
      <c r="E300" t="s">
        <v>104</v>
      </c>
      <c r="F300">
        <v>1</v>
      </c>
      <c r="G300" t="s">
        <v>873</v>
      </c>
      <c r="H300" s="2">
        <v>252</v>
      </c>
      <c r="I300" t="s">
        <v>92</v>
      </c>
      <c r="J300" s="2">
        <f>INDEX(Positions!$A:$A,MATCH(E300,Positions!$B:$B,0))</f>
        <v>6</v>
      </c>
      <c r="K300" s="2">
        <f>INDEX(Locations!$A:$A,MATCH(I300,Locations!$B:$B,0))</f>
        <v>6</v>
      </c>
    </row>
    <row r="301" spans="1:11" x14ac:dyDescent="0.2">
      <c r="A301" s="3">
        <v>300</v>
      </c>
      <c r="B301" t="s">
        <v>119</v>
      </c>
      <c r="C301" t="s">
        <v>575</v>
      </c>
      <c r="D301" s="1">
        <v>36461</v>
      </c>
      <c r="E301" t="s">
        <v>124</v>
      </c>
      <c r="F301">
        <v>4</v>
      </c>
      <c r="G301" t="s">
        <v>874</v>
      </c>
      <c r="H301" s="2">
        <v>193</v>
      </c>
      <c r="I301" t="s">
        <v>233</v>
      </c>
      <c r="J301" s="2">
        <f>INDEX(Positions!$A:$A,MATCH(E301,Positions!$B:$B,0))</f>
        <v>58</v>
      </c>
      <c r="K301" s="2">
        <f>INDEX(Locations!$A:$A,MATCH(I301,Locations!$B:$B,0))</f>
        <v>11</v>
      </c>
    </row>
    <row r="302" spans="1:11" x14ac:dyDescent="0.2">
      <c r="A302" s="3">
        <v>301</v>
      </c>
      <c r="B302" t="s">
        <v>431</v>
      </c>
      <c r="C302" t="s">
        <v>342</v>
      </c>
      <c r="D302" s="1">
        <v>37464</v>
      </c>
      <c r="E302" t="s">
        <v>104</v>
      </c>
      <c r="F302">
        <v>1</v>
      </c>
      <c r="G302" t="s">
        <v>875</v>
      </c>
      <c r="H302" s="2">
        <v>183</v>
      </c>
      <c r="I302" t="s">
        <v>92</v>
      </c>
      <c r="J302" s="2">
        <f>INDEX(Positions!$A:$A,MATCH(E302,Positions!$B:$B,0))</f>
        <v>6</v>
      </c>
      <c r="K302" s="2">
        <f>INDEX(Locations!$A:$A,MATCH(I302,Locations!$B:$B,0))</f>
        <v>6</v>
      </c>
    </row>
    <row r="303" spans="1:11" x14ac:dyDescent="0.2">
      <c r="A303" s="3">
        <v>302</v>
      </c>
      <c r="B303" t="s">
        <v>298</v>
      </c>
      <c r="C303" t="s">
        <v>542</v>
      </c>
      <c r="D303" s="1">
        <v>36160</v>
      </c>
      <c r="E303" t="s">
        <v>118</v>
      </c>
      <c r="F303">
        <v>3</v>
      </c>
      <c r="G303" t="s">
        <v>876</v>
      </c>
      <c r="H303" s="2">
        <v>209</v>
      </c>
      <c r="I303" t="s">
        <v>92</v>
      </c>
      <c r="J303" s="2">
        <f>INDEX(Positions!$A:$A,MATCH(E303,Positions!$B:$B,0))</f>
        <v>28</v>
      </c>
      <c r="K303" s="2">
        <f>INDEX(Locations!$A:$A,MATCH(I303,Locations!$B:$B,0))</f>
        <v>6</v>
      </c>
    </row>
    <row r="304" spans="1:11" x14ac:dyDescent="0.2">
      <c r="A304" s="3">
        <v>303</v>
      </c>
      <c r="B304" t="s">
        <v>325</v>
      </c>
      <c r="C304" t="s">
        <v>489</v>
      </c>
      <c r="D304" s="1">
        <v>35140</v>
      </c>
      <c r="E304" t="s">
        <v>109</v>
      </c>
      <c r="F304">
        <v>2</v>
      </c>
      <c r="G304" t="s">
        <v>877</v>
      </c>
      <c r="H304" s="2">
        <v>263</v>
      </c>
      <c r="I304" t="s">
        <v>233</v>
      </c>
      <c r="J304" s="2">
        <f>INDEX(Positions!$A:$A,MATCH(E304,Positions!$B:$B,0))</f>
        <v>19</v>
      </c>
      <c r="K304" s="2">
        <f>INDEX(Locations!$A:$A,MATCH(I304,Locations!$B:$B,0))</f>
        <v>11</v>
      </c>
    </row>
    <row r="305" spans="1:11" x14ac:dyDescent="0.2">
      <c r="A305" s="3">
        <v>304</v>
      </c>
      <c r="B305" t="s">
        <v>306</v>
      </c>
      <c r="C305" t="s">
        <v>249</v>
      </c>
      <c r="D305" s="1">
        <v>34996</v>
      </c>
      <c r="E305" t="s">
        <v>109</v>
      </c>
      <c r="F305">
        <v>2</v>
      </c>
      <c r="G305" t="s">
        <v>878</v>
      </c>
      <c r="H305" s="2">
        <v>231</v>
      </c>
      <c r="I305" t="s">
        <v>92</v>
      </c>
      <c r="J305" s="2">
        <f>INDEX(Positions!$A:$A,MATCH(E305,Positions!$B:$B,0))</f>
        <v>19</v>
      </c>
      <c r="K305" s="2">
        <f>INDEX(Locations!$A:$A,MATCH(I305,Locations!$B:$B,0))</f>
        <v>6</v>
      </c>
    </row>
    <row r="306" spans="1:11" x14ac:dyDescent="0.2">
      <c r="A306" s="3">
        <v>305</v>
      </c>
      <c r="B306" t="s">
        <v>302</v>
      </c>
      <c r="C306" t="s">
        <v>466</v>
      </c>
      <c r="D306" s="1">
        <v>39009</v>
      </c>
      <c r="E306" t="s">
        <v>104</v>
      </c>
      <c r="F306">
        <v>1</v>
      </c>
      <c r="G306" t="s">
        <v>879</v>
      </c>
      <c r="H306" s="2">
        <v>206</v>
      </c>
      <c r="I306" t="s">
        <v>233</v>
      </c>
      <c r="J306" s="2">
        <f>INDEX(Positions!$A:$A,MATCH(E306,Positions!$B:$B,0))</f>
        <v>6</v>
      </c>
      <c r="K306" s="2">
        <f>INDEX(Locations!$A:$A,MATCH(I306,Locations!$B:$B,0))</f>
        <v>11</v>
      </c>
    </row>
    <row r="307" spans="1:11" x14ac:dyDescent="0.2">
      <c r="A307" s="3">
        <v>306</v>
      </c>
      <c r="B307" t="s">
        <v>506</v>
      </c>
      <c r="C307" t="s">
        <v>201</v>
      </c>
      <c r="D307" s="1">
        <v>34181</v>
      </c>
      <c r="E307" t="s">
        <v>109</v>
      </c>
      <c r="F307">
        <v>2</v>
      </c>
      <c r="G307" t="s">
        <v>880</v>
      </c>
      <c r="H307" s="2">
        <v>252</v>
      </c>
      <c r="I307" t="s">
        <v>92</v>
      </c>
      <c r="J307" s="2">
        <f>INDEX(Positions!$A:$A,MATCH(E307,Positions!$B:$B,0))</f>
        <v>19</v>
      </c>
      <c r="K307" s="2">
        <f>INDEX(Locations!$A:$A,MATCH(I307,Locations!$B:$B,0))</f>
        <v>6</v>
      </c>
    </row>
    <row r="308" spans="1:11" x14ac:dyDescent="0.2">
      <c r="A308" s="3">
        <v>307</v>
      </c>
      <c r="B308" t="s">
        <v>394</v>
      </c>
      <c r="C308" t="s">
        <v>377</v>
      </c>
      <c r="D308" s="1">
        <v>35559</v>
      </c>
      <c r="E308" t="s">
        <v>109</v>
      </c>
      <c r="F308">
        <v>2</v>
      </c>
      <c r="G308" t="s">
        <v>881</v>
      </c>
      <c r="H308" s="2">
        <v>144</v>
      </c>
      <c r="I308" t="s">
        <v>92</v>
      </c>
      <c r="J308" s="2">
        <f>INDEX(Positions!$A:$A,MATCH(E308,Positions!$B:$B,0))</f>
        <v>19</v>
      </c>
      <c r="K308" s="2">
        <f>INDEX(Locations!$A:$A,MATCH(I308,Locations!$B:$B,0))</f>
        <v>6</v>
      </c>
    </row>
    <row r="309" spans="1:11" x14ac:dyDescent="0.2">
      <c r="A309" s="3">
        <v>308</v>
      </c>
      <c r="B309" t="s">
        <v>650</v>
      </c>
      <c r="C309" t="s">
        <v>438</v>
      </c>
      <c r="D309" s="1">
        <v>34645</v>
      </c>
      <c r="E309" t="s">
        <v>109</v>
      </c>
      <c r="F309">
        <v>2</v>
      </c>
      <c r="G309" t="s">
        <v>882</v>
      </c>
      <c r="H309" s="2">
        <v>226</v>
      </c>
      <c r="I309" t="s">
        <v>92</v>
      </c>
      <c r="J309" s="2">
        <f>INDEX(Positions!$A:$A,MATCH(E309,Positions!$B:$B,0))</f>
        <v>19</v>
      </c>
      <c r="K309" s="2">
        <f>INDEX(Locations!$A:$A,MATCH(I309,Locations!$B:$B,0))</f>
        <v>6</v>
      </c>
    </row>
    <row r="310" spans="1:11" x14ac:dyDescent="0.2">
      <c r="A310" s="3">
        <v>309</v>
      </c>
      <c r="B310" t="s">
        <v>227</v>
      </c>
      <c r="C310" t="s">
        <v>234</v>
      </c>
      <c r="D310" s="1">
        <v>34373</v>
      </c>
      <c r="E310" t="s">
        <v>118</v>
      </c>
      <c r="F310">
        <v>3</v>
      </c>
      <c r="G310" t="s">
        <v>883</v>
      </c>
      <c r="H310" s="2">
        <v>131</v>
      </c>
      <c r="I310" t="s">
        <v>233</v>
      </c>
      <c r="J310" s="2">
        <f>INDEX(Positions!$A:$A,MATCH(E310,Positions!$B:$B,0))</f>
        <v>28</v>
      </c>
      <c r="K310" s="2">
        <f>INDEX(Locations!$A:$A,MATCH(I310,Locations!$B:$B,0))</f>
        <v>11</v>
      </c>
    </row>
    <row r="311" spans="1:11" x14ac:dyDescent="0.2">
      <c r="A311" s="3">
        <v>310</v>
      </c>
      <c r="B311" t="s">
        <v>343</v>
      </c>
      <c r="C311" t="s">
        <v>541</v>
      </c>
      <c r="D311" s="1">
        <v>38425</v>
      </c>
      <c r="E311" t="s">
        <v>109</v>
      </c>
      <c r="F311">
        <v>2</v>
      </c>
      <c r="G311" t="s">
        <v>884</v>
      </c>
      <c r="H311" s="2">
        <v>295</v>
      </c>
      <c r="I311" t="s">
        <v>92</v>
      </c>
      <c r="J311" s="2">
        <f>INDEX(Positions!$A:$A,MATCH(E311,Positions!$B:$B,0))</f>
        <v>19</v>
      </c>
      <c r="K311" s="2">
        <f>INDEX(Locations!$A:$A,MATCH(I311,Locations!$B:$B,0))</f>
        <v>6</v>
      </c>
    </row>
    <row r="312" spans="1:11" x14ac:dyDescent="0.2">
      <c r="A312" s="3">
        <v>311</v>
      </c>
      <c r="B312" t="s">
        <v>323</v>
      </c>
      <c r="C312" t="s">
        <v>555</v>
      </c>
      <c r="D312" s="1">
        <v>35373</v>
      </c>
      <c r="E312" t="s">
        <v>109</v>
      </c>
      <c r="F312">
        <v>2</v>
      </c>
      <c r="G312" t="s">
        <v>885</v>
      </c>
      <c r="H312" s="2">
        <v>152</v>
      </c>
      <c r="I312" t="s">
        <v>92</v>
      </c>
      <c r="J312" s="2">
        <f>INDEX(Positions!$A:$A,MATCH(E312,Positions!$B:$B,0))</f>
        <v>19</v>
      </c>
      <c r="K312" s="2">
        <f>INDEX(Locations!$A:$A,MATCH(I312,Locations!$B:$B,0))</f>
        <v>6</v>
      </c>
    </row>
    <row r="313" spans="1:11" x14ac:dyDescent="0.2">
      <c r="A313" s="3">
        <v>312</v>
      </c>
      <c r="B313" t="s">
        <v>328</v>
      </c>
      <c r="C313" t="s">
        <v>220</v>
      </c>
      <c r="D313" s="1">
        <v>39323</v>
      </c>
      <c r="E313" t="s">
        <v>104</v>
      </c>
      <c r="F313">
        <v>1</v>
      </c>
      <c r="G313" t="s">
        <v>886</v>
      </c>
      <c r="H313" s="2">
        <v>295</v>
      </c>
      <c r="I313" t="s">
        <v>92</v>
      </c>
      <c r="J313" s="2">
        <f>INDEX(Positions!$A:$A,MATCH(E313,Positions!$B:$B,0))</f>
        <v>6</v>
      </c>
      <c r="K313" s="2">
        <f>INDEX(Locations!$A:$A,MATCH(I313,Locations!$B:$B,0))</f>
        <v>6</v>
      </c>
    </row>
    <row r="314" spans="1:11" x14ac:dyDescent="0.2">
      <c r="A314" s="3">
        <v>313</v>
      </c>
      <c r="B314" t="s">
        <v>327</v>
      </c>
      <c r="C314" t="s">
        <v>474</v>
      </c>
      <c r="D314" s="1">
        <v>37239</v>
      </c>
      <c r="E314" t="s">
        <v>104</v>
      </c>
      <c r="F314">
        <v>1</v>
      </c>
      <c r="G314" t="s">
        <v>887</v>
      </c>
      <c r="H314" s="2">
        <v>263</v>
      </c>
      <c r="I314" t="s">
        <v>233</v>
      </c>
      <c r="J314" s="2">
        <f>INDEX(Positions!$A:$A,MATCH(E314,Positions!$B:$B,0))</f>
        <v>6</v>
      </c>
      <c r="K314" s="2">
        <f>INDEX(Locations!$A:$A,MATCH(I314,Locations!$B:$B,0))</f>
        <v>11</v>
      </c>
    </row>
    <row r="315" spans="1:11" x14ac:dyDescent="0.2">
      <c r="A315" s="3">
        <v>314</v>
      </c>
      <c r="B315" t="s">
        <v>444</v>
      </c>
      <c r="C315" t="s">
        <v>149</v>
      </c>
      <c r="D315" s="1">
        <v>39388</v>
      </c>
      <c r="E315" t="s">
        <v>104</v>
      </c>
      <c r="F315">
        <v>1</v>
      </c>
      <c r="G315" t="s">
        <v>888</v>
      </c>
      <c r="H315" s="2">
        <v>144</v>
      </c>
      <c r="I315" t="s">
        <v>92</v>
      </c>
      <c r="J315" s="2">
        <f>INDEX(Positions!$A:$A,MATCH(E315,Positions!$B:$B,0))</f>
        <v>6</v>
      </c>
      <c r="K315" s="2">
        <f>INDEX(Locations!$A:$A,MATCH(I315,Locations!$B:$B,0))</f>
        <v>6</v>
      </c>
    </row>
    <row r="316" spans="1:11" x14ac:dyDescent="0.2">
      <c r="A316" s="3">
        <v>315</v>
      </c>
      <c r="B316" t="s">
        <v>371</v>
      </c>
      <c r="C316" t="s">
        <v>505</v>
      </c>
      <c r="D316" s="1">
        <v>37069</v>
      </c>
      <c r="E316" t="s">
        <v>121</v>
      </c>
      <c r="F316">
        <v>3</v>
      </c>
      <c r="G316" t="s">
        <v>889</v>
      </c>
      <c r="H316" s="2">
        <v>119</v>
      </c>
      <c r="I316" t="s">
        <v>233</v>
      </c>
      <c r="J316" s="2">
        <f>INDEX(Positions!$A:$A,MATCH(E316,Positions!$B:$B,0))</f>
        <v>31</v>
      </c>
      <c r="K316" s="2">
        <f>INDEX(Locations!$A:$A,MATCH(I316,Locations!$B:$B,0))</f>
        <v>11</v>
      </c>
    </row>
    <row r="317" spans="1:11" x14ac:dyDescent="0.2">
      <c r="A317" s="3">
        <v>316</v>
      </c>
      <c r="B317" t="s">
        <v>746</v>
      </c>
      <c r="C317" t="s">
        <v>517</v>
      </c>
      <c r="D317" s="1">
        <v>39264</v>
      </c>
      <c r="E317" t="s">
        <v>104</v>
      </c>
      <c r="F317">
        <v>1</v>
      </c>
      <c r="G317" t="s">
        <v>890</v>
      </c>
      <c r="H317" s="2">
        <v>295</v>
      </c>
      <c r="I317" t="s">
        <v>92</v>
      </c>
      <c r="J317" s="2">
        <f>INDEX(Positions!$A:$A,MATCH(E317,Positions!$B:$B,0))</f>
        <v>6</v>
      </c>
      <c r="K317" s="2">
        <f>INDEX(Locations!$A:$A,MATCH(I317,Locations!$B:$B,0))</f>
        <v>6</v>
      </c>
    </row>
    <row r="318" spans="1:11" x14ac:dyDescent="0.2">
      <c r="A318" s="3">
        <v>317</v>
      </c>
      <c r="B318" t="s">
        <v>59</v>
      </c>
      <c r="C318" t="s">
        <v>355</v>
      </c>
      <c r="D318" s="1">
        <v>34753</v>
      </c>
      <c r="E318" t="s">
        <v>101</v>
      </c>
      <c r="F318">
        <v>5</v>
      </c>
      <c r="G318" t="s">
        <v>891</v>
      </c>
      <c r="H318" s="2">
        <v>217</v>
      </c>
      <c r="I318" t="s">
        <v>92</v>
      </c>
      <c r="J318" s="2">
        <f>INDEX(Positions!$A:$A,MATCH(E318,Positions!$B:$B,0))</f>
        <v>76</v>
      </c>
      <c r="K318" s="2">
        <f>INDEX(Locations!$A:$A,MATCH(I318,Locations!$B:$B,0))</f>
        <v>6</v>
      </c>
    </row>
    <row r="319" spans="1:11" x14ac:dyDescent="0.2">
      <c r="A319" s="3">
        <v>318</v>
      </c>
      <c r="B319" t="s">
        <v>196</v>
      </c>
      <c r="C319" t="s">
        <v>273</v>
      </c>
      <c r="D319" s="1">
        <v>35759</v>
      </c>
      <c r="E319" t="s">
        <v>104</v>
      </c>
      <c r="F319">
        <v>1</v>
      </c>
      <c r="G319" t="s">
        <v>892</v>
      </c>
      <c r="H319" s="2">
        <v>145</v>
      </c>
      <c r="I319" t="s">
        <v>92</v>
      </c>
      <c r="J319" s="2">
        <f>INDEX(Positions!$A:$A,MATCH(E319,Positions!$B:$B,0))</f>
        <v>6</v>
      </c>
      <c r="K319" s="2">
        <f>INDEX(Locations!$A:$A,MATCH(I319,Locations!$B:$B,0))</f>
        <v>6</v>
      </c>
    </row>
    <row r="320" spans="1:11" x14ac:dyDescent="0.2">
      <c r="A320" s="3">
        <v>319</v>
      </c>
      <c r="B320" t="s">
        <v>348</v>
      </c>
      <c r="C320" t="s">
        <v>488</v>
      </c>
      <c r="D320" s="1">
        <v>36732</v>
      </c>
      <c r="E320" t="s">
        <v>104</v>
      </c>
      <c r="F320">
        <v>1</v>
      </c>
      <c r="G320" t="s">
        <v>893</v>
      </c>
      <c r="H320" s="2">
        <v>226</v>
      </c>
      <c r="I320" t="s">
        <v>92</v>
      </c>
      <c r="J320" s="2">
        <f>INDEX(Positions!$A:$A,MATCH(E320,Positions!$B:$B,0))</f>
        <v>6</v>
      </c>
      <c r="K320" s="2">
        <f>INDEX(Locations!$A:$A,MATCH(I320,Locations!$B:$B,0))</f>
        <v>6</v>
      </c>
    </row>
    <row r="321" spans="1:11" x14ac:dyDescent="0.2">
      <c r="A321" s="3">
        <v>320</v>
      </c>
      <c r="B321" t="s">
        <v>159</v>
      </c>
      <c r="C321" t="s">
        <v>94</v>
      </c>
      <c r="D321" s="1">
        <v>34670</v>
      </c>
      <c r="E321" t="s">
        <v>118</v>
      </c>
      <c r="F321">
        <v>3</v>
      </c>
      <c r="G321" t="s">
        <v>894</v>
      </c>
      <c r="H321" s="2">
        <v>252</v>
      </c>
      <c r="I321" t="s">
        <v>92</v>
      </c>
      <c r="J321" s="2">
        <f>INDEX(Positions!$A:$A,MATCH(E321,Positions!$B:$B,0))</f>
        <v>28</v>
      </c>
      <c r="K321" s="2">
        <f>INDEX(Locations!$A:$A,MATCH(I321,Locations!$B:$B,0))</f>
        <v>6</v>
      </c>
    </row>
    <row r="322" spans="1:11" x14ac:dyDescent="0.2">
      <c r="A322" s="3">
        <v>321</v>
      </c>
      <c r="B322" t="s">
        <v>127</v>
      </c>
      <c r="C322" t="s">
        <v>171</v>
      </c>
      <c r="D322" s="1">
        <v>31362</v>
      </c>
      <c r="E322" t="s">
        <v>121</v>
      </c>
      <c r="F322">
        <v>3</v>
      </c>
      <c r="G322" t="s">
        <v>547</v>
      </c>
      <c r="H322" s="2">
        <v>252</v>
      </c>
      <c r="I322" t="s">
        <v>92</v>
      </c>
      <c r="J322" s="2">
        <f>INDEX(Positions!$A:$A,MATCH(E322,Positions!$B:$B,0))</f>
        <v>31</v>
      </c>
      <c r="K322" s="2">
        <f>INDEX(Locations!$A:$A,MATCH(I322,Locations!$B:$B,0))</f>
        <v>6</v>
      </c>
    </row>
    <row r="323" spans="1:11" x14ac:dyDescent="0.2">
      <c r="A323" s="3">
        <v>322</v>
      </c>
      <c r="B323" t="s">
        <v>551</v>
      </c>
      <c r="C323" t="s">
        <v>420</v>
      </c>
      <c r="D323" s="1">
        <v>37557</v>
      </c>
      <c r="E323" t="s">
        <v>109</v>
      </c>
      <c r="F323">
        <v>2</v>
      </c>
      <c r="G323" t="s">
        <v>895</v>
      </c>
      <c r="H323" s="2">
        <v>211</v>
      </c>
      <c r="I323" t="s">
        <v>233</v>
      </c>
      <c r="J323" s="2">
        <f>INDEX(Positions!$A:$A,MATCH(E323,Positions!$B:$B,0))</f>
        <v>19</v>
      </c>
      <c r="K323" s="2">
        <f>INDEX(Locations!$A:$A,MATCH(I323,Locations!$B:$B,0))</f>
        <v>11</v>
      </c>
    </row>
    <row r="324" spans="1:11" x14ac:dyDescent="0.2">
      <c r="A324" s="3">
        <v>323</v>
      </c>
      <c r="B324" t="s">
        <v>406</v>
      </c>
      <c r="C324" t="s">
        <v>151</v>
      </c>
      <c r="D324" s="1">
        <v>37001</v>
      </c>
      <c r="E324" t="s">
        <v>121</v>
      </c>
      <c r="F324">
        <v>3</v>
      </c>
      <c r="G324" t="s">
        <v>896</v>
      </c>
      <c r="H324" s="2">
        <v>263</v>
      </c>
      <c r="I324" t="s">
        <v>233</v>
      </c>
      <c r="J324" s="2">
        <f>INDEX(Positions!$A:$A,MATCH(E324,Positions!$B:$B,0))</f>
        <v>31</v>
      </c>
      <c r="K324" s="2">
        <f>INDEX(Locations!$A:$A,MATCH(I324,Locations!$B:$B,0))</f>
        <v>11</v>
      </c>
    </row>
    <row r="325" spans="1:11" x14ac:dyDescent="0.2">
      <c r="A325" s="3">
        <v>324</v>
      </c>
      <c r="B325" t="s">
        <v>152</v>
      </c>
      <c r="C325" t="s">
        <v>126</v>
      </c>
      <c r="D325" s="1">
        <v>38031</v>
      </c>
      <c r="E325" t="s">
        <v>121</v>
      </c>
      <c r="F325">
        <v>3</v>
      </c>
      <c r="G325" t="s">
        <v>897</v>
      </c>
      <c r="H325" s="2">
        <v>231</v>
      </c>
      <c r="I325" t="s">
        <v>92</v>
      </c>
      <c r="J325" s="2">
        <f>INDEX(Positions!$A:$A,MATCH(E325,Positions!$B:$B,0))</f>
        <v>31</v>
      </c>
      <c r="K325" s="2">
        <f>INDEX(Locations!$A:$A,MATCH(I325,Locations!$B:$B,0))</f>
        <v>6</v>
      </c>
    </row>
    <row r="326" spans="1:11" x14ac:dyDescent="0.2">
      <c r="A326" s="3">
        <v>325</v>
      </c>
      <c r="B326" t="s">
        <v>112</v>
      </c>
      <c r="C326" t="s">
        <v>540</v>
      </c>
      <c r="D326" s="1">
        <v>36688</v>
      </c>
      <c r="E326" t="s">
        <v>109</v>
      </c>
      <c r="F326">
        <v>2</v>
      </c>
      <c r="G326" t="s">
        <v>898</v>
      </c>
      <c r="H326" s="2">
        <v>252</v>
      </c>
      <c r="I326" t="s">
        <v>92</v>
      </c>
      <c r="J326" s="2">
        <f>INDEX(Positions!$A:$A,MATCH(E326,Positions!$B:$B,0))</f>
        <v>19</v>
      </c>
      <c r="K326" s="2">
        <f>INDEX(Locations!$A:$A,MATCH(I326,Locations!$B:$B,0))</f>
        <v>6</v>
      </c>
    </row>
    <row r="327" spans="1:11" x14ac:dyDescent="0.2">
      <c r="A327" s="3">
        <v>326</v>
      </c>
      <c r="B327" t="s">
        <v>273</v>
      </c>
      <c r="C327" t="s">
        <v>469</v>
      </c>
      <c r="D327" s="1">
        <v>35924</v>
      </c>
      <c r="E327" t="s">
        <v>121</v>
      </c>
      <c r="F327">
        <v>3</v>
      </c>
      <c r="G327" t="s">
        <v>899</v>
      </c>
      <c r="H327" s="2">
        <v>183</v>
      </c>
      <c r="I327" t="s">
        <v>92</v>
      </c>
      <c r="J327" s="2">
        <f>INDEX(Positions!$A:$A,MATCH(E327,Positions!$B:$B,0))</f>
        <v>31</v>
      </c>
      <c r="K327" s="2">
        <f>INDEX(Locations!$A:$A,MATCH(I327,Locations!$B:$B,0))</f>
        <v>6</v>
      </c>
    </row>
    <row r="328" spans="1:11" x14ac:dyDescent="0.2">
      <c r="A328" s="3">
        <v>327</v>
      </c>
      <c r="B328" t="s">
        <v>445</v>
      </c>
      <c r="C328" t="s">
        <v>299</v>
      </c>
      <c r="D328" s="1">
        <v>38287</v>
      </c>
      <c r="E328" t="s">
        <v>104</v>
      </c>
      <c r="F328">
        <v>1</v>
      </c>
      <c r="G328" t="s">
        <v>900</v>
      </c>
      <c r="H328" s="2">
        <v>183</v>
      </c>
      <c r="I328" t="s">
        <v>92</v>
      </c>
      <c r="J328" s="2">
        <f>INDEX(Positions!$A:$A,MATCH(E328,Positions!$B:$B,0))</f>
        <v>6</v>
      </c>
      <c r="K328" s="2">
        <f>INDEX(Locations!$A:$A,MATCH(I328,Locations!$B:$B,0))</f>
        <v>6</v>
      </c>
    </row>
    <row r="329" spans="1:11" x14ac:dyDescent="0.2">
      <c r="A329" s="3">
        <v>328</v>
      </c>
      <c r="B329" t="s">
        <v>268</v>
      </c>
      <c r="C329" t="s">
        <v>321</v>
      </c>
      <c r="D329" s="1">
        <v>35708</v>
      </c>
      <c r="E329" t="s">
        <v>104</v>
      </c>
      <c r="F329">
        <v>1</v>
      </c>
      <c r="G329" t="s">
        <v>901</v>
      </c>
      <c r="H329" s="2">
        <v>317</v>
      </c>
      <c r="I329" t="s">
        <v>92</v>
      </c>
      <c r="J329" s="2">
        <f>INDEX(Positions!$A:$A,MATCH(E329,Positions!$B:$B,0))</f>
        <v>6</v>
      </c>
      <c r="K329" s="2">
        <f>INDEX(Locations!$A:$A,MATCH(I329,Locations!$B:$B,0))</f>
        <v>6</v>
      </c>
    </row>
    <row r="330" spans="1:11" x14ac:dyDescent="0.2">
      <c r="A330" s="3">
        <v>329</v>
      </c>
      <c r="B330" t="s">
        <v>185</v>
      </c>
      <c r="C330" t="s">
        <v>504</v>
      </c>
      <c r="D330" s="1">
        <v>33122</v>
      </c>
      <c r="E330" t="s">
        <v>121</v>
      </c>
      <c r="F330">
        <v>3</v>
      </c>
      <c r="G330" t="s">
        <v>902</v>
      </c>
      <c r="H330" s="2">
        <v>206</v>
      </c>
      <c r="I330" t="s">
        <v>233</v>
      </c>
      <c r="J330" s="2">
        <f>INDEX(Positions!$A:$A,MATCH(E330,Positions!$B:$B,0))</f>
        <v>31</v>
      </c>
      <c r="K330" s="2">
        <f>INDEX(Locations!$A:$A,MATCH(I330,Locations!$B:$B,0))</f>
        <v>11</v>
      </c>
    </row>
    <row r="331" spans="1:11" x14ac:dyDescent="0.2">
      <c r="A331" s="3">
        <v>330</v>
      </c>
      <c r="B331" t="s">
        <v>204</v>
      </c>
      <c r="C331" t="s">
        <v>789</v>
      </c>
      <c r="D331" s="1">
        <v>34584</v>
      </c>
      <c r="E331" t="s">
        <v>124</v>
      </c>
      <c r="F331">
        <v>4</v>
      </c>
      <c r="G331" t="s">
        <v>903</v>
      </c>
      <c r="H331" s="2">
        <v>209</v>
      </c>
      <c r="I331" t="s">
        <v>92</v>
      </c>
      <c r="J331" s="2">
        <f>INDEX(Positions!$A:$A,MATCH(E331,Positions!$B:$B,0))</f>
        <v>58</v>
      </c>
      <c r="K331" s="2">
        <f>INDEX(Locations!$A:$A,MATCH(I331,Locations!$B:$B,0))</f>
        <v>6</v>
      </c>
    </row>
    <row r="332" spans="1:11" x14ac:dyDescent="0.2">
      <c r="A332" s="3">
        <v>331</v>
      </c>
      <c r="B332" t="s">
        <v>257</v>
      </c>
      <c r="C332" t="s">
        <v>182</v>
      </c>
      <c r="D332" s="1">
        <v>39545</v>
      </c>
      <c r="E332" t="s">
        <v>109</v>
      </c>
      <c r="F332">
        <v>2</v>
      </c>
      <c r="G332" t="s">
        <v>904</v>
      </c>
      <c r="H332" s="2">
        <v>211</v>
      </c>
      <c r="I332" t="s">
        <v>233</v>
      </c>
      <c r="J332" s="2">
        <f>INDEX(Positions!$A:$A,MATCH(E332,Positions!$B:$B,0))</f>
        <v>19</v>
      </c>
      <c r="K332" s="2">
        <f>INDEX(Locations!$A:$A,MATCH(I332,Locations!$B:$B,0))</f>
        <v>11</v>
      </c>
    </row>
    <row r="333" spans="1:11" x14ac:dyDescent="0.2">
      <c r="A333" s="3">
        <v>332</v>
      </c>
      <c r="B333" t="s">
        <v>389</v>
      </c>
      <c r="C333" t="s">
        <v>375</v>
      </c>
      <c r="D333" s="1">
        <v>35967</v>
      </c>
      <c r="E333" t="s">
        <v>121</v>
      </c>
      <c r="F333">
        <v>3</v>
      </c>
      <c r="G333" t="s">
        <v>905</v>
      </c>
      <c r="H333" s="2">
        <v>226</v>
      </c>
      <c r="I333" t="s">
        <v>92</v>
      </c>
      <c r="J333" s="2">
        <f>INDEX(Positions!$A:$A,MATCH(E333,Positions!$B:$B,0))</f>
        <v>31</v>
      </c>
      <c r="K333" s="2">
        <f>INDEX(Locations!$A:$A,MATCH(I333,Locations!$B:$B,0))</f>
        <v>6</v>
      </c>
    </row>
    <row r="334" spans="1:11" x14ac:dyDescent="0.2">
      <c r="A334" s="3">
        <v>333</v>
      </c>
      <c r="B334" t="s">
        <v>702</v>
      </c>
      <c r="C334" t="s">
        <v>789</v>
      </c>
      <c r="D334" s="1">
        <v>38631</v>
      </c>
      <c r="E334" t="s">
        <v>104</v>
      </c>
      <c r="F334">
        <v>1</v>
      </c>
      <c r="G334" t="s">
        <v>906</v>
      </c>
      <c r="H334" s="2">
        <v>183</v>
      </c>
      <c r="I334" t="s">
        <v>92</v>
      </c>
      <c r="J334" s="2">
        <f>INDEX(Positions!$A:$A,MATCH(E334,Positions!$B:$B,0))</f>
        <v>6</v>
      </c>
      <c r="K334" s="2">
        <f>INDEX(Locations!$A:$A,MATCH(I334,Locations!$B:$B,0))</f>
        <v>6</v>
      </c>
    </row>
    <row r="335" spans="1:11" x14ac:dyDescent="0.2">
      <c r="A335" s="3">
        <v>334</v>
      </c>
      <c r="B335" t="s">
        <v>519</v>
      </c>
      <c r="C335" t="s">
        <v>192</v>
      </c>
      <c r="D335" s="1">
        <v>37729</v>
      </c>
      <c r="E335" t="s">
        <v>124</v>
      </c>
      <c r="F335">
        <v>4</v>
      </c>
      <c r="G335" t="s">
        <v>907</v>
      </c>
      <c r="H335" s="2">
        <v>119</v>
      </c>
      <c r="I335" t="s">
        <v>233</v>
      </c>
      <c r="J335" s="2">
        <f>INDEX(Positions!$A:$A,MATCH(E335,Positions!$B:$B,0))</f>
        <v>58</v>
      </c>
      <c r="K335" s="2">
        <f>INDEX(Locations!$A:$A,MATCH(I335,Locations!$B:$B,0))</f>
        <v>11</v>
      </c>
    </row>
    <row r="336" spans="1:11" x14ac:dyDescent="0.2">
      <c r="A336" s="3">
        <v>335</v>
      </c>
      <c r="B336" t="s">
        <v>463</v>
      </c>
      <c r="C336" t="s">
        <v>164</v>
      </c>
      <c r="D336" s="1">
        <v>36889</v>
      </c>
      <c r="E336" t="s">
        <v>109</v>
      </c>
      <c r="F336">
        <v>2</v>
      </c>
      <c r="G336" t="s">
        <v>908</v>
      </c>
      <c r="H336" s="2">
        <v>209</v>
      </c>
      <c r="I336" t="s">
        <v>92</v>
      </c>
      <c r="J336" s="2">
        <f>INDEX(Positions!$A:$A,MATCH(E336,Positions!$B:$B,0))</f>
        <v>19</v>
      </c>
      <c r="K336" s="2">
        <f>INDEX(Locations!$A:$A,MATCH(I336,Locations!$B:$B,0))</f>
        <v>6</v>
      </c>
    </row>
    <row r="337" spans="1:11" x14ac:dyDescent="0.2">
      <c r="A337" s="3">
        <v>336</v>
      </c>
      <c r="B337" t="s">
        <v>427</v>
      </c>
      <c r="C337" t="s">
        <v>239</v>
      </c>
      <c r="D337" s="1">
        <v>39094</v>
      </c>
      <c r="E337" t="s">
        <v>104</v>
      </c>
      <c r="F337">
        <v>1</v>
      </c>
      <c r="G337" t="s">
        <v>909</v>
      </c>
      <c r="H337" s="2">
        <v>152</v>
      </c>
      <c r="I337" t="s">
        <v>92</v>
      </c>
      <c r="J337" s="2">
        <f>INDEX(Positions!$A:$A,MATCH(E337,Positions!$B:$B,0))</f>
        <v>6</v>
      </c>
      <c r="K337" s="2">
        <f>INDEX(Locations!$A:$A,MATCH(I337,Locations!$B:$B,0))</f>
        <v>6</v>
      </c>
    </row>
    <row r="338" spans="1:11" x14ac:dyDescent="0.2">
      <c r="A338" s="3">
        <v>337</v>
      </c>
      <c r="B338" t="s">
        <v>322</v>
      </c>
      <c r="C338" t="s">
        <v>245</v>
      </c>
      <c r="D338" s="1">
        <v>36244</v>
      </c>
      <c r="E338" t="s">
        <v>109</v>
      </c>
      <c r="F338">
        <v>2</v>
      </c>
      <c r="G338" t="s">
        <v>910</v>
      </c>
      <c r="H338" s="2">
        <v>211</v>
      </c>
      <c r="I338" t="s">
        <v>233</v>
      </c>
      <c r="J338" s="2">
        <f>INDEX(Positions!$A:$A,MATCH(E338,Positions!$B:$B,0))</f>
        <v>19</v>
      </c>
      <c r="K338" s="2">
        <f>INDEX(Locations!$A:$A,MATCH(I338,Locations!$B:$B,0))</f>
        <v>11</v>
      </c>
    </row>
    <row r="339" spans="1:11" x14ac:dyDescent="0.2">
      <c r="A339" s="3">
        <v>338</v>
      </c>
      <c r="B339" t="s">
        <v>331</v>
      </c>
      <c r="C339" t="s">
        <v>487</v>
      </c>
      <c r="D339" s="1">
        <v>37665</v>
      </c>
      <c r="E339" t="s">
        <v>104</v>
      </c>
      <c r="F339">
        <v>1</v>
      </c>
      <c r="G339" t="s">
        <v>911</v>
      </c>
      <c r="H339" s="2">
        <v>231</v>
      </c>
      <c r="I339" t="s">
        <v>92</v>
      </c>
      <c r="J339" s="2">
        <f>INDEX(Positions!$A:$A,MATCH(E339,Positions!$B:$B,0))</f>
        <v>6</v>
      </c>
      <c r="K339" s="2">
        <f>INDEX(Locations!$A:$A,MATCH(I339,Locations!$B:$B,0))</f>
        <v>6</v>
      </c>
    </row>
    <row r="340" spans="1:11" x14ac:dyDescent="0.2">
      <c r="A340" s="3">
        <v>339</v>
      </c>
      <c r="B340" t="s">
        <v>86</v>
      </c>
      <c r="C340" t="s">
        <v>303</v>
      </c>
      <c r="D340" s="1">
        <v>37428</v>
      </c>
      <c r="E340" t="s">
        <v>104</v>
      </c>
      <c r="F340">
        <v>1</v>
      </c>
      <c r="G340" t="s">
        <v>912</v>
      </c>
      <c r="H340" s="2">
        <v>226</v>
      </c>
      <c r="I340" t="s">
        <v>92</v>
      </c>
      <c r="J340" s="2">
        <f>INDEX(Positions!$A:$A,MATCH(E340,Positions!$B:$B,0))</f>
        <v>6</v>
      </c>
      <c r="K340" s="2">
        <f>INDEX(Locations!$A:$A,MATCH(I340,Locations!$B:$B,0))</f>
        <v>6</v>
      </c>
    </row>
    <row r="341" spans="1:11" x14ac:dyDescent="0.2">
      <c r="A341" s="3">
        <v>340</v>
      </c>
      <c r="B341" t="s">
        <v>417</v>
      </c>
      <c r="C341" t="s">
        <v>384</v>
      </c>
      <c r="D341" s="1">
        <v>29654</v>
      </c>
      <c r="E341" t="s">
        <v>95</v>
      </c>
      <c r="F341">
        <v>6</v>
      </c>
      <c r="G341" t="s">
        <v>913</v>
      </c>
      <c r="H341" s="2">
        <v>261</v>
      </c>
      <c r="I341" t="s">
        <v>89</v>
      </c>
      <c r="J341" s="2">
        <f>INDEX(Positions!$A:$A,MATCH(E341,Positions!$B:$B,0))</f>
        <v>89</v>
      </c>
      <c r="K341" s="2">
        <f>INDEX(Locations!$A:$A,MATCH(I341,Locations!$B:$B,0))</f>
        <v>8</v>
      </c>
    </row>
    <row r="342" spans="1:11" x14ac:dyDescent="0.2">
      <c r="A342" s="3">
        <v>341</v>
      </c>
      <c r="B342" t="s">
        <v>310</v>
      </c>
      <c r="C342" t="s">
        <v>534</v>
      </c>
      <c r="D342" s="1">
        <v>34617</v>
      </c>
      <c r="E342" t="s">
        <v>109</v>
      </c>
      <c r="F342">
        <v>2</v>
      </c>
      <c r="G342" t="s">
        <v>914</v>
      </c>
      <c r="H342" s="2">
        <v>295</v>
      </c>
      <c r="I342" t="s">
        <v>92</v>
      </c>
      <c r="J342" s="2">
        <f>INDEX(Positions!$A:$A,MATCH(E342,Positions!$B:$B,0))</f>
        <v>19</v>
      </c>
      <c r="K342" s="2">
        <f>INDEX(Locations!$A:$A,MATCH(I342,Locations!$B:$B,0))</f>
        <v>6</v>
      </c>
    </row>
    <row r="343" spans="1:11" x14ac:dyDescent="0.2">
      <c r="A343" s="3">
        <v>342</v>
      </c>
      <c r="B343" t="s">
        <v>277</v>
      </c>
      <c r="C343" t="s">
        <v>262</v>
      </c>
      <c r="D343" s="1">
        <v>29133</v>
      </c>
      <c r="E343" t="s">
        <v>124</v>
      </c>
      <c r="F343">
        <v>4</v>
      </c>
      <c r="G343" t="s">
        <v>915</v>
      </c>
      <c r="H343" s="2">
        <v>231</v>
      </c>
      <c r="I343" t="s">
        <v>92</v>
      </c>
      <c r="J343" s="2">
        <f>INDEX(Positions!$A:$A,MATCH(E343,Positions!$B:$B,0))</f>
        <v>58</v>
      </c>
      <c r="K343" s="2">
        <f>INDEX(Locations!$A:$A,MATCH(I343,Locations!$B:$B,0))</f>
        <v>6</v>
      </c>
    </row>
    <row r="344" spans="1:11" x14ac:dyDescent="0.2">
      <c r="A344" s="3">
        <v>343</v>
      </c>
      <c r="B344" t="s">
        <v>433</v>
      </c>
      <c r="C344" t="s">
        <v>228</v>
      </c>
      <c r="D344" s="1">
        <v>36954</v>
      </c>
      <c r="E344" t="s">
        <v>104</v>
      </c>
      <c r="F344">
        <v>1</v>
      </c>
      <c r="G344" t="s">
        <v>916</v>
      </c>
      <c r="H344" s="2">
        <v>183</v>
      </c>
      <c r="I344" t="s">
        <v>92</v>
      </c>
      <c r="J344" s="2">
        <f>INDEX(Positions!$A:$A,MATCH(E344,Positions!$B:$B,0))</f>
        <v>6</v>
      </c>
      <c r="K344" s="2">
        <f>INDEX(Locations!$A:$A,MATCH(I344,Locations!$B:$B,0))</f>
        <v>6</v>
      </c>
    </row>
    <row r="345" spans="1:11" x14ac:dyDescent="0.2">
      <c r="A345" s="3">
        <v>344</v>
      </c>
      <c r="B345" t="s">
        <v>475</v>
      </c>
      <c r="C345" t="s">
        <v>352</v>
      </c>
      <c r="D345" s="1">
        <v>38526</v>
      </c>
      <c r="E345" t="s">
        <v>109</v>
      </c>
      <c r="F345">
        <v>2</v>
      </c>
      <c r="G345" t="s">
        <v>917</v>
      </c>
      <c r="H345" s="2">
        <v>144</v>
      </c>
      <c r="I345" t="s">
        <v>92</v>
      </c>
      <c r="J345" s="2">
        <f>INDEX(Positions!$A:$A,MATCH(E345,Positions!$B:$B,0))</f>
        <v>19</v>
      </c>
      <c r="K345" s="2">
        <f>INDEX(Locations!$A:$A,MATCH(I345,Locations!$B:$B,0))</f>
        <v>6</v>
      </c>
    </row>
    <row r="346" spans="1:11" x14ac:dyDescent="0.2">
      <c r="A346" s="3">
        <v>345</v>
      </c>
      <c r="B346" t="s">
        <v>272</v>
      </c>
      <c r="C346" t="s">
        <v>242</v>
      </c>
      <c r="D346" s="1">
        <v>35541</v>
      </c>
      <c r="E346" t="s">
        <v>104</v>
      </c>
      <c r="F346">
        <v>1</v>
      </c>
      <c r="G346" t="s">
        <v>918</v>
      </c>
      <c r="H346" s="2">
        <v>252</v>
      </c>
      <c r="I346" t="s">
        <v>92</v>
      </c>
      <c r="J346" s="2">
        <f>INDEX(Positions!$A:$A,MATCH(E346,Positions!$B:$B,0))</f>
        <v>6</v>
      </c>
      <c r="K346" s="2">
        <f>INDEX(Locations!$A:$A,MATCH(I346,Locations!$B:$B,0))</f>
        <v>6</v>
      </c>
    </row>
    <row r="347" spans="1:11" x14ac:dyDescent="0.2">
      <c r="A347" s="3">
        <v>346</v>
      </c>
      <c r="B347" t="s">
        <v>281</v>
      </c>
      <c r="C347" t="s">
        <v>507</v>
      </c>
      <c r="D347" s="1">
        <v>31272</v>
      </c>
      <c r="E347" t="s">
        <v>101</v>
      </c>
      <c r="F347">
        <v>5</v>
      </c>
      <c r="G347" t="s">
        <v>919</v>
      </c>
      <c r="H347" s="2">
        <v>136</v>
      </c>
      <c r="I347" t="s">
        <v>92</v>
      </c>
      <c r="J347" s="2">
        <f>INDEX(Positions!$A:$A,MATCH(E347,Positions!$B:$B,0))</f>
        <v>76</v>
      </c>
      <c r="K347" s="2">
        <f>INDEX(Locations!$A:$A,MATCH(I347,Locations!$B:$B,0))</f>
        <v>6</v>
      </c>
    </row>
    <row r="348" spans="1:11" x14ac:dyDescent="0.2">
      <c r="A348" s="3">
        <v>347</v>
      </c>
      <c r="B348" t="s">
        <v>345</v>
      </c>
      <c r="C348" t="s">
        <v>354</v>
      </c>
      <c r="D348" s="1">
        <v>39638</v>
      </c>
      <c r="E348" t="s">
        <v>104</v>
      </c>
      <c r="F348">
        <v>1</v>
      </c>
      <c r="G348" t="s">
        <v>920</v>
      </c>
      <c r="H348" s="2">
        <v>206</v>
      </c>
      <c r="I348" t="s">
        <v>233</v>
      </c>
      <c r="J348" s="2">
        <f>INDEX(Positions!$A:$A,MATCH(E348,Positions!$B:$B,0))</f>
        <v>6</v>
      </c>
      <c r="K348" s="2">
        <f>INDEX(Locations!$A:$A,MATCH(I348,Locations!$B:$B,0))</f>
        <v>11</v>
      </c>
    </row>
    <row r="349" spans="1:11" x14ac:dyDescent="0.2">
      <c r="A349" s="3">
        <v>348</v>
      </c>
      <c r="B349" t="s">
        <v>230</v>
      </c>
      <c r="C349" t="s">
        <v>113</v>
      </c>
      <c r="D349" s="1">
        <v>34570</v>
      </c>
      <c r="E349" t="s">
        <v>118</v>
      </c>
      <c r="F349">
        <v>3</v>
      </c>
      <c r="G349" t="s">
        <v>921</v>
      </c>
      <c r="H349" s="2">
        <v>346</v>
      </c>
      <c r="I349" t="s">
        <v>92</v>
      </c>
      <c r="J349" s="2">
        <f>INDEX(Positions!$A:$A,MATCH(E349,Positions!$B:$B,0))</f>
        <v>28</v>
      </c>
      <c r="K349" s="2">
        <f>INDEX(Locations!$A:$A,MATCH(I349,Locations!$B:$B,0))</f>
        <v>6</v>
      </c>
    </row>
    <row r="350" spans="1:11" x14ac:dyDescent="0.2">
      <c r="A350" s="3">
        <v>349</v>
      </c>
      <c r="B350" t="s">
        <v>546</v>
      </c>
      <c r="C350" t="s">
        <v>339</v>
      </c>
      <c r="D350" s="1">
        <v>34999</v>
      </c>
      <c r="E350" t="s">
        <v>121</v>
      </c>
      <c r="F350">
        <v>3</v>
      </c>
      <c r="G350" t="s">
        <v>922</v>
      </c>
      <c r="H350" s="2">
        <v>295</v>
      </c>
      <c r="I350" t="s">
        <v>92</v>
      </c>
      <c r="J350" s="2">
        <f>INDEX(Positions!$A:$A,MATCH(E350,Positions!$B:$B,0))</f>
        <v>31</v>
      </c>
      <c r="K350" s="2">
        <f>INDEX(Locations!$A:$A,MATCH(I350,Locations!$B:$B,0))</f>
        <v>6</v>
      </c>
    </row>
    <row r="351" spans="1:11" x14ac:dyDescent="0.2">
      <c r="A351" s="3">
        <v>350</v>
      </c>
      <c r="B351" t="s">
        <v>528</v>
      </c>
      <c r="C351" t="s">
        <v>550</v>
      </c>
      <c r="D351" s="1">
        <v>37917</v>
      </c>
      <c r="E351" t="s">
        <v>109</v>
      </c>
      <c r="F351">
        <v>2</v>
      </c>
      <c r="G351" t="s">
        <v>923</v>
      </c>
      <c r="H351" s="2">
        <v>346</v>
      </c>
      <c r="I351" t="s">
        <v>92</v>
      </c>
      <c r="J351" s="2">
        <f>INDEX(Positions!$A:$A,MATCH(E351,Positions!$B:$B,0))</f>
        <v>19</v>
      </c>
      <c r="K351" s="2">
        <f>INDEX(Locations!$A:$A,MATCH(I351,Locations!$B:$B,0))</f>
        <v>6</v>
      </c>
    </row>
    <row r="352" spans="1:11" x14ac:dyDescent="0.2">
      <c r="A352" s="3">
        <v>351</v>
      </c>
      <c r="B352" t="s">
        <v>924</v>
      </c>
      <c r="C352" t="s">
        <v>369</v>
      </c>
      <c r="D352" s="1">
        <v>34790</v>
      </c>
      <c r="E352" t="s">
        <v>109</v>
      </c>
      <c r="F352">
        <v>2</v>
      </c>
      <c r="G352" t="s">
        <v>925</v>
      </c>
      <c r="H352" s="2">
        <v>252</v>
      </c>
      <c r="I352" t="s">
        <v>92</v>
      </c>
      <c r="J352" s="2">
        <f>INDEX(Positions!$A:$A,MATCH(E352,Positions!$B:$B,0))</f>
        <v>19</v>
      </c>
      <c r="K352" s="2">
        <f>INDEX(Locations!$A:$A,MATCH(I352,Locations!$B:$B,0))</f>
        <v>6</v>
      </c>
    </row>
    <row r="353" spans="1:11" x14ac:dyDescent="0.2">
      <c r="A353" s="3">
        <v>352</v>
      </c>
      <c r="B353" t="s">
        <v>221</v>
      </c>
      <c r="C353" t="s">
        <v>177</v>
      </c>
      <c r="D353" s="1">
        <v>36163</v>
      </c>
      <c r="E353" t="s">
        <v>121</v>
      </c>
      <c r="F353">
        <v>3</v>
      </c>
      <c r="G353" t="s">
        <v>926</v>
      </c>
      <c r="H353" s="2">
        <v>317</v>
      </c>
      <c r="I353" t="s">
        <v>92</v>
      </c>
      <c r="J353" s="2">
        <f>INDEX(Positions!$A:$A,MATCH(E353,Positions!$B:$B,0))</f>
        <v>31</v>
      </c>
      <c r="K353" s="2">
        <f>INDEX(Locations!$A:$A,MATCH(I353,Locations!$B:$B,0))</f>
        <v>6</v>
      </c>
    </row>
    <row r="354" spans="1:11" x14ac:dyDescent="0.2">
      <c r="A354" s="3">
        <v>353</v>
      </c>
      <c r="B354" t="s">
        <v>530</v>
      </c>
      <c r="C354" t="s">
        <v>451</v>
      </c>
      <c r="D354" s="1">
        <v>37097</v>
      </c>
      <c r="E354" t="s">
        <v>104</v>
      </c>
      <c r="F354">
        <v>1</v>
      </c>
      <c r="G354" t="s">
        <v>927</v>
      </c>
      <c r="H354" s="2">
        <v>346</v>
      </c>
      <c r="I354" t="s">
        <v>92</v>
      </c>
      <c r="J354" s="2">
        <f>INDEX(Positions!$A:$A,MATCH(E354,Positions!$B:$B,0))</f>
        <v>6</v>
      </c>
      <c r="K354" s="2">
        <f>INDEX(Locations!$A:$A,MATCH(I354,Locations!$B:$B,0))</f>
        <v>6</v>
      </c>
    </row>
    <row r="355" spans="1:11" x14ac:dyDescent="0.2">
      <c r="A355" s="3">
        <v>354</v>
      </c>
      <c r="B355" t="s">
        <v>274</v>
      </c>
      <c r="C355" t="s">
        <v>288</v>
      </c>
      <c r="D355" s="1">
        <v>34868</v>
      </c>
      <c r="E355" t="s">
        <v>109</v>
      </c>
      <c r="F355">
        <v>2</v>
      </c>
      <c r="G355" t="s">
        <v>928</v>
      </c>
      <c r="H355" s="2">
        <v>317</v>
      </c>
      <c r="I355" t="s">
        <v>92</v>
      </c>
      <c r="J355" s="2">
        <f>INDEX(Positions!$A:$A,MATCH(E355,Positions!$B:$B,0))</f>
        <v>19</v>
      </c>
      <c r="K355" s="2">
        <f>INDEX(Locations!$A:$A,MATCH(I355,Locations!$B:$B,0))</f>
        <v>6</v>
      </c>
    </row>
    <row r="356" spans="1:11" x14ac:dyDescent="0.2">
      <c r="A356" s="3">
        <v>355</v>
      </c>
      <c r="B356" t="s">
        <v>385</v>
      </c>
      <c r="C356" t="s">
        <v>520</v>
      </c>
      <c r="D356" s="1">
        <v>35071</v>
      </c>
      <c r="E356" t="s">
        <v>109</v>
      </c>
      <c r="F356">
        <v>2</v>
      </c>
      <c r="G356" t="s">
        <v>929</v>
      </c>
      <c r="H356" s="2">
        <v>206</v>
      </c>
      <c r="I356" t="s">
        <v>233</v>
      </c>
      <c r="J356" s="2">
        <f>INDEX(Positions!$A:$A,MATCH(E356,Positions!$B:$B,0))</f>
        <v>19</v>
      </c>
      <c r="K356" s="2">
        <f>INDEX(Locations!$A:$A,MATCH(I356,Locations!$B:$B,0))</f>
        <v>11</v>
      </c>
    </row>
    <row r="357" spans="1:11" x14ac:dyDescent="0.2">
      <c r="A357" s="3">
        <v>356</v>
      </c>
      <c r="B357" t="s">
        <v>532</v>
      </c>
      <c r="C357" t="s">
        <v>352</v>
      </c>
      <c r="D357" s="1">
        <v>38866</v>
      </c>
      <c r="E357" t="s">
        <v>109</v>
      </c>
      <c r="F357">
        <v>2</v>
      </c>
      <c r="G357" t="s">
        <v>930</v>
      </c>
      <c r="H357" s="2">
        <v>317</v>
      </c>
      <c r="I357" t="s">
        <v>92</v>
      </c>
      <c r="J357" s="2">
        <f>INDEX(Positions!$A:$A,MATCH(E357,Positions!$B:$B,0))</f>
        <v>19</v>
      </c>
      <c r="K357" s="2">
        <f>INDEX(Locations!$A:$A,MATCH(I357,Locations!$B:$B,0))</f>
        <v>6</v>
      </c>
    </row>
    <row r="358" spans="1:11" x14ac:dyDescent="0.2">
      <c r="A358" s="3">
        <v>357</v>
      </c>
      <c r="B358" t="s">
        <v>365</v>
      </c>
      <c r="C358" t="s">
        <v>543</v>
      </c>
      <c r="D358" s="1">
        <v>33648</v>
      </c>
      <c r="E358" t="s">
        <v>109</v>
      </c>
      <c r="F358">
        <v>2</v>
      </c>
      <c r="G358" t="s">
        <v>931</v>
      </c>
      <c r="H358" s="2">
        <v>148</v>
      </c>
      <c r="I358" t="s">
        <v>92</v>
      </c>
      <c r="J358" s="2">
        <f>INDEX(Positions!$A:$A,MATCH(E358,Positions!$B:$B,0))</f>
        <v>19</v>
      </c>
      <c r="K358" s="2">
        <f>INDEX(Locations!$A:$A,MATCH(I358,Locations!$B:$B,0))</f>
        <v>6</v>
      </c>
    </row>
    <row r="359" spans="1:11" x14ac:dyDescent="0.2">
      <c r="A359" s="3">
        <v>358</v>
      </c>
      <c r="B359" t="s">
        <v>428</v>
      </c>
      <c r="C359" t="s">
        <v>429</v>
      </c>
      <c r="D359" s="1">
        <v>34979</v>
      </c>
      <c r="E359" t="s">
        <v>121</v>
      </c>
      <c r="F359">
        <v>3</v>
      </c>
      <c r="G359" t="s">
        <v>932</v>
      </c>
      <c r="H359" s="2">
        <v>346</v>
      </c>
      <c r="I359" t="s">
        <v>92</v>
      </c>
      <c r="J359" s="2">
        <f>INDEX(Positions!$A:$A,MATCH(E359,Positions!$B:$B,0))</f>
        <v>31</v>
      </c>
      <c r="K359" s="2">
        <f>INDEX(Locations!$A:$A,MATCH(I359,Locations!$B:$B,0))</f>
        <v>6</v>
      </c>
    </row>
    <row r="360" spans="1:11" x14ac:dyDescent="0.2">
      <c r="A360" s="3">
        <v>359</v>
      </c>
      <c r="B360" t="s">
        <v>187</v>
      </c>
      <c r="C360" t="s">
        <v>442</v>
      </c>
      <c r="D360" s="1">
        <v>30986</v>
      </c>
      <c r="E360" t="s">
        <v>124</v>
      </c>
      <c r="F360">
        <v>4</v>
      </c>
      <c r="G360" t="s">
        <v>454</v>
      </c>
      <c r="H360" s="2">
        <v>145</v>
      </c>
      <c r="I360" t="s">
        <v>92</v>
      </c>
      <c r="J360" s="2">
        <f>INDEX(Positions!$A:$A,MATCH(E360,Positions!$B:$B,0))</f>
        <v>58</v>
      </c>
      <c r="K360" s="2">
        <f>INDEX(Locations!$A:$A,MATCH(I360,Locations!$B:$B,0))</f>
        <v>6</v>
      </c>
    </row>
    <row r="361" spans="1:11" x14ac:dyDescent="0.2">
      <c r="A361" s="3">
        <v>360</v>
      </c>
      <c r="B361" t="s">
        <v>148</v>
      </c>
      <c r="C361" t="s">
        <v>225</v>
      </c>
      <c r="D361" s="1">
        <v>33222</v>
      </c>
      <c r="E361" t="s">
        <v>121</v>
      </c>
      <c r="F361">
        <v>3</v>
      </c>
      <c r="G361" t="s">
        <v>933</v>
      </c>
      <c r="H361" s="2">
        <v>239</v>
      </c>
      <c r="I361" t="s">
        <v>92</v>
      </c>
      <c r="J361" s="2">
        <f>INDEX(Positions!$A:$A,MATCH(E361,Positions!$B:$B,0))</f>
        <v>31</v>
      </c>
      <c r="K361" s="2">
        <f>INDEX(Locations!$A:$A,MATCH(I361,Locations!$B:$B,0))</f>
        <v>6</v>
      </c>
    </row>
    <row r="362" spans="1:11" x14ac:dyDescent="0.2">
      <c r="A362" s="3">
        <v>361</v>
      </c>
      <c r="B362" t="s">
        <v>461</v>
      </c>
      <c r="C362" t="s">
        <v>542</v>
      </c>
      <c r="D362" s="1">
        <v>36395</v>
      </c>
      <c r="E362" t="s">
        <v>118</v>
      </c>
      <c r="F362">
        <v>3</v>
      </c>
      <c r="G362" t="s">
        <v>934</v>
      </c>
      <c r="H362" s="2">
        <v>263</v>
      </c>
      <c r="I362" t="s">
        <v>233</v>
      </c>
      <c r="J362" s="2">
        <f>INDEX(Positions!$A:$A,MATCH(E362,Positions!$B:$B,0))</f>
        <v>28</v>
      </c>
      <c r="K362" s="2">
        <f>INDEX(Locations!$A:$A,MATCH(I362,Locations!$B:$B,0))</f>
        <v>11</v>
      </c>
    </row>
    <row r="363" spans="1:11" x14ac:dyDescent="0.2">
      <c r="A363" s="3">
        <v>362</v>
      </c>
      <c r="B363" t="s">
        <v>530</v>
      </c>
      <c r="C363" t="s">
        <v>344</v>
      </c>
      <c r="D363" s="1">
        <v>37878</v>
      </c>
      <c r="E363" t="s">
        <v>104</v>
      </c>
      <c r="F363">
        <v>1</v>
      </c>
      <c r="G363" t="s">
        <v>935</v>
      </c>
      <c r="H363" s="2">
        <v>263</v>
      </c>
      <c r="I363" t="s">
        <v>233</v>
      </c>
      <c r="J363" s="2">
        <f>INDEX(Positions!$A:$A,MATCH(E363,Positions!$B:$B,0))</f>
        <v>6</v>
      </c>
      <c r="K363" s="2">
        <f>INDEX(Locations!$A:$A,MATCH(I363,Locations!$B:$B,0))</f>
        <v>11</v>
      </c>
    </row>
    <row r="364" spans="1:11" x14ac:dyDescent="0.2">
      <c r="A364" s="3">
        <v>363</v>
      </c>
      <c r="B364" t="s">
        <v>230</v>
      </c>
      <c r="C364" t="s">
        <v>532</v>
      </c>
      <c r="D364" s="1">
        <v>36915</v>
      </c>
      <c r="E364" t="s">
        <v>109</v>
      </c>
      <c r="F364">
        <v>2</v>
      </c>
      <c r="G364" t="s">
        <v>936</v>
      </c>
      <c r="H364" s="2">
        <v>252</v>
      </c>
      <c r="I364" t="s">
        <v>92</v>
      </c>
      <c r="J364" s="2">
        <f>INDEX(Positions!$A:$A,MATCH(E364,Positions!$B:$B,0))</f>
        <v>19</v>
      </c>
      <c r="K364" s="2">
        <f>INDEX(Locations!$A:$A,MATCH(I364,Locations!$B:$B,0))</f>
        <v>6</v>
      </c>
    </row>
    <row r="365" spans="1:11" x14ac:dyDescent="0.2">
      <c r="A365" s="3">
        <v>364</v>
      </c>
      <c r="B365" t="s">
        <v>191</v>
      </c>
      <c r="C365" t="s">
        <v>624</v>
      </c>
      <c r="D365" s="1">
        <v>36305</v>
      </c>
      <c r="E365" t="s">
        <v>121</v>
      </c>
      <c r="F365">
        <v>3</v>
      </c>
      <c r="G365" t="s">
        <v>937</v>
      </c>
      <c r="H365" s="2">
        <v>211</v>
      </c>
      <c r="I365" t="s">
        <v>233</v>
      </c>
      <c r="J365" s="2">
        <f>INDEX(Positions!$A:$A,MATCH(E365,Positions!$B:$B,0))</f>
        <v>31</v>
      </c>
      <c r="K365" s="2">
        <f>INDEX(Locations!$A:$A,MATCH(I365,Locations!$B:$B,0))</f>
        <v>11</v>
      </c>
    </row>
    <row r="366" spans="1:11" x14ac:dyDescent="0.2">
      <c r="A366" s="3">
        <v>365</v>
      </c>
      <c r="B366" t="s">
        <v>296</v>
      </c>
      <c r="C366" t="s">
        <v>641</v>
      </c>
      <c r="D366" s="1">
        <v>34633</v>
      </c>
      <c r="E366" t="s">
        <v>101</v>
      </c>
      <c r="F366">
        <v>5</v>
      </c>
      <c r="G366" t="s">
        <v>938</v>
      </c>
      <c r="H366" s="2">
        <v>65</v>
      </c>
      <c r="I366" t="s">
        <v>233</v>
      </c>
      <c r="J366" s="2">
        <f>INDEX(Positions!$A:$A,MATCH(E366,Positions!$B:$B,0))</f>
        <v>76</v>
      </c>
      <c r="K366" s="2">
        <f>INDEX(Locations!$A:$A,MATCH(I366,Locations!$B:$B,0))</f>
        <v>11</v>
      </c>
    </row>
    <row r="367" spans="1:11" x14ac:dyDescent="0.2">
      <c r="A367" s="3">
        <v>366</v>
      </c>
      <c r="B367" t="s">
        <v>181</v>
      </c>
      <c r="C367" t="s">
        <v>505</v>
      </c>
      <c r="D367" s="1">
        <v>37447</v>
      </c>
      <c r="E367" t="s">
        <v>104</v>
      </c>
      <c r="F367">
        <v>1</v>
      </c>
      <c r="G367" t="s">
        <v>939</v>
      </c>
      <c r="H367" s="2">
        <v>365</v>
      </c>
      <c r="I367" t="s">
        <v>233</v>
      </c>
      <c r="J367" s="2">
        <f>INDEX(Positions!$A:$A,MATCH(E367,Positions!$B:$B,0))</f>
        <v>6</v>
      </c>
      <c r="K367" s="2">
        <f>INDEX(Locations!$A:$A,MATCH(I367,Locations!$B:$B,0))</f>
        <v>11</v>
      </c>
    </row>
    <row r="368" spans="1:11" x14ac:dyDescent="0.2">
      <c r="A368" s="3">
        <v>367</v>
      </c>
      <c r="B368" t="s">
        <v>204</v>
      </c>
      <c r="C368" t="s">
        <v>140</v>
      </c>
      <c r="D368" s="1">
        <v>39434</v>
      </c>
      <c r="E368" t="s">
        <v>104</v>
      </c>
      <c r="F368">
        <v>1</v>
      </c>
      <c r="G368" t="s">
        <v>940</v>
      </c>
      <c r="H368" s="2">
        <v>263</v>
      </c>
      <c r="I368" t="s">
        <v>233</v>
      </c>
      <c r="J368" s="2">
        <f>INDEX(Positions!$A:$A,MATCH(E368,Positions!$B:$B,0))</f>
        <v>6</v>
      </c>
      <c r="K368" s="2">
        <f>INDEX(Locations!$A:$A,MATCH(I368,Locations!$B:$B,0))</f>
        <v>11</v>
      </c>
    </row>
    <row r="369" spans="1:11" x14ac:dyDescent="0.2">
      <c r="A369" s="3">
        <v>368</v>
      </c>
      <c r="B369" t="s">
        <v>334</v>
      </c>
      <c r="C369" t="s">
        <v>278</v>
      </c>
      <c r="D369" s="1">
        <v>37091</v>
      </c>
      <c r="E369" t="s">
        <v>118</v>
      </c>
      <c r="F369">
        <v>3</v>
      </c>
      <c r="G369" t="s">
        <v>941</v>
      </c>
      <c r="H369" s="2">
        <v>239</v>
      </c>
      <c r="I369" t="s">
        <v>92</v>
      </c>
      <c r="J369" s="2">
        <f>INDEX(Positions!$A:$A,MATCH(E369,Positions!$B:$B,0))</f>
        <v>28</v>
      </c>
      <c r="K369" s="2">
        <f>INDEX(Locations!$A:$A,MATCH(I369,Locations!$B:$B,0))</f>
        <v>6</v>
      </c>
    </row>
    <row r="370" spans="1:11" x14ac:dyDescent="0.2">
      <c r="A370" s="3">
        <v>369</v>
      </c>
      <c r="B370" t="s">
        <v>404</v>
      </c>
      <c r="C370" t="s">
        <v>543</v>
      </c>
      <c r="D370" s="1">
        <v>33473</v>
      </c>
      <c r="E370" t="s">
        <v>124</v>
      </c>
      <c r="F370">
        <v>4</v>
      </c>
      <c r="G370" t="s">
        <v>942</v>
      </c>
      <c r="H370" s="2">
        <v>209</v>
      </c>
      <c r="I370" t="s">
        <v>92</v>
      </c>
      <c r="J370" s="2">
        <f>INDEX(Positions!$A:$A,MATCH(E370,Positions!$B:$B,0))</f>
        <v>58</v>
      </c>
      <c r="K370" s="2">
        <f>INDEX(Locations!$A:$A,MATCH(I370,Locations!$B:$B,0))</f>
        <v>6</v>
      </c>
    </row>
    <row r="371" spans="1:11" x14ac:dyDescent="0.2">
      <c r="A371" s="3">
        <v>370</v>
      </c>
      <c r="B371" t="s">
        <v>319</v>
      </c>
      <c r="C371" t="s">
        <v>154</v>
      </c>
      <c r="D371" s="1">
        <v>35655</v>
      </c>
      <c r="E371" t="s">
        <v>104</v>
      </c>
      <c r="F371">
        <v>1</v>
      </c>
      <c r="G371" t="s">
        <v>943</v>
      </c>
      <c r="H371" s="2">
        <v>148</v>
      </c>
      <c r="I371" t="s">
        <v>92</v>
      </c>
      <c r="J371" s="2">
        <f>INDEX(Positions!$A:$A,MATCH(E371,Positions!$B:$B,0))</f>
        <v>6</v>
      </c>
      <c r="K371" s="2">
        <f>INDEX(Locations!$A:$A,MATCH(I371,Locations!$B:$B,0))</f>
        <v>6</v>
      </c>
    </row>
    <row r="372" spans="1:11" x14ac:dyDescent="0.2">
      <c r="A372" s="3">
        <v>371</v>
      </c>
      <c r="B372" t="s">
        <v>289</v>
      </c>
      <c r="C372" t="s">
        <v>449</v>
      </c>
      <c r="D372" s="1">
        <v>33840</v>
      </c>
      <c r="E372" t="s">
        <v>109</v>
      </c>
      <c r="F372">
        <v>2</v>
      </c>
      <c r="G372" t="s">
        <v>944</v>
      </c>
      <c r="H372" s="2">
        <v>317</v>
      </c>
      <c r="I372" t="s">
        <v>92</v>
      </c>
      <c r="J372" s="2">
        <f>INDEX(Positions!$A:$A,MATCH(E372,Positions!$B:$B,0))</f>
        <v>19</v>
      </c>
      <c r="K372" s="2">
        <f>INDEX(Locations!$A:$A,MATCH(I372,Locations!$B:$B,0))</f>
        <v>6</v>
      </c>
    </row>
    <row r="373" spans="1:11" x14ac:dyDescent="0.2">
      <c r="A373" s="3">
        <v>372</v>
      </c>
      <c r="B373" t="s">
        <v>263</v>
      </c>
      <c r="C373" t="s">
        <v>134</v>
      </c>
      <c r="D373" s="1">
        <v>36474</v>
      </c>
      <c r="E373" t="s">
        <v>104</v>
      </c>
      <c r="F373">
        <v>1</v>
      </c>
      <c r="G373" t="s">
        <v>945</v>
      </c>
      <c r="H373" s="2">
        <v>295</v>
      </c>
      <c r="I373" t="s">
        <v>92</v>
      </c>
      <c r="J373" s="2">
        <f>INDEX(Positions!$A:$A,MATCH(E373,Positions!$B:$B,0))</f>
        <v>6</v>
      </c>
      <c r="K373" s="2">
        <f>INDEX(Locations!$A:$A,MATCH(I373,Locations!$B:$B,0))</f>
        <v>6</v>
      </c>
    </row>
    <row r="374" spans="1:11" x14ac:dyDescent="0.2">
      <c r="A374" s="3">
        <v>373</v>
      </c>
      <c r="B374" t="s">
        <v>698</v>
      </c>
      <c r="C374" t="s">
        <v>407</v>
      </c>
      <c r="D374" s="1">
        <v>39386</v>
      </c>
      <c r="E374" t="s">
        <v>109</v>
      </c>
      <c r="F374">
        <v>2</v>
      </c>
      <c r="G374" t="s">
        <v>946</v>
      </c>
      <c r="H374" s="2">
        <v>295</v>
      </c>
      <c r="I374" t="s">
        <v>92</v>
      </c>
      <c r="J374" s="2">
        <f>INDEX(Positions!$A:$A,MATCH(E374,Positions!$B:$B,0))</f>
        <v>19</v>
      </c>
      <c r="K374" s="2">
        <f>INDEX(Locations!$A:$A,MATCH(I374,Locations!$B:$B,0))</f>
        <v>6</v>
      </c>
    </row>
    <row r="375" spans="1:11" x14ac:dyDescent="0.2">
      <c r="A375" s="3">
        <v>374</v>
      </c>
      <c r="B375" t="s">
        <v>947</v>
      </c>
      <c r="C375" t="s">
        <v>199</v>
      </c>
      <c r="D375" s="1">
        <v>34791</v>
      </c>
      <c r="E375" t="s">
        <v>118</v>
      </c>
      <c r="F375">
        <v>3</v>
      </c>
      <c r="G375" t="s">
        <v>948</v>
      </c>
      <c r="H375" s="2">
        <v>317</v>
      </c>
      <c r="I375" t="s">
        <v>92</v>
      </c>
      <c r="J375" s="2">
        <f>INDEX(Positions!$A:$A,MATCH(E375,Positions!$B:$B,0))</f>
        <v>28</v>
      </c>
      <c r="K375" s="2">
        <f>INDEX(Locations!$A:$A,MATCH(I375,Locations!$B:$B,0))</f>
        <v>6</v>
      </c>
    </row>
    <row r="376" spans="1:11" x14ac:dyDescent="0.2">
      <c r="A376" s="3">
        <v>375</v>
      </c>
      <c r="B376" t="s">
        <v>330</v>
      </c>
      <c r="C376" t="s">
        <v>489</v>
      </c>
      <c r="D376" s="1">
        <v>36664</v>
      </c>
      <c r="E376" t="s">
        <v>104</v>
      </c>
      <c r="F376">
        <v>1</v>
      </c>
      <c r="G376" t="s">
        <v>949</v>
      </c>
      <c r="H376" s="2">
        <v>346</v>
      </c>
      <c r="I376" t="s">
        <v>92</v>
      </c>
      <c r="J376" s="2">
        <f>INDEX(Positions!$A:$A,MATCH(E376,Positions!$B:$B,0))</f>
        <v>6</v>
      </c>
      <c r="K376" s="2">
        <f>INDEX(Locations!$A:$A,MATCH(I376,Locations!$B:$B,0))</f>
        <v>6</v>
      </c>
    </row>
    <row r="377" spans="1:11" x14ac:dyDescent="0.2">
      <c r="A377" s="3">
        <v>376</v>
      </c>
      <c r="B377" t="s">
        <v>285</v>
      </c>
      <c r="C377" t="s">
        <v>126</v>
      </c>
      <c r="D377" s="1">
        <v>33680</v>
      </c>
      <c r="E377" t="s">
        <v>101</v>
      </c>
      <c r="F377">
        <v>5</v>
      </c>
      <c r="G377" t="s">
        <v>950</v>
      </c>
      <c r="H377" s="2">
        <v>340</v>
      </c>
      <c r="I377" t="s">
        <v>89</v>
      </c>
      <c r="J377" s="2">
        <f>INDEX(Positions!$A:$A,MATCH(E377,Positions!$B:$B,0))</f>
        <v>76</v>
      </c>
      <c r="K377" s="2">
        <f>INDEX(Locations!$A:$A,MATCH(I377,Locations!$B:$B,0))</f>
        <v>8</v>
      </c>
    </row>
    <row r="378" spans="1:11" x14ac:dyDescent="0.2">
      <c r="A378" s="3">
        <v>377</v>
      </c>
      <c r="B378" t="s">
        <v>116</v>
      </c>
      <c r="C378" t="s">
        <v>154</v>
      </c>
      <c r="D378" s="1">
        <v>36431</v>
      </c>
      <c r="E378" t="s">
        <v>109</v>
      </c>
      <c r="F378">
        <v>2</v>
      </c>
      <c r="G378" t="s">
        <v>951</v>
      </c>
      <c r="H378" s="2">
        <v>365</v>
      </c>
      <c r="I378" t="s">
        <v>233</v>
      </c>
      <c r="J378" s="2">
        <f>INDEX(Positions!$A:$A,MATCH(E378,Positions!$B:$B,0))</f>
        <v>19</v>
      </c>
      <c r="K378" s="2">
        <f>INDEX(Locations!$A:$A,MATCH(I378,Locations!$B:$B,0))</f>
        <v>11</v>
      </c>
    </row>
    <row r="379" spans="1:11" x14ac:dyDescent="0.2">
      <c r="A379" s="3">
        <v>378</v>
      </c>
      <c r="B379" t="s">
        <v>397</v>
      </c>
      <c r="C379" t="s">
        <v>305</v>
      </c>
      <c r="D379" s="1">
        <v>37696</v>
      </c>
      <c r="E379" t="s">
        <v>109</v>
      </c>
      <c r="F379">
        <v>2</v>
      </c>
      <c r="G379" t="s">
        <v>952</v>
      </c>
      <c r="H379" s="2">
        <v>346</v>
      </c>
      <c r="I379" t="s">
        <v>92</v>
      </c>
      <c r="J379" s="2">
        <f>INDEX(Positions!$A:$A,MATCH(E379,Positions!$B:$B,0))</f>
        <v>19</v>
      </c>
      <c r="K379" s="2">
        <f>INDEX(Locations!$A:$A,MATCH(I379,Locations!$B:$B,0))</f>
        <v>6</v>
      </c>
    </row>
    <row r="380" spans="1:11" x14ac:dyDescent="0.2">
      <c r="A380" s="3">
        <v>379</v>
      </c>
      <c r="B380" t="s">
        <v>455</v>
      </c>
      <c r="C380" t="s">
        <v>408</v>
      </c>
      <c r="D380" s="1">
        <v>37358</v>
      </c>
      <c r="E380" t="s">
        <v>104</v>
      </c>
      <c r="F380">
        <v>1</v>
      </c>
      <c r="G380" t="s">
        <v>953</v>
      </c>
      <c r="H380" s="2">
        <v>231</v>
      </c>
      <c r="I380" t="s">
        <v>92</v>
      </c>
      <c r="J380" s="2">
        <f>INDEX(Positions!$A:$A,MATCH(E380,Positions!$B:$B,0))</f>
        <v>6</v>
      </c>
      <c r="K380" s="2">
        <f>INDEX(Locations!$A:$A,MATCH(I380,Locations!$B:$B,0))</f>
        <v>6</v>
      </c>
    </row>
    <row r="381" spans="1:11" x14ac:dyDescent="0.2">
      <c r="A381" s="3">
        <v>380</v>
      </c>
      <c r="B381" t="s">
        <v>385</v>
      </c>
      <c r="C381" t="s">
        <v>536</v>
      </c>
      <c r="D381" s="1">
        <v>36442</v>
      </c>
      <c r="E381" t="s">
        <v>109</v>
      </c>
      <c r="F381">
        <v>2</v>
      </c>
      <c r="G381" t="s">
        <v>954</v>
      </c>
      <c r="H381" s="2">
        <v>365</v>
      </c>
      <c r="I381" t="s">
        <v>233</v>
      </c>
      <c r="J381" s="2">
        <f>INDEX(Positions!$A:$A,MATCH(E381,Positions!$B:$B,0))</f>
        <v>19</v>
      </c>
      <c r="K381" s="2">
        <f>INDEX(Locations!$A:$A,MATCH(I381,Locations!$B:$B,0))</f>
        <v>11</v>
      </c>
    </row>
    <row r="382" spans="1:11" x14ac:dyDescent="0.2">
      <c r="A382" s="3">
        <v>381</v>
      </c>
      <c r="B382" t="s">
        <v>176</v>
      </c>
      <c r="C382" t="s">
        <v>149</v>
      </c>
      <c r="D382" s="1">
        <v>33782</v>
      </c>
      <c r="E382" t="s">
        <v>95</v>
      </c>
      <c r="F382">
        <v>6</v>
      </c>
      <c r="G382" t="s">
        <v>955</v>
      </c>
      <c r="H382" s="2">
        <v>261</v>
      </c>
      <c r="I382" t="s">
        <v>89</v>
      </c>
      <c r="J382" s="2">
        <f>INDEX(Positions!$A:$A,MATCH(E382,Positions!$B:$B,0))</f>
        <v>89</v>
      </c>
      <c r="K382" s="2">
        <f>INDEX(Locations!$A:$A,MATCH(I382,Locations!$B:$B,0))</f>
        <v>8</v>
      </c>
    </row>
    <row r="383" spans="1:11" x14ac:dyDescent="0.2">
      <c r="A383" s="3">
        <v>382</v>
      </c>
      <c r="B383" t="s">
        <v>144</v>
      </c>
      <c r="C383" t="s">
        <v>94</v>
      </c>
      <c r="D383" s="1">
        <v>33748</v>
      </c>
      <c r="E383" t="s">
        <v>101</v>
      </c>
      <c r="F383">
        <v>5</v>
      </c>
      <c r="G383" t="s">
        <v>956</v>
      </c>
      <c r="H383" s="2">
        <v>381</v>
      </c>
      <c r="I383" t="s">
        <v>89</v>
      </c>
      <c r="J383" s="2">
        <f>INDEX(Positions!$A:$A,MATCH(E383,Positions!$B:$B,0))</f>
        <v>76</v>
      </c>
      <c r="K383" s="2">
        <f>INDEX(Locations!$A:$A,MATCH(I383,Locations!$B:$B,0))</f>
        <v>8</v>
      </c>
    </row>
    <row r="384" spans="1:11" x14ac:dyDescent="0.2">
      <c r="A384" s="3">
        <v>383</v>
      </c>
      <c r="B384" t="s">
        <v>308</v>
      </c>
      <c r="C384" t="s">
        <v>503</v>
      </c>
      <c r="D384" s="1">
        <v>39387</v>
      </c>
      <c r="E384" t="s">
        <v>104</v>
      </c>
      <c r="F384">
        <v>1</v>
      </c>
      <c r="G384" t="s">
        <v>957</v>
      </c>
      <c r="H384" s="2">
        <v>365</v>
      </c>
      <c r="I384" t="s">
        <v>233</v>
      </c>
      <c r="J384" s="2">
        <f>INDEX(Positions!$A:$A,MATCH(E384,Positions!$B:$B,0))</f>
        <v>6</v>
      </c>
      <c r="K384" s="2">
        <f>INDEX(Locations!$A:$A,MATCH(I384,Locations!$B:$B,0))</f>
        <v>11</v>
      </c>
    </row>
    <row r="385" spans="1:11" x14ac:dyDescent="0.2">
      <c r="A385" s="3">
        <v>384</v>
      </c>
      <c r="B385" t="s">
        <v>530</v>
      </c>
      <c r="C385" t="s">
        <v>126</v>
      </c>
      <c r="D385" s="1">
        <v>37701</v>
      </c>
      <c r="E385" t="s">
        <v>109</v>
      </c>
      <c r="F385">
        <v>2</v>
      </c>
      <c r="G385" t="s">
        <v>958</v>
      </c>
      <c r="H385" s="2">
        <v>239</v>
      </c>
      <c r="I385" t="s">
        <v>92</v>
      </c>
      <c r="J385" s="2">
        <f>INDEX(Positions!$A:$A,MATCH(E385,Positions!$B:$B,0))</f>
        <v>19</v>
      </c>
      <c r="K385" s="2">
        <f>INDEX(Locations!$A:$A,MATCH(I385,Locations!$B:$B,0))</f>
        <v>6</v>
      </c>
    </row>
    <row r="386" spans="1:11" x14ac:dyDescent="0.2">
      <c r="A386" s="3">
        <v>385</v>
      </c>
      <c r="B386" t="s">
        <v>364</v>
      </c>
      <c r="C386" t="s">
        <v>94</v>
      </c>
      <c r="D386" s="1">
        <v>36640</v>
      </c>
      <c r="E386" t="s">
        <v>109</v>
      </c>
      <c r="F386">
        <v>2</v>
      </c>
      <c r="G386" t="s">
        <v>959</v>
      </c>
      <c r="H386" s="2">
        <v>382</v>
      </c>
      <c r="I386" t="s">
        <v>89</v>
      </c>
      <c r="J386" s="2">
        <f>INDEX(Positions!$A:$A,MATCH(E386,Positions!$B:$B,0))</f>
        <v>19</v>
      </c>
      <c r="K386" s="2">
        <f>INDEX(Locations!$A:$A,MATCH(I386,Locations!$B:$B,0))</f>
        <v>8</v>
      </c>
    </row>
    <row r="387" spans="1:11" x14ac:dyDescent="0.2">
      <c r="A387" s="3">
        <v>386</v>
      </c>
      <c r="B387" t="s">
        <v>719</v>
      </c>
      <c r="C387" t="s">
        <v>160</v>
      </c>
      <c r="D387" s="1">
        <v>38856</v>
      </c>
      <c r="E387" t="s">
        <v>109</v>
      </c>
      <c r="F387">
        <v>2</v>
      </c>
      <c r="G387" t="s">
        <v>960</v>
      </c>
      <c r="H387" s="2">
        <v>144</v>
      </c>
      <c r="I387" t="s">
        <v>92</v>
      </c>
      <c r="J387" s="2">
        <f>INDEX(Positions!$A:$A,MATCH(E387,Positions!$B:$B,0))</f>
        <v>19</v>
      </c>
      <c r="K387" s="2">
        <f>INDEX(Locations!$A:$A,MATCH(I387,Locations!$B:$B,0))</f>
        <v>6</v>
      </c>
    </row>
    <row r="388" spans="1:11" x14ac:dyDescent="0.2">
      <c r="A388" s="3">
        <v>387</v>
      </c>
      <c r="B388" t="s">
        <v>200</v>
      </c>
      <c r="C388" t="s">
        <v>94</v>
      </c>
      <c r="D388" s="1">
        <v>33927</v>
      </c>
      <c r="E388" t="s">
        <v>104</v>
      </c>
      <c r="F388">
        <v>1</v>
      </c>
      <c r="G388" t="s">
        <v>961</v>
      </c>
      <c r="H388" s="2">
        <v>365</v>
      </c>
      <c r="I388" t="s">
        <v>233</v>
      </c>
      <c r="J388" s="2">
        <f>INDEX(Positions!$A:$A,MATCH(E388,Positions!$B:$B,0))</f>
        <v>6</v>
      </c>
      <c r="K388" s="2">
        <f>INDEX(Locations!$A:$A,MATCH(I388,Locations!$B:$B,0))</f>
        <v>11</v>
      </c>
    </row>
    <row r="389" spans="1:11" x14ac:dyDescent="0.2">
      <c r="A389" s="3">
        <v>388</v>
      </c>
      <c r="B389" t="s">
        <v>397</v>
      </c>
      <c r="C389" t="s">
        <v>225</v>
      </c>
      <c r="D389" s="1">
        <v>32110</v>
      </c>
      <c r="E389" t="s">
        <v>101</v>
      </c>
      <c r="F389">
        <v>5</v>
      </c>
      <c r="G389" t="s">
        <v>962</v>
      </c>
      <c r="H389" s="2">
        <v>340</v>
      </c>
      <c r="I389" t="s">
        <v>89</v>
      </c>
      <c r="J389" s="2">
        <f>INDEX(Positions!$A:$A,MATCH(E389,Positions!$B:$B,0))</f>
        <v>76</v>
      </c>
      <c r="K389" s="2">
        <f>INDEX(Locations!$A:$A,MATCH(I389,Locations!$B:$B,0))</f>
        <v>8</v>
      </c>
    </row>
    <row r="390" spans="1:11" x14ac:dyDescent="0.2">
      <c r="A390" s="3">
        <v>389</v>
      </c>
      <c r="B390" t="s">
        <v>112</v>
      </c>
      <c r="C390" t="s">
        <v>253</v>
      </c>
      <c r="D390" s="1">
        <v>35152</v>
      </c>
      <c r="E390" t="s">
        <v>109</v>
      </c>
      <c r="F390">
        <v>2</v>
      </c>
      <c r="G390" t="s">
        <v>963</v>
      </c>
      <c r="H390" s="2">
        <v>183</v>
      </c>
      <c r="I390" t="s">
        <v>92</v>
      </c>
      <c r="J390" s="2">
        <f>INDEX(Positions!$A:$A,MATCH(E390,Positions!$B:$B,0))</f>
        <v>19</v>
      </c>
      <c r="K390" s="2">
        <f>INDEX(Locations!$A:$A,MATCH(I390,Locations!$B:$B,0))</f>
        <v>6</v>
      </c>
    </row>
    <row r="391" spans="1:11" x14ac:dyDescent="0.2">
      <c r="A391" s="3">
        <v>390</v>
      </c>
      <c r="B391" t="s">
        <v>244</v>
      </c>
      <c r="C391" t="s">
        <v>154</v>
      </c>
      <c r="D391" s="1">
        <v>38311</v>
      </c>
      <c r="E391" t="s">
        <v>104</v>
      </c>
      <c r="F391">
        <v>1</v>
      </c>
      <c r="G391" t="s">
        <v>964</v>
      </c>
      <c r="H391" s="2">
        <v>144</v>
      </c>
      <c r="I391" t="s">
        <v>92</v>
      </c>
      <c r="J391" s="2">
        <f>INDEX(Positions!$A:$A,MATCH(E391,Positions!$B:$B,0))</f>
        <v>6</v>
      </c>
      <c r="K391" s="2">
        <f>INDEX(Locations!$A:$A,MATCH(I391,Locations!$B:$B,0))</f>
        <v>6</v>
      </c>
    </row>
    <row r="392" spans="1:11" x14ac:dyDescent="0.2">
      <c r="A392" s="3">
        <v>391</v>
      </c>
      <c r="B392" t="s">
        <v>473</v>
      </c>
      <c r="C392" t="s">
        <v>375</v>
      </c>
      <c r="D392" s="1">
        <v>37740</v>
      </c>
      <c r="E392" t="s">
        <v>118</v>
      </c>
      <c r="F392">
        <v>3</v>
      </c>
      <c r="G392" t="s">
        <v>965</v>
      </c>
      <c r="H392" s="2">
        <v>152</v>
      </c>
      <c r="I392" t="s">
        <v>92</v>
      </c>
      <c r="J392" s="2">
        <f>INDEX(Positions!$A:$A,MATCH(E392,Positions!$B:$B,0))</f>
        <v>28</v>
      </c>
      <c r="K392" s="2">
        <f>INDEX(Locations!$A:$A,MATCH(I392,Locations!$B:$B,0))</f>
        <v>6</v>
      </c>
    </row>
    <row r="393" spans="1:11" x14ac:dyDescent="0.2">
      <c r="A393" s="3">
        <v>392</v>
      </c>
      <c r="B393" t="s">
        <v>478</v>
      </c>
      <c r="C393" t="s">
        <v>388</v>
      </c>
      <c r="D393" s="1">
        <v>37560</v>
      </c>
      <c r="E393" t="s">
        <v>109</v>
      </c>
      <c r="F393">
        <v>2</v>
      </c>
      <c r="G393" t="s">
        <v>966</v>
      </c>
      <c r="H393" s="2">
        <v>376</v>
      </c>
      <c r="I393" t="s">
        <v>89</v>
      </c>
      <c r="J393" s="2">
        <f>INDEX(Positions!$A:$A,MATCH(E393,Positions!$B:$B,0))</f>
        <v>19</v>
      </c>
      <c r="K393" s="2">
        <f>INDEX(Locations!$A:$A,MATCH(I393,Locations!$B:$B,0))</f>
        <v>8</v>
      </c>
    </row>
    <row r="394" spans="1:11" x14ac:dyDescent="0.2">
      <c r="A394" s="3">
        <v>393</v>
      </c>
      <c r="B394" t="s">
        <v>492</v>
      </c>
      <c r="C394" t="s">
        <v>262</v>
      </c>
      <c r="D394" s="1">
        <v>35955</v>
      </c>
      <c r="E394" t="s">
        <v>109</v>
      </c>
      <c r="F394">
        <v>2</v>
      </c>
      <c r="G394" t="s">
        <v>967</v>
      </c>
      <c r="H394" s="2">
        <v>231</v>
      </c>
      <c r="I394" t="s">
        <v>92</v>
      </c>
      <c r="J394" s="2">
        <f>INDEX(Positions!$A:$A,MATCH(E394,Positions!$B:$B,0))</f>
        <v>19</v>
      </c>
      <c r="K394" s="2">
        <f>INDEX(Locations!$A:$A,MATCH(I394,Locations!$B:$B,0))</f>
        <v>6</v>
      </c>
    </row>
    <row r="395" spans="1:11" x14ac:dyDescent="0.2">
      <c r="A395" s="3">
        <v>394</v>
      </c>
      <c r="B395" t="s">
        <v>319</v>
      </c>
      <c r="C395" t="s">
        <v>91</v>
      </c>
      <c r="D395" s="1">
        <v>34552</v>
      </c>
      <c r="E395" t="s">
        <v>124</v>
      </c>
      <c r="F395">
        <v>4</v>
      </c>
      <c r="G395" t="s">
        <v>968</v>
      </c>
      <c r="H395" s="2">
        <v>382</v>
      </c>
      <c r="I395" t="s">
        <v>89</v>
      </c>
      <c r="J395" s="2">
        <f>INDEX(Positions!$A:$A,MATCH(E395,Positions!$B:$B,0))</f>
        <v>58</v>
      </c>
      <c r="K395" s="2">
        <f>INDEX(Locations!$A:$A,MATCH(I395,Locations!$B:$B,0))</f>
        <v>8</v>
      </c>
    </row>
    <row r="396" spans="1:11" x14ac:dyDescent="0.2">
      <c r="A396" s="3">
        <v>395</v>
      </c>
      <c r="B396" t="s">
        <v>452</v>
      </c>
      <c r="C396" t="s">
        <v>399</v>
      </c>
      <c r="D396" s="1">
        <v>35060</v>
      </c>
      <c r="E396" t="s">
        <v>124</v>
      </c>
      <c r="F396">
        <v>4</v>
      </c>
      <c r="G396" t="s">
        <v>969</v>
      </c>
      <c r="H396" s="2">
        <v>295</v>
      </c>
      <c r="I396" t="s">
        <v>92</v>
      </c>
      <c r="J396" s="2">
        <f>INDEX(Positions!$A:$A,MATCH(E396,Positions!$B:$B,0))</f>
        <v>58</v>
      </c>
      <c r="K396" s="2">
        <f>INDEX(Locations!$A:$A,MATCH(I396,Locations!$B:$B,0))</f>
        <v>6</v>
      </c>
    </row>
    <row r="397" spans="1:11" x14ac:dyDescent="0.2">
      <c r="A397" s="3">
        <v>396</v>
      </c>
      <c r="B397" t="s">
        <v>322</v>
      </c>
      <c r="C397" t="s">
        <v>242</v>
      </c>
      <c r="D397" s="1">
        <v>33839</v>
      </c>
      <c r="E397" t="s">
        <v>118</v>
      </c>
      <c r="F397">
        <v>3</v>
      </c>
      <c r="G397" t="s">
        <v>970</v>
      </c>
      <c r="H397" s="2">
        <v>376</v>
      </c>
      <c r="I397" t="s">
        <v>89</v>
      </c>
      <c r="J397" s="2">
        <f>INDEX(Positions!$A:$A,MATCH(E397,Positions!$B:$B,0))</f>
        <v>28</v>
      </c>
      <c r="K397" s="2">
        <f>INDEX(Locations!$A:$A,MATCH(I397,Locations!$B:$B,0))</f>
        <v>8</v>
      </c>
    </row>
    <row r="398" spans="1:11" x14ac:dyDescent="0.2">
      <c r="A398" s="3">
        <v>397</v>
      </c>
      <c r="B398" t="s">
        <v>129</v>
      </c>
      <c r="C398" t="s">
        <v>497</v>
      </c>
      <c r="D398" s="1">
        <v>36430</v>
      </c>
      <c r="E398" t="s">
        <v>118</v>
      </c>
      <c r="F398">
        <v>3</v>
      </c>
      <c r="G398" t="s">
        <v>971</v>
      </c>
      <c r="H398" s="2">
        <v>231</v>
      </c>
      <c r="I398" t="s">
        <v>92</v>
      </c>
      <c r="J398" s="2">
        <f>INDEX(Positions!$A:$A,MATCH(E398,Positions!$B:$B,0))</f>
        <v>28</v>
      </c>
      <c r="K398" s="2">
        <f>INDEX(Locations!$A:$A,MATCH(I398,Locations!$B:$B,0))</f>
        <v>6</v>
      </c>
    </row>
    <row r="399" spans="1:11" x14ac:dyDescent="0.2">
      <c r="A399" s="3">
        <v>398</v>
      </c>
      <c r="B399" t="s">
        <v>442</v>
      </c>
      <c r="C399" t="s">
        <v>294</v>
      </c>
      <c r="D399" s="1">
        <v>35645</v>
      </c>
      <c r="E399" t="s">
        <v>118</v>
      </c>
      <c r="F399">
        <v>3</v>
      </c>
      <c r="G399" t="s">
        <v>972</v>
      </c>
      <c r="H399" s="2">
        <v>252</v>
      </c>
      <c r="I399" t="s">
        <v>92</v>
      </c>
      <c r="J399" s="2">
        <f>INDEX(Positions!$A:$A,MATCH(E399,Positions!$B:$B,0))</f>
        <v>28</v>
      </c>
      <c r="K399" s="2">
        <f>INDEX(Locations!$A:$A,MATCH(I399,Locations!$B:$B,0))</f>
        <v>6</v>
      </c>
    </row>
    <row r="400" spans="1:11" x14ac:dyDescent="0.2">
      <c r="A400" s="3">
        <v>399</v>
      </c>
      <c r="B400" t="s">
        <v>435</v>
      </c>
      <c r="C400" t="s">
        <v>170</v>
      </c>
      <c r="D400" s="1">
        <v>39040</v>
      </c>
      <c r="E400" t="s">
        <v>104</v>
      </c>
      <c r="F400">
        <v>1</v>
      </c>
      <c r="G400" t="s">
        <v>973</v>
      </c>
      <c r="H400" s="2">
        <v>346</v>
      </c>
      <c r="I400" t="s">
        <v>92</v>
      </c>
      <c r="J400" s="2">
        <f>INDEX(Positions!$A:$A,MATCH(E400,Positions!$B:$B,0))</f>
        <v>6</v>
      </c>
      <c r="K400" s="2">
        <f>INDEX(Locations!$A:$A,MATCH(I400,Locations!$B:$B,0))</f>
        <v>6</v>
      </c>
    </row>
    <row r="401" spans="1:11" x14ac:dyDescent="0.2">
      <c r="A401" s="3">
        <v>400</v>
      </c>
      <c r="B401" t="s">
        <v>187</v>
      </c>
      <c r="C401" t="s">
        <v>72</v>
      </c>
      <c r="D401" s="1">
        <v>37507</v>
      </c>
      <c r="E401" t="s">
        <v>104</v>
      </c>
      <c r="F401">
        <v>1</v>
      </c>
      <c r="G401" t="s">
        <v>974</v>
      </c>
      <c r="H401" s="2">
        <v>239</v>
      </c>
      <c r="I401" t="s">
        <v>92</v>
      </c>
      <c r="J401" s="2">
        <f>INDEX(Positions!$A:$A,MATCH(E401,Positions!$B:$B,0))</f>
        <v>6</v>
      </c>
      <c r="K401" s="2">
        <f>INDEX(Locations!$A:$A,MATCH(I401,Locations!$B:$B,0))</f>
        <v>6</v>
      </c>
    </row>
    <row r="402" spans="1:11" x14ac:dyDescent="0.2">
      <c r="A402" s="3">
        <v>401</v>
      </c>
      <c r="B402" t="s">
        <v>383</v>
      </c>
      <c r="C402" t="s">
        <v>242</v>
      </c>
      <c r="D402" s="1">
        <v>37050</v>
      </c>
      <c r="E402" t="s">
        <v>109</v>
      </c>
      <c r="F402">
        <v>2</v>
      </c>
      <c r="G402" t="s">
        <v>975</v>
      </c>
      <c r="H402" s="2">
        <v>376</v>
      </c>
      <c r="I402" t="s">
        <v>89</v>
      </c>
      <c r="J402" s="2">
        <f>INDEX(Positions!$A:$A,MATCH(E402,Positions!$B:$B,0))</f>
        <v>19</v>
      </c>
      <c r="K402" s="2">
        <f>INDEX(Locations!$A:$A,MATCH(I402,Locations!$B:$B,0))</f>
        <v>8</v>
      </c>
    </row>
    <row r="403" spans="1:11" x14ac:dyDescent="0.2">
      <c r="A403" s="3">
        <v>402</v>
      </c>
      <c r="B403" t="s">
        <v>396</v>
      </c>
      <c r="C403" t="s">
        <v>304</v>
      </c>
      <c r="D403" s="1">
        <v>36706</v>
      </c>
      <c r="E403" t="s">
        <v>109</v>
      </c>
      <c r="F403">
        <v>2</v>
      </c>
      <c r="G403" t="s">
        <v>976</v>
      </c>
      <c r="H403" s="2">
        <v>382</v>
      </c>
      <c r="I403" t="s">
        <v>89</v>
      </c>
      <c r="J403" s="2">
        <f>INDEX(Positions!$A:$A,MATCH(E403,Positions!$B:$B,0))</f>
        <v>19</v>
      </c>
      <c r="K403" s="2">
        <f>INDEX(Locations!$A:$A,MATCH(I403,Locations!$B:$B,0))</f>
        <v>8</v>
      </c>
    </row>
    <row r="404" spans="1:11" x14ac:dyDescent="0.2">
      <c r="A404" s="3">
        <v>403</v>
      </c>
      <c r="B404" t="s">
        <v>231</v>
      </c>
      <c r="C404" t="s">
        <v>103</v>
      </c>
      <c r="D404" s="1">
        <v>36945</v>
      </c>
      <c r="E404" t="s">
        <v>109</v>
      </c>
      <c r="F404">
        <v>2</v>
      </c>
      <c r="G404" t="s">
        <v>977</v>
      </c>
      <c r="H404" s="2">
        <v>388</v>
      </c>
      <c r="I404" t="s">
        <v>89</v>
      </c>
      <c r="J404" s="2">
        <f>INDEX(Positions!$A:$A,MATCH(E404,Positions!$B:$B,0))</f>
        <v>19</v>
      </c>
      <c r="K404" s="2">
        <f>INDEX(Locations!$A:$A,MATCH(I404,Locations!$B:$B,0))</f>
        <v>8</v>
      </c>
    </row>
    <row r="405" spans="1:11" x14ac:dyDescent="0.2">
      <c r="A405" s="3">
        <v>404</v>
      </c>
      <c r="B405" t="s">
        <v>335</v>
      </c>
      <c r="C405" t="s">
        <v>212</v>
      </c>
      <c r="D405" s="1">
        <v>30817</v>
      </c>
      <c r="E405" t="s">
        <v>124</v>
      </c>
      <c r="F405">
        <v>4</v>
      </c>
      <c r="G405" t="s">
        <v>978</v>
      </c>
      <c r="H405" s="2">
        <v>346</v>
      </c>
      <c r="I405" t="s">
        <v>92</v>
      </c>
      <c r="J405" s="2">
        <f>INDEX(Positions!$A:$A,MATCH(E405,Positions!$B:$B,0))</f>
        <v>58</v>
      </c>
      <c r="K405" s="2">
        <f>INDEX(Locations!$A:$A,MATCH(I405,Locations!$B:$B,0))</f>
        <v>6</v>
      </c>
    </row>
    <row r="406" spans="1:11" x14ac:dyDescent="0.2">
      <c r="A406" s="3">
        <v>405</v>
      </c>
      <c r="B406" t="s">
        <v>346</v>
      </c>
      <c r="C406" t="s">
        <v>270</v>
      </c>
      <c r="D406" s="1">
        <v>34666</v>
      </c>
      <c r="E406" t="s">
        <v>118</v>
      </c>
      <c r="F406">
        <v>3</v>
      </c>
      <c r="G406" t="s">
        <v>979</v>
      </c>
      <c r="H406" s="2">
        <v>211</v>
      </c>
      <c r="I406" t="s">
        <v>233</v>
      </c>
      <c r="J406" s="2">
        <f>INDEX(Positions!$A:$A,MATCH(E406,Positions!$B:$B,0))</f>
        <v>28</v>
      </c>
      <c r="K406" s="2">
        <f>INDEX(Locations!$A:$A,MATCH(I406,Locations!$B:$B,0))</f>
        <v>11</v>
      </c>
    </row>
    <row r="407" spans="1:11" x14ac:dyDescent="0.2">
      <c r="A407" s="3">
        <v>406</v>
      </c>
      <c r="B407" t="s">
        <v>291</v>
      </c>
      <c r="C407" t="s">
        <v>203</v>
      </c>
      <c r="D407" s="1">
        <v>36946</v>
      </c>
      <c r="E407" t="s">
        <v>118</v>
      </c>
      <c r="F407">
        <v>3</v>
      </c>
      <c r="G407" t="s">
        <v>980</v>
      </c>
      <c r="H407" s="2">
        <v>365</v>
      </c>
      <c r="I407" t="s">
        <v>233</v>
      </c>
      <c r="J407" s="2">
        <f>INDEX(Positions!$A:$A,MATCH(E407,Positions!$B:$B,0))</f>
        <v>28</v>
      </c>
      <c r="K407" s="2">
        <f>INDEX(Locations!$A:$A,MATCH(I407,Locations!$B:$B,0))</f>
        <v>11</v>
      </c>
    </row>
    <row r="408" spans="1:11" x14ac:dyDescent="0.2">
      <c r="A408" s="3">
        <v>407</v>
      </c>
      <c r="B408" t="s">
        <v>527</v>
      </c>
      <c r="C408" t="s">
        <v>981</v>
      </c>
      <c r="D408" s="1">
        <v>35888</v>
      </c>
      <c r="E408" t="s">
        <v>124</v>
      </c>
      <c r="F408">
        <v>4</v>
      </c>
      <c r="G408" t="s">
        <v>982</v>
      </c>
      <c r="H408" s="2">
        <v>226</v>
      </c>
      <c r="I408" t="s">
        <v>92</v>
      </c>
      <c r="J408" s="2">
        <f>INDEX(Positions!$A:$A,MATCH(E408,Positions!$B:$B,0))</f>
        <v>58</v>
      </c>
      <c r="K408" s="2">
        <f>INDEX(Locations!$A:$A,MATCH(I408,Locations!$B:$B,0))</f>
        <v>6</v>
      </c>
    </row>
    <row r="409" spans="1:11" x14ac:dyDescent="0.2">
      <c r="A409" s="3">
        <v>408</v>
      </c>
      <c r="B409" t="s">
        <v>478</v>
      </c>
      <c r="C409" t="s">
        <v>128</v>
      </c>
      <c r="D409" s="1">
        <v>36188</v>
      </c>
      <c r="E409" t="s">
        <v>109</v>
      </c>
      <c r="F409">
        <v>2</v>
      </c>
      <c r="G409" t="s">
        <v>983</v>
      </c>
      <c r="H409" s="2">
        <v>382</v>
      </c>
      <c r="I409" t="s">
        <v>89</v>
      </c>
      <c r="J409" s="2">
        <f>INDEX(Positions!$A:$A,MATCH(E409,Positions!$B:$B,0))</f>
        <v>19</v>
      </c>
      <c r="K409" s="2">
        <f>INDEX(Locations!$A:$A,MATCH(I409,Locations!$B:$B,0))</f>
        <v>8</v>
      </c>
    </row>
    <row r="410" spans="1:11" x14ac:dyDescent="0.2">
      <c r="A410" s="3">
        <v>409</v>
      </c>
      <c r="B410" t="s">
        <v>116</v>
      </c>
      <c r="C410" t="s">
        <v>390</v>
      </c>
      <c r="D410" s="1">
        <v>36931</v>
      </c>
      <c r="E410" t="s">
        <v>104</v>
      </c>
      <c r="F410">
        <v>1</v>
      </c>
      <c r="G410" t="s">
        <v>984</v>
      </c>
      <c r="H410" s="2">
        <v>388</v>
      </c>
      <c r="I410" t="s">
        <v>89</v>
      </c>
      <c r="J410" s="2">
        <f>INDEX(Positions!$A:$A,MATCH(E410,Positions!$B:$B,0))</f>
        <v>6</v>
      </c>
      <c r="K410" s="2">
        <f>INDEX(Locations!$A:$A,MATCH(I410,Locations!$B:$B,0))</f>
        <v>8</v>
      </c>
    </row>
    <row r="411" spans="1:11" x14ac:dyDescent="0.2">
      <c r="A411" s="3">
        <v>410</v>
      </c>
      <c r="B411" t="s">
        <v>358</v>
      </c>
      <c r="C411" t="s">
        <v>68</v>
      </c>
      <c r="D411" s="1">
        <v>34893</v>
      </c>
      <c r="E411" t="s">
        <v>104</v>
      </c>
      <c r="F411">
        <v>1</v>
      </c>
      <c r="G411" t="s">
        <v>985</v>
      </c>
      <c r="H411" s="2">
        <v>365</v>
      </c>
      <c r="I411" t="s">
        <v>233</v>
      </c>
      <c r="J411" s="2">
        <f>INDEX(Positions!$A:$A,MATCH(E411,Positions!$B:$B,0))</f>
        <v>6</v>
      </c>
      <c r="K411" s="2">
        <f>INDEX(Locations!$A:$A,MATCH(I411,Locations!$B:$B,0))</f>
        <v>11</v>
      </c>
    </row>
    <row r="412" spans="1:11" x14ac:dyDescent="0.2">
      <c r="A412" s="3">
        <v>411</v>
      </c>
      <c r="B412" t="s">
        <v>163</v>
      </c>
      <c r="C412" t="s">
        <v>543</v>
      </c>
      <c r="D412" s="1">
        <v>36386</v>
      </c>
      <c r="E412" t="s">
        <v>121</v>
      </c>
      <c r="F412">
        <v>3</v>
      </c>
      <c r="G412" t="s">
        <v>986</v>
      </c>
      <c r="H412" s="2">
        <v>376</v>
      </c>
      <c r="I412" t="s">
        <v>89</v>
      </c>
      <c r="J412" s="2">
        <f>INDEX(Positions!$A:$A,MATCH(E412,Positions!$B:$B,0))</f>
        <v>31</v>
      </c>
      <c r="K412" s="2">
        <f>INDEX(Locations!$A:$A,MATCH(I412,Locations!$B:$B,0))</f>
        <v>8</v>
      </c>
    </row>
    <row r="413" spans="1:11" x14ac:dyDescent="0.2">
      <c r="A413" s="3">
        <v>412</v>
      </c>
      <c r="B413" t="s">
        <v>273</v>
      </c>
      <c r="C413" t="s">
        <v>532</v>
      </c>
      <c r="D413" s="1">
        <v>38041</v>
      </c>
      <c r="E413" t="s">
        <v>124</v>
      </c>
      <c r="F413">
        <v>4</v>
      </c>
      <c r="G413" t="s">
        <v>987</v>
      </c>
      <c r="H413" s="2">
        <v>376</v>
      </c>
      <c r="I413" t="s">
        <v>89</v>
      </c>
      <c r="J413" s="2">
        <f>INDEX(Positions!$A:$A,MATCH(E413,Positions!$B:$B,0))</f>
        <v>58</v>
      </c>
      <c r="K413" s="2">
        <f>INDEX(Locations!$A:$A,MATCH(I413,Locations!$B:$B,0))</f>
        <v>8</v>
      </c>
    </row>
    <row r="414" spans="1:11" x14ac:dyDescent="0.2">
      <c r="A414" s="3">
        <v>413</v>
      </c>
      <c r="B414" t="s">
        <v>213</v>
      </c>
      <c r="C414" t="s">
        <v>541</v>
      </c>
      <c r="D414" s="1">
        <v>34521</v>
      </c>
      <c r="E414" t="s">
        <v>109</v>
      </c>
      <c r="F414">
        <v>2</v>
      </c>
      <c r="G414" t="s">
        <v>988</v>
      </c>
      <c r="H414" s="2">
        <v>376</v>
      </c>
      <c r="I414" t="s">
        <v>89</v>
      </c>
      <c r="J414" s="2">
        <f>INDEX(Positions!$A:$A,MATCH(E414,Positions!$B:$B,0))</f>
        <v>19</v>
      </c>
      <c r="K414" s="2">
        <f>INDEX(Locations!$A:$A,MATCH(I414,Locations!$B:$B,0))</f>
        <v>8</v>
      </c>
    </row>
    <row r="415" spans="1:11" x14ac:dyDescent="0.2">
      <c r="A415" s="3">
        <v>414</v>
      </c>
      <c r="B415" t="s">
        <v>325</v>
      </c>
      <c r="C415" t="s">
        <v>550</v>
      </c>
      <c r="D415" s="1">
        <v>39459</v>
      </c>
      <c r="E415" t="s">
        <v>104</v>
      </c>
      <c r="F415">
        <v>1</v>
      </c>
      <c r="G415" t="s">
        <v>989</v>
      </c>
      <c r="H415" s="2">
        <v>388</v>
      </c>
      <c r="I415" t="s">
        <v>89</v>
      </c>
      <c r="J415" s="2">
        <f>INDEX(Positions!$A:$A,MATCH(E415,Positions!$B:$B,0))</f>
        <v>6</v>
      </c>
      <c r="K415" s="2">
        <f>INDEX(Locations!$A:$A,MATCH(I415,Locations!$B:$B,0))</f>
        <v>8</v>
      </c>
    </row>
    <row r="416" spans="1:11" x14ac:dyDescent="0.2">
      <c r="A416" s="3">
        <v>415</v>
      </c>
      <c r="B416" t="s">
        <v>86</v>
      </c>
      <c r="C416" t="s">
        <v>429</v>
      </c>
      <c r="D416" s="1">
        <v>36143</v>
      </c>
      <c r="E416" t="s">
        <v>109</v>
      </c>
      <c r="F416">
        <v>2</v>
      </c>
      <c r="G416" t="s">
        <v>990</v>
      </c>
      <c r="H416" s="2">
        <v>346</v>
      </c>
      <c r="I416" t="s">
        <v>92</v>
      </c>
      <c r="J416" s="2">
        <f>INDEX(Positions!$A:$A,MATCH(E416,Positions!$B:$B,0))</f>
        <v>19</v>
      </c>
      <c r="K416" s="2">
        <f>INDEX(Locations!$A:$A,MATCH(I416,Locations!$B:$B,0))</f>
        <v>6</v>
      </c>
    </row>
    <row r="417" spans="1:11" x14ac:dyDescent="0.2">
      <c r="A417" s="3">
        <v>416</v>
      </c>
      <c r="B417" t="s">
        <v>702</v>
      </c>
      <c r="C417" t="s">
        <v>251</v>
      </c>
      <c r="D417" s="1">
        <v>36863</v>
      </c>
      <c r="E417" t="s">
        <v>109</v>
      </c>
      <c r="F417">
        <v>2</v>
      </c>
      <c r="G417" t="s">
        <v>991</v>
      </c>
      <c r="H417" s="2">
        <v>382</v>
      </c>
      <c r="I417" t="s">
        <v>89</v>
      </c>
      <c r="J417" s="2">
        <f>INDEX(Positions!$A:$A,MATCH(E417,Positions!$B:$B,0))</f>
        <v>19</v>
      </c>
      <c r="K417" s="2">
        <f>INDEX(Locations!$A:$A,MATCH(I417,Locations!$B:$B,0))</f>
        <v>8</v>
      </c>
    </row>
    <row r="418" spans="1:11" x14ac:dyDescent="0.2">
      <c r="A418" s="3">
        <v>417</v>
      </c>
      <c r="B418" t="s">
        <v>532</v>
      </c>
      <c r="C418" t="s">
        <v>266</v>
      </c>
      <c r="D418" s="1">
        <v>35317</v>
      </c>
      <c r="E418" t="s">
        <v>121</v>
      </c>
      <c r="F418">
        <v>3</v>
      </c>
      <c r="G418" t="s">
        <v>992</v>
      </c>
      <c r="H418" s="2">
        <v>263</v>
      </c>
      <c r="I418" t="s">
        <v>233</v>
      </c>
      <c r="J418" s="2">
        <f>INDEX(Positions!$A:$A,MATCH(E418,Positions!$B:$B,0))</f>
        <v>31</v>
      </c>
      <c r="K418" s="2">
        <f>INDEX(Locations!$A:$A,MATCH(I418,Locations!$B:$B,0))</f>
        <v>11</v>
      </c>
    </row>
    <row r="419" spans="1:11" x14ac:dyDescent="0.2">
      <c r="A419" s="3">
        <v>418</v>
      </c>
      <c r="B419" t="s">
        <v>107</v>
      </c>
      <c r="C419" t="s">
        <v>424</v>
      </c>
      <c r="D419" s="1">
        <v>33309</v>
      </c>
      <c r="E419" t="s">
        <v>101</v>
      </c>
      <c r="F419">
        <v>5</v>
      </c>
      <c r="G419" t="s">
        <v>993</v>
      </c>
      <c r="H419" s="2">
        <v>340</v>
      </c>
      <c r="I419" t="s">
        <v>89</v>
      </c>
      <c r="J419" s="2">
        <f>INDEX(Positions!$A:$A,MATCH(E419,Positions!$B:$B,0))</f>
        <v>76</v>
      </c>
      <c r="K419" s="2">
        <f>INDEX(Locations!$A:$A,MATCH(I419,Locations!$B:$B,0))</f>
        <v>8</v>
      </c>
    </row>
    <row r="420" spans="1:11" x14ac:dyDescent="0.2">
      <c r="A420" s="3">
        <v>419</v>
      </c>
      <c r="B420" t="s">
        <v>183</v>
      </c>
      <c r="C420" t="s">
        <v>68</v>
      </c>
      <c r="D420" s="1">
        <v>38742</v>
      </c>
      <c r="E420" t="s">
        <v>104</v>
      </c>
      <c r="F420">
        <v>1</v>
      </c>
      <c r="G420" t="s">
        <v>994</v>
      </c>
      <c r="H420" s="2">
        <v>418</v>
      </c>
      <c r="I420" t="s">
        <v>89</v>
      </c>
      <c r="J420" s="2">
        <f>INDEX(Positions!$A:$A,MATCH(E420,Positions!$B:$B,0))</f>
        <v>6</v>
      </c>
      <c r="K420" s="2">
        <f>INDEX(Locations!$A:$A,MATCH(I420,Locations!$B:$B,0))</f>
        <v>8</v>
      </c>
    </row>
    <row r="421" spans="1:11" x14ac:dyDescent="0.2">
      <c r="A421" s="3">
        <v>420</v>
      </c>
      <c r="B421" t="s">
        <v>428</v>
      </c>
      <c r="C421" t="s">
        <v>314</v>
      </c>
      <c r="D421" s="1">
        <v>32359</v>
      </c>
      <c r="E421" t="s">
        <v>121</v>
      </c>
      <c r="F421">
        <v>3</v>
      </c>
      <c r="G421" t="s">
        <v>995</v>
      </c>
      <c r="H421" s="2">
        <v>295</v>
      </c>
      <c r="I421" t="s">
        <v>92</v>
      </c>
      <c r="J421" s="2">
        <f>INDEX(Positions!$A:$A,MATCH(E421,Positions!$B:$B,0))</f>
        <v>31</v>
      </c>
      <c r="K421" s="2">
        <f>INDEX(Locations!$A:$A,MATCH(I421,Locations!$B:$B,0))</f>
        <v>6</v>
      </c>
    </row>
    <row r="422" spans="1:11" x14ac:dyDescent="0.2">
      <c r="A422" s="3">
        <v>421</v>
      </c>
      <c r="B422" t="s">
        <v>343</v>
      </c>
      <c r="C422" t="s">
        <v>354</v>
      </c>
      <c r="D422" s="1">
        <v>34343</v>
      </c>
      <c r="E422" t="s">
        <v>118</v>
      </c>
      <c r="F422">
        <v>3</v>
      </c>
      <c r="G422" t="s">
        <v>996</v>
      </c>
      <c r="H422" s="2">
        <v>418</v>
      </c>
      <c r="I422" t="s">
        <v>89</v>
      </c>
      <c r="J422" s="2">
        <f>INDEX(Positions!$A:$A,MATCH(E422,Positions!$B:$B,0))</f>
        <v>28</v>
      </c>
      <c r="K422" s="2">
        <f>INDEX(Locations!$A:$A,MATCH(I422,Locations!$B:$B,0))</f>
        <v>8</v>
      </c>
    </row>
    <row r="423" spans="1:11" x14ac:dyDescent="0.2">
      <c r="A423" s="3">
        <v>422</v>
      </c>
      <c r="B423" t="s">
        <v>997</v>
      </c>
      <c r="C423" t="s">
        <v>998</v>
      </c>
      <c r="D423" s="1">
        <v>33214</v>
      </c>
      <c r="E423" t="s">
        <v>121</v>
      </c>
      <c r="F423">
        <v>3</v>
      </c>
      <c r="G423" t="s">
        <v>999</v>
      </c>
      <c r="H423" s="2">
        <v>388</v>
      </c>
      <c r="I423" t="s">
        <v>89</v>
      </c>
      <c r="J423" s="2">
        <f>INDEX(Positions!$A:$A,MATCH(E423,Positions!$B:$B,0))</f>
        <v>31</v>
      </c>
      <c r="K423" s="2">
        <f>INDEX(Locations!$A:$A,MATCH(I423,Locations!$B:$B,0))</f>
        <v>8</v>
      </c>
    </row>
    <row r="424" spans="1:11" x14ac:dyDescent="0.2">
      <c r="A424" s="3">
        <v>423</v>
      </c>
      <c r="B424" t="s">
        <v>533</v>
      </c>
      <c r="C424" t="s">
        <v>541</v>
      </c>
      <c r="D424" s="1">
        <v>32711</v>
      </c>
      <c r="E424" t="s">
        <v>101</v>
      </c>
      <c r="F424">
        <v>5</v>
      </c>
      <c r="G424" t="s">
        <v>1000</v>
      </c>
      <c r="H424" s="2">
        <v>217</v>
      </c>
      <c r="I424" t="s">
        <v>92</v>
      </c>
      <c r="J424" s="2">
        <f>INDEX(Positions!$A:$A,MATCH(E424,Positions!$B:$B,0))</f>
        <v>76</v>
      </c>
      <c r="K424" s="2">
        <f>INDEX(Locations!$A:$A,MATCH(I424,Locations!$B:$B,0))</f>
        <v>6</v>
      </c>
    </row>
    <row r="425" spans="1:11" x14ac:dyDescent="0.2">
      <c r="A425" s="3">
        <v>424</v>
      </c>
      <c r="B425" t="s">
        <v>411</v>
      </c>
      <c r="C425" t="s">
        <v>242</v>
      </c>
      <c r="D425" s="1">
        <v>38722</v>
      </c>
      <c r="E425" t="s">
        <v>104</v>
      </c>
      <c r="F425">
        <v>1</v>
      </c>
      <c r="G425" t="s">
        <v>1001</v>
      </c>
      <c r="H425" s="2">
        <v>317</v>
      </c>
      <c r="I425" t="s">
        <v>92</v>
      </c>
      <c r="J425" s="2">
        <f>INDEX(Positions!$A:$A,MATCH(E425,Positions!$B:$B,0))</f>
        <v>6</v>
      </c>
      <c r="K425" s="2">
        <f>INDEX(Locations!$A:$A,MATCH(I425,Locations!$B:$B,0))</f>
        <v>6</v>
      </c>
    </row>
    <row r="426" spans="1:11" x14ac:dyDescent="0.2">
      <c r="A426" s="3">
        <v>425</v>
      </c>
      <c r="B426" t="s">
        <v>468</v>
      </c>
      <c r="C426" t="s">
        <v>275</v>
      </c>
      <c r="D426" s="1">
        <v>36243</v>
      </c>
      <c r="E426" t="s">
        <v>109</v>
      </c>
      <c r="F426">
        <v>2</v>
      </c>
      <c r="G426" t="s">
        <v>1002</v>
      </c>
      <c r="H426" s="2">
        <v>365</v>
      </c>
      <c r="I426" t="s">
        <v>233</v>
      </c>
      <c r="J426" s="2">
        <f>INDEX(Positions!$A:$A,MATCH(E426,Positions!$B:$B,0))</f>
        <v>19</v>
      </c>
      <c r="K426" s="2">
        <f>INDEX(Locations!$A:$A,MATCH(I426,Locations!$B:$B,0))</f>
        <v>11</v>
      </c>
    </row>
    <row r="427" spans="1:11" x14ac:dyDescent="0.2">
      <c r="A427" s="3">
        <v>426</v>
      </c>
      <c r="B427" t="s">
        <v>360</v>
      </c>
      <c r="C427" t="s">
        <v>424</v>
      </c>
      <c r="D427" s="1">
        <v>38390</v>
      </c>
      <c r="E427" t="s">
        <v>104</v>
      </c>
      <c r="F427">
        <v>1</v>
      </c>
      <c r="G427" t="s">
        <v>1003</v>
      </c>
      <c r="H427" s="2">
        <v>423</v>
      </c>
      <c r="I427" t="s">
        <v>92</v>
      </c>
      <c r="J427" s="2">
        <f>INDEX(Positions!$A:$A,MATCH(E427,Positions!$B:$B,0))</f>
        <v>6</v>
      </c>
      <c r="K427" s="2">
        <f>INDEX(Locations!$A:$A,MATCH(I427,Locations!$B:$B,0))</f>
        <v>6</v>
      </c>
    </row>
    <row r="428" spans="1:11" x14ac:dyDescent="0.2">
      <c r="A428" s="3">
        <v>427</v>
      </c>
      <c r="B428" t="s">
        <v>187</v>
      </c>
      <c r="C428" t="s">
        <v>303</v>
      </c>
      <c r="D428" s="1">
        <v>38219</v>
      </c>
      <c r="E428" t="s">
        <v>124</v>
      </c>
      <c r="F428">
        <v>4</v>
      </c>
      <c r="G428" t="s">
        <v>1004</v>
      </c>
      <c r="H428" s="2">
        <v>376</v>
      </c>
      <c r="I428" t="s">
        <v>89</v>
      </c>
      <c r="J428" s="2">
        <f>INDEX(Positions!$A:$A,MATCH(E428,Positions!$B:$B,0))</f>
        <v>58</v>
      </c>
      <c r="K428" s="2">
        <f>INDEX(Locations!$A:$A,MATCH(I428,Locations!$B:$B,0))</f>
        <v>8</v>
      </c>
    </row>
    <row r="429" spans="1:11" x14ac:dyDescent="0.2">
      <c r="A429" s="3">
        <v>428</v>
      </c>
      <c r="B429" t="s">
        <v>320</v>
      </c>
      <c r="C429" t="s">
        <v>255</v>
      </c>
      <c r="D429" s="1">
        <v>35023</v>
      </c>
      <c r="E429" t="s">
        <v>118</v>
      </c>
      <c r="F429">
        <v>3</v>
      </c>
      <c r="G429" t="s">
        <v>1005</v>
      </c>
      <c r="H429" s="2">
        <v>388</v>
      </c>
      <c r="I429" t="s">
        <v>89</v>
      </c>
      <c r="J429" s="2">
        <f>INDEX(Positions!$A:$A,MATCH(E429,Positions!$B:$B,0))</f>
        <v>28</v>
      </c>
      <c r="K429" s="2">
        <f>INDEX(Locations!$A:$A,MATCH(I429,Locations!$B:$B,0))</f>
        <v>8</v>
      </c>
    </row>
    <row r="430" spans="1:11" x14ac:dyDescent="0.2">
      <c r="A430" s="3">
        <v>429</v>
      </c>
      <c r="B430" t="s">
        <v>391</v>
      </c>
      <c r="C430" t="s">
        <v>135</v>
      </c>
      <c r="D430" s="1">
        <v>35297</v>
      </c>
      <c r="E430" t="s">
        <v>104</v>
      </c>
      <c r="F430">
        <v>1</v>
      </c>
      <c r="G430" t="s">
        <v>1006</v>
      </c>
      <c r="H430" s="2">
        <v>388</v>
      </c>
      <c r="I430" t="s">
        <v>89</v>
      </c>
      <c r="J430" s="2">
        <f>INDEX(Positions!$A:$A,MATCH(E430,Positions!$B:$B,0))</f>
        <v>6</v>
      </c>
      <c r="K430" s="2">
        <f>INDEX(Locations!$A:$A,MATCH(I430,Locations!$B:$B,0))</f>
        <v>8</v>
      </c>
    </row>
    <row r="431" spans="1:11" x14ac:dyDescent="0.2">
      <c r="A431" s="3">
        <v>430</v>
      </c>
      <c r="B431" t="s">
        <v>265</v>
      </c>
      <c r="C431" t="s">
        <v>488</v>
      </c>
      <c r="D431" s="1">
        <v>35224</v>
      </c>
      <c r="E431" t="s">
        <v>118</v>
      </c>
      <c r="F431">
        <v>3</v>
      </c>
      <c r="G431" t="s">
        <v>1007</v>
      </c>
      <c r="H431" s="2">
        <v>388</v>
      </c>
      <c r="I431" t="s">
        <v>89</v>
      </c>
      <c r="J431" s="2">
        <f>INDEX(Positions!$A:$A,MATCH(E431,Positions!$B:$B,0))</f>
        <v>28</v>
      </c>
      <c r="K431" s="2">
        <f>INDEX(Locations!$A:$A,MATCH(I431,Locations!$B:$B,0))</f>
        <v>8</v>
      </c>
    </row>
    <row r="432" spans="1:11" x14ac:dyDescent="0.2">
      <c r="A432" s="3">
        <v>431</v>
      </c>
      <c r="B432" t="s">
        <v>200</v>
      </c>
      <c r="C432" t="s">
        <v>175</v>
      </c>
      <c r="D432" s="1">
        <v>38260</v>
      </c>
      <c r="E432" t="s">
        <v>104</v>
      </c>
      <c r="F432">
        <v>1</v>
      </c>
      <c r="G432" t="s">
        <v>1008</v>
      </c>
      <c r="H432" s="2">
        <v>209</v>
      </c>
      <c r="I432" t="s">
        <v>92</v>
      </c>
      <c r="J432" s="2">
        <f>INDEX(Positions!$A:$A,MATCH(E432,Positions!$B:$B,0))</f>
        <v>6</v>
      </c>
      <c r="K432" s="2">
        <f>INDEX(Locations!$A:$A,MATCH(I432,Locations!$B:$B,0))</f>
        <v>6</v>
      </c>
    </row>
    <row r="433" spans="1:11" x14ac:dyDescent="0.2">
      <c r="A433" s="3">
        <v>432</v>
      </c>
      <c r="B433" t="s">
        <v>183</v>
      </c>
      <c r="C433" t="s">
        <v>304</v>
      </c>
      <c r="D433" s="1">
        <v>36332</v>
      </c>
      <c r="E433" t="s">
        <v>104</v>
      </c>
      <c r="F433">
        <v>1</v>
      </c>
      <c r="G433" t="s">
        <v>1009</v>
      </c>
      <c r="H433" s="2">
        <v>317</v>
      </c>
      <c r="I433" t="s">
        <v>92</v>
      </c>
      <c r="J433" s="2">
        <f>INDEX(Positions!$A:$A,MATCH(E433,Positions!$B:$B,0))</f>
        <v>6</v>
      </c>
      <c r="K433" s="2">
        <f>INDEX(Locations!$A:$A,MATCH(I433,Locations!$B:$B,0))</f>
        <v>6</v>
      </c>
    </row>
    <row r="434" spans="1:11" x14ac:dyDescent="0.2">
      <c r="A434" s="3">
        <v>433</v>
      </c>
      <c r="B434" t="s">
        <v>1010</v>
      </c>
      <c r="C434" t="s">
        <v>685</v>
      </c>
      <c r="D434" s="1">
        <v>36167</v>
      </c>
      <c r="E434" t="s">
        <v>104</v>
      </c>
      <c r="F434">
        <v>1</v>
      </c>
      <c r="G434" t="s">
        <v>1011</v>
      </c>
      <c r="H434" s="2">
        <v>346</v>
      </c>
      <c r="I434" t="s">
        <v>92</v>
      </c>
      <c r="J434" s="2">
        <f>INDEX(Positions!$A:$A,MATCH(E434,Positions!$B:$B,0))</f>
        <v>6</v>
      </c>
      <c r="K434" s="2">
        <f>INDEX(Locations!$A:$A,MATCH(I434,Locations!$B:$B,0))</f>
        <v>6</v>
      </c>
    </row>
    <row r="435" spans="1:11" x14ac:dyDescent="0.2">
      <c r="A435" s="3">
        <v>434</v>
      </c>
      <c r="B435" t="s">
        <v>86</v>
      </c>
      <c r="C435" t="s">
        <v>1012</v>
      </c>
      <c r="D435" s="1">
        <v>37140</v>
      </c>
      <c r="E435" t="s">
        <v>104</v>
      </c>
      <c r="F435">
        <v>1</v>
      </c>
      <c r="G435" t="s">
        <v>1013</v>
      </c>
      <c r="H435" s="2">
        <v>418</v>
      </c>
      <c r="I435" t="s">
        <v>89</v>
      </c>
      <c r="J435" s="2">
        <f>INDEX(Positions!$A:$A,MATCH(E435,Positions!$B:$B,0))</f>
        <v>6</v>
      </c>
      <c r="K435" s="2">
        <f>INDEX(Locations!$A:$A,MATCH(I435,Locations!$B:$B,0))</f>
        <v>8</v>
      </c>
    </row>
    <row r="436" spans="1:11" x14ac:dyDescent="0.2">
      <c r="A436" s="3">
        <v>435</v>
      </c>
      <c r="B436" t="s">
        <v>102</v>
      </c>
      <c r="C436" t="s">
        <v>490</v>
      </c>
      <c r="D436" s="1">
        <v>34946</v>
      </c>
      <c r="E436" t="s">
        <v>118</v>
      </c>
      <c r="F436">
        <v>3</v>
      </c>
      <c r="G436" t="s">
        <v>1014</v>
      </c>
      <c r="H436" s="2">
        <v>423</v>
      </c>
      <c r="I436" t="s">
        <v>92</v>
      </c>
      <c r="J436" s="2">
        <f>INDEX(Positions!$A:$A,MATCH(E436,Positions!$B:$B,0))</f>
        <v>28</v>
      </c>
      <c r="K436" s="2">
        <f>INDEX(Locations!$A:$A,MATCH(I436,Locations!$B:$B,0))</f>
        <v>6</v>
      </c>
    </row>
    <row r="437" spans="1:11" x14ac:dyDescent="0.2">
      <c r="A437" s="3">
        <v>436</v>
      </c>
      <c r="B437" t="s">
        <v>365</v>
      </c>
      <c r="C437" t="s">
        <v>336</v>
      </c>
      <c r="D437" s="1">
        <v>39555</v>
      </c>
      <c r="E437" t="s">
        <v>104</v>
      </c>
      <c r="F437">
        <v>1</v>
      </c>
      <c r="G437" t="s">
        <v>1015</v>
      </c>
      <c r="H437" s="2">
        <v>239</v>
      </c>
      <c r="I437" t="s">
        <v>92</v>
      </c>
      <c r="J437" s="2">
        <f>INDEX(Positions!$A:$A,MATCH(E437,Positions!$B:$B,0))</f>
        <v>6</v>
      </c>
      <c r="K437" s="2">
        <f>INDEX(Locations!$A:$A,MATCH(I437,Locations!$B:$B,0))</f>
        <v>6</v>
      </c>
    </row>
    <row r="438" spans="1:11" x14ac:dyDescent="0.2">
      <c r="A438" s="3">
        <v>437</v>
      </c>
      <c r="B438" t="s">
        <v>436</v>
      </c>
      <c r="C438" t="s">
        <v>464</v>
      </c>
      <c r="D438" s="1">
        <v>35936</v>
      </c>
      <c r="E438" t="s">
        <v>121</v>
      </c>
      <c r="F438">
        <v>3</v>
      </c>
      <c r="G438" t="s">
        <v>1016</v>
      </c>
      <c r="H438" s="2">
        <v>193</v>
      </c>
      <c r="I438" t="s">
        <v>233</v>
      </c>
      <c r="J438" s="2">
        <f>INDEX(Positions!$A:$A,MATCH(E438,Positions!$B:$B,0))</f>
        <v>31</v>
      </c>
      <c r="K438" s="2">
        <f>INDEX(Locations!$A:$A,MATCH(I438,Locations!$B:$B,0))</f>
        <v>11</v>
      </c>
    </row>
    <row r="439" spans="1:11" x14ac:dyDescent="0.2">
      <c r="A439" s="3">
        <v>438</v>
      </c>
      <c r="B439" t="s">
        <v>415</v>
      </c>
      <c r="C439" t="s">
        <v>503</v>
      </c>
      <c r="D439" s="1">
        <v>34896</v>
      </c>
      <c r="E439" t="s">
        <v>121</v>
      </c>
      <c r="F439">
        <v>3</v>
      </c>
      <c r="G439" t="s">
        <v>1017</v>
      </c>
      <c r="H439" s="2">
        <v>418</v>
      </c>
      <c r="I439" t="s">
        <v>89</v>
      </c>
      <c r="J439" s="2">
        <f>INDEX(Positions!$A:$A,MATCH(E439,Positions!$B:$B,0))</f>
        <v>31</v>
      </c>
      <c r="K439" s="2">
        <f>INDEX(Locations!$A:$A,MATCH(I439,Locations!$B:$B,0))</f>
        <v>8</v>
      </c>
    </row>
    <row r="440" spans="1:11" x14ac:dyDescent="0.2">
      <c r="A440" s="3">
        <v>439</v>
      </c>
      <c r="B440" t="s">
        <v>322</v>
      </c>
      <c r="C440" t="s">
        <v>382</v>
      </c>
      <c r="D440" s="1">
        <v>34398</v>
      </c>
      <c r="E440" t="s">
        <v>109</v>
      </c>
      <c r="F440">
        <v>2</v>
      </c>
      <c r="G440" t="s">
        <v>1018</v>
      </c>
      <c r="H440" s="2">
        <v>231</v>
      </c>
      <c r="I440" t="s">
        <v>92</v>
      </c>
      <c r="J440" s="2">
        <f>INDEX(Positions!$A:$A,MATCH(E440,Positions!$B:$B,0))</f>
        <v>19</v>
      </c>
      <c r="K440" s="2">
        <f>INDEX(Locations!$A:$A,MATCH(I440,Locations!$B:$B,0))</f>
        <v>6</v>
      </c>
    </row>
    <row r="441" spans="1:11" x14ac:dyDescent="0.2">
      <c r="A441" s="3">
        <v>440</v>
      </c>
      <c r="B441" t="s">
        <v>463</v>
      </c>
      <c r="C441" t="s">
        <v>508</v>
      </c>
      <c r="D441" s="1">
        <v>33394</v>
      </c>
      <c r="E441" t="s">
        <v>118</v>
      </c>
      <c r="F441">
        <v>3</v>
      </c>
      <c r="G441" t="s">
        <v>1019</v>
      </c>
      <c r="H441" s="2">
        <v>317</v>
      </c>
      <c r="I441" t="s">
        <v>92</v>
      </c>
      <c r="J441" s="2">
        <f>INDEX(Positions!$A:$A,MATCH(E441,Positions!$B:$B,0))</f>
        <v>28</v>
      </c>
      <c r="K441" s="2">
        <f>INDEX(Locations!$A:$A,MATCH(I441,Locations!$B:$B,0))</f>
        <v>6</v>
      </c>
    </row>
    <row r="442" spans="1:11" x14ac:dyDescent="0.2">
      <c r="A442" s="3">
        <v>441</v>
      </c>
      <c r="B442" t="s">
        <v>515</v>
      </c>
      <c r="C442" t="s">
        <v>355</v>
      </c>
      <c r="D442" s="1">
        <v>36165</v>
      </c>
      <c r="E442" t="s">
        <v>124</v>
      </c>
      <c r="F442">
        <v>4</v>
      </c>
      <c r="G442" t="s">
        <v>1020</v>
      </c>
      <c r="H442" s="2">
        <v>365</v>
      </c>
      <c r="I442" t="s">
        <v>233</v>
      </c>
      <c r="J442" s="2">
        <f>INDEX(Positions!$A:$A,MATCH(E442,Positions!$B:$B,0))</f>
        <v>58</v>
      </c>
      <c r="K442" s="2">
        <f>INDEX(Locations!$A:$A,MATCH(I442,Locations!$B:$B,0))</f>
        <v>11</v>
      </c>
    </row>
    <row r="443" spans="1:11" x14ac:dyDescent="0.2">
      <c r="A443" s="3">
        <v>442</v>
      </c>
      <c r="B443" t="s">
        <v>116</v>
      </c>
      <c r="C443" t="s">
        <v>312</v>
      </c>
      <c r="D443" s="1">
        <v>36279</v>
      </c>
      <c r="E443" t="s">
        <v>101</v>
      </c>
      <c r="F443">
        <v>5</v>
      </c>
      <c r="G443" t="s">
        <v>1021</v>
      </c>
      <c r="H443" s="2">
        <v>122</v>
      </c>
      <c r="I443" t="s">
        <v>92</v>
      </c>
      <c r="J443" s="2">
        <f>INDEX(Positions!$A:$A,MATCH(E443,Positions!$B:$B,0))</f>
        <v>76</v>
      </c>
      <c r="K443" s="2">
        <f>INDEX(Locations!$A:$A,MATCH(I443,Locations!$B:$B,0))</f>
        <v>6</v>
      </c>
    </row>
    <row r="444" spans="1:11" x14ac:dyDescent="0.2">
      <c r="A444" s="3">
        <v>443</v>
      </c>
      <c r="B444" t="s">
        <v>196</v>
      </c>
      <c r="C444" t="s">
        <v>469</v>
      </c>
      <c r="D444" s="1">
        <v>33596</v>
      </c>
      <c r="E444" t="s">
        <v>109</v>
      </c>
      <c r="F444">
        <v>2</v>
      </c>
      <c r="G444" t="s">
        <v>1022</v>
      </c>
      <c r="H444" s="2">
        <v>423</v>
      </c>
      <c r="I444" t="s">
        <v>92</v>
      </c>
      <c r="J444" s="2">
        <f>INDEX(Positions!$A:$A,MATCH(E444,Positions!$B:$B,0))</f>
        <v>19</v>
      </c>
      <c r="K444" s="2">
        <f>INDEX(Locations!$A:$A,MATCH(I444,Locations!$B:$B,0))</f>
        <v>6</v>
      </c>
    </row>
    <row r="445" spans="1:11" x14ac:dyDescent="0.2">
      <c r="A445" s="3">
        <v>444</v>
      </c>
      <c r="B445" t="s">
        <v>67</v>
      </c>
      <c r="C445" t="s">
        <v>294</v>
      </c>
      <c r="D445" s="1">
        <v>39070</v>
      </c>
      <c r="E445" t="s">
        <v>104</v>
      </c>
      <c r="F445">
        <v>1</v>
      </c>
      <c r="G445" t="s">
        <v>1023</v>
      </c>
      <c r="H445" s="2">
        <v>317</v>
      </c>
      <c r="I445" t="s">
        <v>92</v>
      </c>
      <c r="J445" s="2">
        <f>INDEX(Positions!$A:$A,MATCH(E445,Positions!$B:$B,0))</f>
        <v>6</v>
      </c>
      <c r="K445" s="2">
        <f>INDEX(Locations!$A:$A,MATCH(I445,Locations!$B:$B,0))</f>
        <v>6</v>
      </c>
    </row>
    <row r="446" spans="1:11" x14ac:dyDescent="0.2">
      <c r="A446" s="3">
        <v>445</v>
      </c>
      <c r="B446" t="s">
        <v>436</v>
      </c>
      <c r="C446" t="s">
        <v>420</v>
      </c>
      <c r="D446" s="1">
        <v>33494</v>
      </c>
      <c r="E446" t="s">
        <v>121</v>
      </c>
      <c r="F446">
        <v>3</v>
      </c>
      <c r="G446" t="s">
        <v>1024</v>
      </c>
      <c r="H446" s="2">
        <v>317</v>
      </c>
      <c r="I446" t="s">
        <v>92</v>
      </c>
      <c r="J446" s="2">
        <f>INDEX(Positions!$A:$A,MATCH(E446,Positions!$B:$B,0))</f>
        <v>31</v>
      </c>
      <c r="K446" s="2">
        <f>INDEX(Locations!$A:$A,MATCH(I446,Locations!$B:$B,0))</f>
        <v>6</v>
      </c>
    </row>
    <row r="447" spans="1:11" x14ac:dyDescent="0.2">
      <c r="A447" s="3">
        <v>446</v>
      </c>
      <c r="B447" t="s">
        <v>51</v>
      </c>
      <c r="C447" t="s">
        <v>482</v>
      </c>
      <c r="D447" s="1">
        <v>33068</v>
      </c>
      <c r="E447" t="s">
        <v>121</v>
      </c>
      <c r="F447">
        <v>3</v>
      </c>
      <c r="G447" t="s">
        <v>1025</v>
      </c>
      <c r="H447" s="2">
        <v>418</v>
      </c>
      <c r="I447" t="s">
        <v>89</v>
      </c>
      <c r="J447" s="2">
        <f>INDEX(Positions!$A:$A,MATCH(E447,Positions!$B:$B,0))</f>
        <v>31</v>
      </c>
      <c r="K447" s="2">
        <f>INDEX(Locations!$A:$A,MATCH(I447,Locations!$B:$B,0))</f>
        <v>8</v>
      </c>
    </row>
    <row r="448" spans="1:11" x14ac:dyDescent="0.2">
      <c r="A448" s="3">
        <v>447</v>
      </c>
      <c r="B448" t="s">
        <v>211</v>
      </c>
      <c r="C448" t="s">
        <v>541</v>
      </c>
      <c r="D448" s="1">
        <v>32204</v>
      </c>
      <c r="E448" t="s">
        <v>124</v>
      </c>
      <c r="F448">
        <v>4</v>
      </c>
      <c r="G448" t="s">
        <v>1026</v>
      </c>
      <c r="H448" s="2">
        <v>317</v>
      </c>
      <c r="I448" t="s">
        <v>92</v>
      </c>
      <c r="J448" s="2">
        <f>INDEX(Positions!$A:$A,MATCH(E448,Positions!$B:$B,0))</f>
        <v>58</v>
      </c>
      <c r="K448" s="2">
        <f>INDEX(Locations!$A:$A,MATCH(I448,Locations!$B:$B,0))</f>
        <v>6</v>
      </c>
    </row>
    <row r="449" spans="1:11" x14ac:dyDescent="0.2">
      <c r="A449" s="3">
        <v>448</v>
      </c>
      <c r="B449" t="s">
        <v>348</v>
      </c>
      <c r="C449" t="s">
        <v>295</v>
      </c>
      <c r="D449" s="1">
        <v>36998</v>
      </c>
      <c r="E449" t="s">
        <v>109</v>
      </c>
      <c r="F449">
        <v>2</v>
      </c>
      <c r="G449" t="s">
        <v>373</v>
      </c>
      <c r="H449" s="2">
        <v>346</v>
      </c>
      <c r="I449" t="s">
        <v>92</v>
      </c>
      <c r="J449" s="2">
        <f>INDEX(Positions!$A:$A,MATCH(E449,Positions!$B:$B,0))</f>
        <v>19</v>
      </c>
      <c r="K449" s="2">
        <f>INDEX(Locations!$A:$A,MATCH(I449,Locations!$B:$B,0))</f>
        <v>6</v>
      </c>
    </row>
    <row r="450" spans="1:11" x14ac:dyDescent="0.2">
      <c r="A450" s="3">
        <v>449</v>
      </c>
      <c r="B450" t="s">
        <v>183</v>
      </c>
      <c r="C450" t="s">
        <v>143</v>
      </c>
      <c r="D450" s="1">
        <v>31535</v>
      </c>
      <c r="E450" t="s">
        <v>121</v>
      </c>
      <c r="F450">
        <v>3</v>
      </c>
      <c r="G450" t="s">
        <v>1027</v>
      </c>
      <c r="H450" s="2">
        <v>252</v>
      </c>
      <c r="I450" t="s">
        <v>92</v>
      </c>
      <c r="J450" s="2">
        <f>INDEX(Positions!$A:$A,MATCH(E450,Positions!$B:$B,0))</f>
        <v>31</v>
      </c>
      <c r="K450" s="2">
        <f>INDEX(Locations!$A:$A,MATCH(I450,Locations!$B:$B,0))</f>
        <v>6</v>
      </c>
    </row>
    <row r="451" spans="1:11" x14ac:dyDescent="0.2">
      <c r="A451" s="3">
        <v>450</v>
      </c>
      <c r="B451" t="s">
        <v>427</v>
      </c>
      <c r="C451" t="s">
        <v>524</v>
      </c>
      <c r="D451" s="1">
        <v>38004</v>
      </c>
      <c r="E451" t="s">
        <v>109</v>
      </c>
      <c r="F451">
        <v>2</v>
      </c>
      <c r="G451" t="s">
        <v>1028</v>
      </c>
      <c r="H451" s="2">
        <v>295</v>
      </c>
      <c r="I451" t="s">
        <v>92</v>
      </c>
      <c r="J451" s="2">
        <f>INDEX(Positions!$A:$A,MATCH(E451,Positions!$B:$B,0))</f>
        <v>19</v>
      </c>
      <c r="K451" s="2">
        <f>INDEX(Locations!$A:$A,MATCH(I451,Locations!$B:$B,0))</f>
        <v>6</v>
      </c>
    </row>
    <row r="452" spans="1:11" x14ac:dyDescent="0.2">
      <c r="A452" s="3">
        <v>451</v>
      </c>
      <c r="B452" t="s">
        <v>351</v>
      </c>
      <c r="C452" t="s">
        <v>1029</v>
      </c>
      <c r="D452" s="1">
        <v>38128</v>
      </c>
      <c r="E452" t="s">
        <v>109</v>
      </c>
      <c r="F452">
        <v>2</v>
      </c>
      <c r="G452" t="s">
        <v>1030</v>
      </c>
      <c r="H452" s="2">
        <v>442</v>
      </c>
      <c r="I452" t="s">
        <v>92</v>
      </c>
      <c r="J452" s="2">
        <f>INDEX(Positions!$A:$A,MATCH(E452,Positions!$B:$B,0))</f>
        <v>19</v>
      </c>
      <c r="K452" s="2">
        <f>INDEX(Locations!$A:$A,MATCH(I452,Locations!$B:$B,0))</f>
        <v>6</v>
      </c>
    </row>
    <row r="453" spans="1:11" x14ac:dyDescent="0.2">
      <c r="A453" s="3">
        <v>452</v>
      </c>
      <c r="B453" t="s">
        <v>105</v>
      </c>
      <c r="C453" t="s">
        <v>166</v>
      </c>
      <c r="D453" s="1">
        <v>36033</v>
      </c>
      <c r="E453" t="s">
        <v>104</v>
      </c>
      <c r="F453">
        <v>1</v>
      </c>
      <c r="G453" t="s">
        <v>1031</v>
      </c>
      <c r="H453" s="2">
        <v>442</v>
      </c>
      <c r="I453" t="s">
        <v>92</v>
      </c>
      <c r="J453" s="2">
        <f>INDEX(Positions!$A:$A,MATCH(E453,Positions!$B:$B,0))</f>
        <v>6</v>
      </c>
      <c r="K453" s="2">
        <f>INDEX(Locations!$A:$A,MATCH(I453,Locations!$B:$B,0))</f>
        <v>6</v>
      </c>
    </row>
    <row r="454" spans="1:11" x14ac:dyDescent="0.2">
      <c r="A454" s="3">
        <v>453</v>
      </c>
      <c r="B454" t="s">
        <v>281</v>
      </c>
      <c r="C454" t="s">
        <v>307</v>
      </c>
      <c r="D454" s="1">
        <v>38968</v>
      </c>
      <c r="E454" t="s">
        <v>104</v>
      </c>
      <c r="F454">
        <v>1</v>
      </c>
      <c r="G454" t="s">
        <v>1032</v>
      </c>
      <c r="H454" s="2">
        <v>388</v>
      </c>
      <c r="I454" t="s">
        <v>89</v>
      </c>
      <c r="J454" s="2">
        <f>INDEX(Positions!$A:$A,MATCH(E454,Positions!$B:$B,0))</f>
        <v>6</v>
      </c>
      <c r="K454" s="2">
        <f>INDEX(Locations!$A:$A,MATCH(I454,Locations!$B:$B,0))</f>
        <v>8</v>
      </c>
    </row>
    <row r="455" spans="1:11" x14ac:dyDescent="0.2">
      <c r="A455" s="3">
        <v>454</v>
      </c>
      <c r="B455" t="s">
        <v>422</v>
      </c>
      <c r="C455" t="s">
        <v>154</v>
      </c>
      <c r="D455" s="1">
        <v>37979</v>
      </c>
      <c r="E455" t="s">
        <v>109</v>
      </c>
      <c r="F455">
        <v>2</v>
      </c>
      <c r="G455" t="s">
        <v>1033</v>
      </c>
      <c r="H455" s="2">
        <v>388</v>
      </c>
      <c r="I455" t="s">
        <v>89</v>
      </c>
      <c r="J455" s="2">
        <f>INDEX(Positions!$A:$A,MATCH(E455,Positions!$B:$B,0))</f>
        <v>19</v>
      </c>
      <c r="K455" s="2">
        <f>INDEX(Locations!$A:$A,MATCH(I455,Locations!$B:$B,0))</f>
        <v>8</v>
      </c>
    </row>
    <row r="456" spans="1:11" x14ac:dyDescent="0.2">
      <c r="A456" s="3">
        <v>455</v>
      </c>
      <c r="B456" t="s">
        <v>698</v>
      </c>
      <c r="C456" t="s">
        <v>434</v>
      </c>
      <c r="D456" s="1">
        <v>39582</v>
      </c>
      <c r="E456" t="s">
        <v>104</v>
      </c>
      <c r="F456">
        <v>1</v>
      </c>
      <c r="G456" t="s">
        <v>1034</v>
      </c>
      <c r="H456" s="2">
        <v>346</v>
      </c>
      <c r="I456" t="s">
        <v>92</v>
      </c>
      <c r="J456" s="2">
        <f>INDEX(Positions!$A:$A,MATCH(E456,Positions!$B:$B,0))</f>
        <v>6</v>
      </c>
      <c r="K456" s="2">
        <f>INDEX(Locations!$A:$A,MATCH(I456,Locations!$B:$B,0))</f>
        <v>6</v>
      </c>
    </row>
    <row r="457" spans="1:11" x14ac:dyDescent="0.2">
      <c r="A457" s="3">
        <v>456</v>
      </c>
      <c r="B457" t="s">
        <v>477</v>
      </c>
      <c r="C457" t="s">
        <v>362</v>
      </c>
      <c r="D457" s="1">
        <v>35533</v>
      </c>
      <c r="E457" t="s">
        <v>121</v>
      </c>
      <c r="F457">
        <v>3</v>
      </c>
      <c r="G457" t="s">
        <v>1035</v>
      </c>
      <c r="H457" s="2">
        <v>382</v>
      </c>
      <c r="I457" t="s">
        <v>89</v>
      </c>
      <c r="J457" s="2">
        <f>INDEX(Positions!$A:$A,MATCH(E457,Positions!$B:$B,0))</f>
        <v>31</v>
      </c>
      <c r="K457" s="2">
        <f>INDEX(Locations!$A:$A,MATCH(I457,Locations!$B:$B,0))</f>
        <v>8</v>
      </c>
    </row>
    <row r="458" spans="1:11" x14ac:dyDescent="0.2">
      <c r="A458" s="3">
        <v>457</v>
      </c>
      <c r="B458" t="s">
        <v>498</v>
      </c>
      <c r="C458" t="s">
        <v>290</v>
      </c>
      <c r="D458" s="1">
        <v>36785</v>
      </c>
      <c r="E458" t="s">
        <v>104</v>
      </c>
      <c r="F458">
        <v>1</v>
      </c>
      <c r="G458" t="s">
        <v>1036</v>
      </c>
      <c r="H458" s="2">
        <v>382</v>
      </c>
      <c r="I458" t="s">
        <v>89</v>
      </c>
      <c r="J458" s="2">
        <f>INDEX(Positions!$A:$A,MATCH(E458,Positions!$B:$B,0))</f>
        <v>6</v>
      </c>
      <c r="K458" s="2">
        <f>INDEX(Locations!$A:$A,MATCH(I458,Locations!$B:$B,0))</f>
        <v>8</v>
      </c>
    </row>
    <row r="459" spans="1:11" x14ac:dyDescent="0.2">
      <c r="A459" s="3">
        <v>458</v>
      </c>
      <c r="B459" t="s">
        <v>107</v>
      </c>
      <c r="C459" t="s">
        <v>641</v>
      </c>
      <c r="D459" s="1">
        <v>31108</v>
      </c>
      <c r="E459" t="s">
        <v>121</v>
      </c>
      <c r="F459">
        <v>3</v>
      </c>
      <c r="G459" t="s">
        <v>1037</v>
      </c>
      <c r="H459" s="2">
        <v>388</v>
      </c>
      <c r="I459" t="s">
        <v>89</v>
      </c>
      <c r="J459" s="2">
        <f>INDEX(Positions!$A:$A,MATCH(E459,Positions!$B:$B,0))</f>
        <v>31</v>
      </c>
      <c r="K459" s="2">
        <f>INDEX(Locations!$A:$A,MATCH(I459,Locations!$B:$B,0))</f>
        <v>8</v>
      </c>
    </row>
    <row r="460" spans="1:11" x14ac:dyDescent="0.2">
      <c r="A460" s="3">
        <v>459</v>
      </c>
      <c r="B460" t="s">
        <v>421</v>
      </c>
      <c r="C460" t="s">
        <v>606</v>
      </c>
      <c r="D460" s="1">
        <v>34454</v>
      </c>
      <c r="E460" t="s">
        <v>124</v>
      </c>
      <c r="F460">
        <v>4</v>
      </c>
      <c r="G460" t="s">
        <v>1038</v>
      </c>
      <c r="H460" s="2">
        <v>263</v>
      </c>
      <c r="I460" t="s">
        <v>233</v>
      </c>
      <c r="J460" s="2">
        <f>INDEX(Positions!$A:$A,MATCH(E460,Positions!$B:$B,0))</f>
        <v>58</v>
      </c>
      <c r="K460" s="2">
        <f>INDEX(Locations!$A:$A,MATCH(I460,Locations!$B:$B,0))</f>
        <v>11</v>
      </c>
    </row>
    <row r="461" spans="1:11" x14ac:dyDescent="0.2">
      <c r="A461" s="3">
        <v>460</v>
      </c>
      <c r="B461" t="s">
        <v>215</v>
      </c>
      <c r="C461" t="s">
        <v>495</v>
      </c>
      <c r="D461" s="1">
        <v>32477</v>
      </c>
      <c r="E461" t="s">
        <v>109</v>
      </c>
      <c r="F461">
        <v>2</v>
      </c>
      <c r="G461" t="s">
        <v>1039</v>
      </c>
      <c r="H461" s="2">
        <v>418</v>
      </c>
      <c r="I461" t="s">
        <v>89</v>
      </c>
      <c r="J461" s="2">
        <f>INDEX(Positions!$A:$A,MATCH(E461,Positions!$B:$B,0))</f>
        <v>19</v>
      </c>
      <c r="K461" s="2">
        <f>INDEX(Locations!$A:$A,MATCH(I461,Locations!$B:$B,0))</f>
        <v>8</v>
      </c>
    </row>
    <row r="462" spans="1:11" x14ac:dyDescent="0.2">
      <c r="A462" s="3">
        <v>461</v>
      </c>
      <c r="B462" t="s">
        <v>310</v>
      </c>
      <c r="C462" t="s">
        <v>342</v>
      </c>
      <c r="D462" s="1">
        <v>37360</v>
      </c>
      <c r="E462" t="s">
        <v>104</v>
      </c>
      <c r="F462">
        <v>1</v>
      </c>
      <c r="G462" t="s">
        <v>1040</v>
      </c>
      <c r="H462" s="2">
        <v>423</v>
      </c>
      <c r="I462" t="s">
        <v>92</v>
      </c>
      <c r="J462" s="2">
        <f>INDEX(Positions!$A:$A,MATCH(E462,Positions!$B:$B,0))</f>
        <v>6</v>
      </c>
      <c r="K462" s="2">
        <f>INDEX(Locations!$A:$A,MATCH(I462,Locations!$B:$B,0))</f>
        <v>6</v>
      </c>
    </row>
    <row r="463" spans="1:11" x14ac:dyDescent="0.2">
      <c r="A463" s="3">
        <v>462</v>
      </c>
      <c r="B463" t="s">
        <v>349</v>
      </c>
      <c r="C463" t="s">
        <v>145</v>
      </c>
      <c r="D463" s="1">
        <v>32656</v>
      </c>
      <c r="E463" t="s">
        <v>124</v>
      </c>
      <c r="F463">
        <v>4</v>
      </c>
      <c r="G463" t="s">
        <v>1041</v>
      </c>
      <c r="H463" s="2">
        <v>418</v>
      </c>
      <c r="I463" t="s">
        <v>89</v>
      </c>
      <c r="J463" s="2">
        <f>INDEX(Positions!$A:$A,MATCH(E463,Positions!$B:$B,0))</f>
        <v>58</v>
      </c>
      <c r="K463" s="2">
        <f>INDEX(Locations!$A:$A,MATCH(I463,Locations!$B:$B,0))</f>
        <v>8</v>
      </c>
    </row>
    <row r="464" spans="1:11" x14ac:dyDescent="0.2">
      <c r="A464" s="3">
        <v>463</v>
      </c>
      <c r="B464" t="s">
        <v>207</v>
      </c>
      <c r="C464" t="s">
        <v>247</v>
      </c>
      <c r="D464" s="1">
        <v>34307</v>
      </c>
      <c r="E464" t="s">
        <v>124</v>
      </c>
      <c r="F464">
        <v>4</v>
      </c>
      <c r="G464" t="s">
        <v>1042</v>
      </c>
      <c r="H464" s="2">
        <v>423</v>
      </c>
      <c r="I464" t="s">
        <v>92</v>
      </c>
      <c r="J464" s="2">
        <f>INDEX(Positions!$A:$A,MATCH(E464,Positions!$B:$B,0))</f>
        <v>58</v>
      </c>
      <c r="K464" s="2">
        <f>INDEX(Locations!$A:$A,MATCH(I464,Locations!$B:$B,0))</f>
        <v>6</v>
      </c>
    </row>
    <row r="465" spans="1:11" x14ac:dyDescent="0.2">
      <c r="A465" s="3">
        <v>464</v>
      </c>
      <c r="B465" t="s">
        <v>144</v>
      </c>
      <c r="C465" t="s">
        <v>542</v>
      </c>
      <c r="D465" s="1">
        <v>37407</v>
      </c>
      <c r="E465" t="s">
        <v>104</v>
      </c>
      <c r="F465">
        <v>1</v>
      </c>
      <c r="G465" t="s">
        <v>1043</v>
      </c>
      <c r="H465" s="2">
        <v>239</v>
      </c>
      <c r="I465" t="s">
        <v>92</v>
      </c>
      <c r="J465" s="2">
        <f>INDEX(Positions!$A:$A,MATCH(E465,Positions!$B:$B,0))</f>
        <v>6</v>
      </c>
      <c r="K465" s="2">
        <f>INDEX(Locations!$A:$A,MATCH(I465,Locations!$B:$B,0))</f>
        <v>6</v>
      </c>
    </row>
    <row r="466" spans="1:11" x14ac:dyDescent="0.2">
      <c r="A466" s="3">
        <v>465</v>
      </c>
      <c r="B466" t="s">
        <v>300</v>
      </c>
      <c r="C466" t="s">
        <v>212</v>
      </c>
      <c r="D466" s="1">
        <v>35922</v>
      </c>
      <c r="E466" t="s">
        <v>121</v>
      </c>
      <c r="F466">
        <v>3</v>
      </c>
      <c r="G466" t="s">
        <v>1044</v>
      </c>
      <c r="H466" s="2">
        <v>231</v>
      </c>
      <c r="I466" t="s">
        <v>92</v>
      </c>
      <c r="J466" s="2">
        <f>INDEX(Positions!$A:$A,MATCH(E466,Positions!$B:$B,0))</f>
        <v>31</v>
      </c>
      <c r="K466" s="2">
        <f>INDEX(Locations!$A:$A,MATCH(I466,Locations!$B:$B,0))</f>
        <v>6</v>
      </c>
    </row>
    <row r="467" spans="1:11" x14ac:dyDescent="0.2">
      <c r="A467" s="3">
        <v>466</v>
      </c>
      <c r="B467" t="s">
        <v>530</v>
      </c>
      <c r="C467" t="s">
        <v>641</v>
      </c>
      <c r="D467" s="1">
        <v>34399</v>
      </c>
      <c r="E467" t="s">
        <v>121</v>
      </c>
      <c r="F467">
        <v>3</v>
      </c>
      <c r="G467" t="s">
        <v>1045</v>
      </c>
      <c r="H467" s="2">
        <v>346</v>
      </c>
      <c r="I467" t="s">
        <v>92</v>
      </c>
      <c r="J467" s="2">
        <f>INDEX(Positions!$A:$A,MATCH(E467,Positions!$B:$B,0))</f>
        <v>31</v>
      </c>
      <c r="K467" s="2">
        <f>INDEX(Locations!$A:$A,MATCH(I467,Locations!$B:$B,0))</f>
        <v>6</v>
      </c>
    </row>
    <row r="468" spans="1:11" x14ac:dyDescent="0.2">
      <c r="A468" s="3">
        <v>467</v>
      </c>
      <c r="B468" t="s">
        <v>398</v>
      </c>
      <c r="C468" t="s">
        <v>407</v>
      </c>
      <c r="D468" s="1">
        <v>32932</v>
      </c>
      <c r="E468" t="s">
        <v>104</v>
      </c>
      <c r="F468">
        <v>1</v>
      </c>
      <c r="G468" t="s">
        <v>1046</v>
      </c>
      <c r="H468" s="2">
        <v>442</v>
      </c>
      <c r="I468" t="s">
        <v>92</v>
      </c>
      <c r="J468" s="2">
        <f>INDEX(Positions!$A:$A,MATCH(E468,Positions!$B:$B,0))</f>
        <v>6</v>
      </c>
      <c r="K468" s="2">
        <f>INDEX(Locations!$A:$A,MATCH(I468,Locations!$B:$B,0))</f>
        <v>6</v>
      </c>
    </row>
    <row r="469" spans="1:11" x14ac:dyDescent="0.2">
      <c r="A469" s="3">
        <v>468</v>
      </c>
      <c r="B469" t="s">
        <v>93</v>
      </c>
      <c r="C469" t="s">
        <v>602</v>
      </c>
      <c r="D469" s="1">
        <v>33236</v>
      </c>
      <c r="E469" t="s">
        <v>124</v>
      </c>
      <c r="F469">
        <v>4</v>
      </c>
      <c r="G469" t="s">
        <v>1047</v>
      </c>
      <c r="H469" s="2">
        <v>388</v>
      </c>
      <c r="I469" t="s">
        <v>89</v>
      </c>
      <c r="J469" s="2">
        <f>INDEX(Positions!$A:$A,MATCH(E469,Positions!$B:$B,0))</f>
        <v>58</v>
      </c>
      <c r="K469" s="2">
        <f>INDEX(Locations!$A:$A,MATCH(I469,Locations!$B:$B,0))</f>
        <v>8</v>
      </c>
    </row>
    <row r="470" spans="1:11" x14ac:dyDescent="0.2">
      <c r="A470" s="3">
        <v>469</v>
      </c>
      <c r="B470" t="s">
        <v>389</v>
      </c>
      <c r="C470" t="s">
        <v>497</v>
      </c>
      <c r="D470" s="1">
        <v>36585</v>
      </c>
      <c r="E470" t="s">
        <v>104</v>
      </c>
      <c r="F470">
        <v>1</v>
      </c>
      <c r="G470" t="s">
        <v>1048</v>
      </c>
      <c r="H470" s="2">
        <v>376</v>
      </c>
      <c r="I470" t="s">
        <v>89</v>
      </c>
      <c r="J470" s="2">
        <f>INDEX(Positions!$A:$A,MATCH(E470,Positions!$B:$B,0))</f>
        <v>6</v>
      </c>
      <c r="K470" s="2">
        <f>INDEX(Locations!$A:$A,MATCH(I470,Locations!$B:$B,0))</f>
        <v>8</v>
      </c>
    </row>
    <row r="471" spans="1:11" x14ac:dyDescent="0.2">
      <c r="A471" s="3">
        <v>470</v>
      </c>
      <c r="B471" t="s">
        <v>137</v>
      </c>
      <c r="C471" t="s">
        <v>123</v>
      </c>
      <c r="D471" s="1">
        <v>36606</v>
      </c>
      <c r="E471" t="s">
        <v>104</v>
      </c>
      <c r="F471">
        <v>1</v>
      </c>
      <c r="G471" t="s">
        <v>1049</v>
      </c>
      <c r="H471" s="2">
        <v>382</v>
      </c>
      <c r="I471" t="s">
        <v>89</v>
      </c>
      <c r="J471" s="2">
        <f>INDEX(Positions!$A:$A,MATCH(E471,Positions!$B:$B,0))</f>
        <v>6</v>
      </c>
      <c r="K471" s="2">
        <f>INDEX(Locations!$A:$A,MATCH(I471,Locations!$B:$B,0))</f>
        <v>8</v>
      </c>
    </row>
    <row r="472" spans="1:11" x14ac:dyDescent="0.2">
      <c r="A472" s="3">
        <v>471</v>
      </c>
      <c r="B472" t="s">
        <v>217</v>
      </c>
      <c r="C472" t="s">
        <v>98</v>
      </c>
      <c r="D472" s="1">
        <v>39545</v>
      </c>
      <c r="E472" t="s">
        <v>109</v>
      </c>
      <c r="F472">
        <v>2</v>
      </c>
      <c r="G472" t="s">
        <v>1050</v>
      </c>
      <c r="H472" s="2">
        <v>423</v>
      </c>
      <c r="I472" t="s">
        <v>92</v>
      </c>
      <c r="J472" s="2">
        <f>INDEX(Positions!$A:$A,MATCH(E472,Positions!$B:$B,0))</f>
        <v>19</v>
      </c>
      <c r="K472" s="2">
        <f>INDEX(Locations!$A:$A,MATCH(I472,Locations!$B:$B,0))</f>
        <v>6</v>
      </c>
    </row>
    <row r="473" spans="1:11" x14ac:dyDescent="0.2">
      <c r="A473" s="3">
        <v>472</v>
      </c>
      <c r="B473" t="s">
        <v>1051</v>
      </c>
      <c r="C473" t="s">
        <v>361</v>
      </c>
      <c r="D473" s="1">
        <v>38872</v>
      </c>
      <c r="E473" t="s">
        <v>104</v>
      </c>
      <c r="F473">
        <v>1</v>
      </c>
      <c r="G473" t="s">
        <v>1052</v>
      </c>
      <c r="H473" s="2">
        <v>418</v>
      </c>
      <c r="I473" t="s">
        <v>89</v>
      </c>
      <c r="J473" s="2">
        <f>INDEX(Positions!$A:$A,MATCH(E473,Positions!$B:$B,0))</f>
        <v>6</v>
      </c>
      <c r="K473" s="2">
        <f>INDEX(Locations!$A:$A,MATCH(I473,Locations!$B:$B,0))</f>
        <v>8</v>
      </c>
    </row>
    <row r="474" spans="1:11" x14ac:dyDescent="0.2">
      <c r="A474" s="3">
        <v>473</v>
      </c>
      <c r="B474" t="s">
        <v>452</v>
      </c>
      <c r="C474" t="s">
        <v>369</v>
      </c>
      <c r="D474" s="1">
        <v>38116</v>
      </c>
      <c r="E474" t="s">
        <v>104</v>
      </c>
      <c r="F474">
        <v>1</v>
      </c>
      <c r="G474" t="s">
        <v>1053</v>
      </c>
      <c r="H474" s="2">
        <v>418</v>
      </c>
      <c r="I474" t="s">
        <v>89</v>
      </c>
      <c r="J474" s="2">
        <f>INDEX(Positions!$A:$A,MATCH(E474,Positions!$B:$B,0))</f>
        <v>6</v>
      </c>
      <c r="K474" s="2">
        <f>INDEX(Locations!$A:$A,MATCH(I474,Locations!$B:$B,0))</f>
        <v>8</v>
      </c>
    </row>
    <row r="475" spans="1:11" x14ac:dyDescent="0.2">
      <c r="A475" s="3">
        <v>474</v>
      </c>
      <c r="B475" t="s">
        <v>129</v>
      </c>
      <c r="C475" t="s">
        <v>130</v>
      </c>
      <c r="D475" s="1">
        <v>31747</v>
      </c>
      <c r="E475" t="s">
        <v>109</v>
      </c>
      <c r="F475">
        <v>2</v>
      </c>
      <c r="G475" t="s">
        <v>131</v>
      </c>
      <c r="H475" s="2">
        <v>442</v>
      </c>
      <c r="I475" t="s">
        <v>92</v>
      </c>
      <c r="J475" s="2">
        <f>INDEX(Positions!$A:$A,MATCH(E475,Positions!$B:$B,0))</f>
        <v>19</v>
      </c>
      <c r="K475" s="2">
        <f>INDEX(Locations!$A:$A,MATCH(I475,Locations!$B:$B,0))</f>
        <v>6</v>
      </c>
    </row>
    <row r="476" spans="1:11" x14ac:dyDescent="0.2">
      <c r="A476" s="3">
        <v>475</v>
      </c>
      <c r="B476" t="s">
        <v>527</v>
      </c>
      <c r="C476" t="s">
        <v>685</v>
      </c>
      <c r="D476" s="1">
        <v>33488</v>
      </c>
      <c r="E476" t="s">
        <v>121</v>
      </c>
      <c r="F476">
        <v>3</v>
      </c>
      <c r="G476" t="s">
        <v>1054</v>
      </c>
      <c r="H476" s="2">
        <v>423</v>
      </c>
      <c r="I476" t="s">
        <v>92</v>
      </c>
      <c r="J476" s="2">
        <f>INDEX(Positions!$A:$A,MATCH(E476,Positions!$B:$B,0))</f>
        <v>31</v>
      </c>
      <c r="K476" s="2">
        <f>INDEX(Locations!$A:$A,MATCH(I476,Locations!$B:$B,0))</f>
        <v>6</v>
      </c>
    </row>
    <row r="477" spans="1:11" x14ac:dyDescent="0.2">
      <c r="A477" s="3">
        <v>476</v>
      </c>
      <c r="B477" t="s">
        <v>216</v>
      </c>
      <c r="C477" t="s">
        <v>1055</v>
      </c>
      <c r="D477" s="1">
        <v>37188</v>
      </c>
      <c r="E477" t="s">
        <v>104</v>
      </c>
      <c r="F477">
        <v>1</v>
      </c>
      <c r="G477" t="s">
        <v>1056</v>
      </c>
      <c r="H477" s="2">
        <v>211</v>
      </c>
      <c r="I477" t="s">
        <v>233</v>
      </c>
      <c r="J477" s="2">
        <f>INDEX(Positions!$A:$A,MATCH(E477,Positions!$B:$B,0))</f>
        <v>6</v>
      </c>
      <c r="K477" s="2">
        <f>INDEX(Locations!$A:$A,MATCH(I477,Locations!$B:$B,0))</f>
        <v>11</v>
      </c>
    </row>
    <row r="478" spans="1:11" x14ac:dyDescent="0.2">
      <c r="A478" s="3">
        <v>477</v>
      </c>
      <c r="B478" t="s">
        <v>83</v>
      </c>
      <c r="C478" t="s">
        <v>273</v>
      </c>
      <c r="D478" s="1">
        <v>35675</v>
      </c>
      <c r="E478" t="s">
        <v>118</v>
      </c>
      <c r="F478">
        <v>3</v>
      </c>
      <c r="G478" t="s">
        <v>1057</v>
      </c>
      <c r="H478" s="2">
        <v>382</v>
      </c>
      <c r="I478" t="s">
        <v>89</v>
      </c>
      <c r="J478" s="2">
        <f>INDEX(Positions!$A:$A,MATCH(E478,Positions!$B:$B,0))</f>
        <v>28</v>
      </c>
      <c r="K478" s="2">
        <f>INDEX(Locations!$A:$A,MATCH(I478,Locations!$B:$B,0))</f>
        <v>8</v>
      </c>
    </row>
    <row r="479" spans="1:11" x14ac:dyDescent="0.2">
      <c r="A479" s="3">
        <v>478</v>
      </c>
      <c r="B479" t="s">
        <v>337</v>
      </c>
      <c r="C479" t="s">
        <v>382</v>
      </c>
      <c r="D479" s="1">
        <v>32885</v>
      </c>
      <c r="E479" t="s">
        <v>109</v>
      </c>
      <c r="F479">
        <v>2</v>
      </c>
      <c r="G479" t="s">
        <v>1058</v>
      </c>
      <c r="H479" s="2">
        <v>295</v>
      </c>
      <c r="I479" t="s">
        <v>92</v>
      </c>
      <c r="J479" s="2">
        <f>INDEX(Positions!$A:$A,MATCH(E479,Positions!$B:$B,0))</f>
        <v>19</v>
      </c>
      <c r="K479" s="2">
        <f>INDEX(Locations!$A:$A,MATCH(I479,Locations!$B:$B,0))</f>
        <v>6</v>
      </c>
    </row>
    <row r="480" spans="1:11" x14ac:dyDescent="0.2">
      <c r="A480" s="3">
        <v>479</v>
      </c>
      <c r="B480" t="s">
        <v>650</v>
      </c>
      <c r="C480" t="s">
        <v>299</v>
      </c>
      <c r="D480" s="1">
        <v>34670</v>
      </c>
      <c r="E480" t="s">
        <v>121</v>
      </c>
      <c r="F480">
        <v>3</v>
      </c>
      <c r="G480" t="s">
        <v>1059</v>
      </c>
      <c r="H480" s="2">
        <v>144</v>
      </c>
      <c r="I480" t="s">
        <v>92</v>
      </c>
      <c r="J480" s="2">
        <f>INDEX(Positions!$A:$A,MATCH(E480,Positions!$B:$B,0))</f>
        <v>31</v>
      </c>
      <c r="K480" s="2">
        <f>INDEX(Locations!$A:$A,MATCH(I480,Locations!$B:$B,0))</f>
        <v>6</v>
      </c>
    </row>
    <row r="481" spans="1:11" x14ac:dyDescent="0.2">
      <c r="A481" s="3">
        <v>480</v>
      </c>
      <c r="B481" t="s">
        <v>306</v>
      </c>
      <c r="C481" t="s">
        <v>368</v>
      </c>
      <c r="D481" s="1">
        <v>37754</v>
      </c>
      <c r="E481" t="s">
        <v>104</v>
      </c>
      <c r="F481">
        <v>1</v>
      </c>
      <c r="G481" t="s">
        <v>1060</v>
      </c>
      <c r="H481" s="2">
        <v>193</v>
      </c>
      <c r="I481" t="s">
        <v>233</v>
      </c>
      <c r="J481" s="2">
        <f>INDEX(Positions!$A:$A,MATCH(E481,Positions!$B:$B,0))</f>
        <v>6</v>
      </c>
      <c r="K481" s="2">
        <f>INDEX(Locations!$A:$A,MATCH(I481,Locations!$B:$B,0))</f>
        <v>11</v>
      </c>
    </row>
    <row r="482" spans="1:11" x14ac:dyDescent="0.2">
      <c r="A482" s="3">
        <v>481</v>
      </c>
      <c r="B482" t="s">
        <v>298</v>
      </c>
      <c r="C482" t="s">
        <v>307</v>
      </c>
      <c r="D482" s="1">
        <v>33995</v>
      </c>
      <c r="E482" t="s">
        <v>101</v>
      </c>
      <c r="F482">
        <v>5</v>
      </c>
      <c r="G482" t="s">
        <v>1061</v>
      </c>
      <c r="H482" s="2">
        <v>381</v>
      </c>
      <c r="I482" t="s">
        <v>89</v>
      </c>
      <c r="J482" s="2">
        <f>INDEX(Positions!$A:$A,MATCH(E482,Positions!$B:$B,0))</f>
        <v>76</v>
      </c>
      <c r="K482" s="2">
        <f>INDEX(Locations!$A:$A,MATCH(I482,Locations!$B:$B,0))</f>
        <v>8</v>
      </c>
    </row>
    <row r="483" spans="1:11" x14ac:dyDescent="0.2">
      <c r="A483" s="3">
        <v>482</v>
      </c>
      <c r="B483" t="s">
        <v>428</v>
      </c>
      <c r="C483" t="s">
        <v>472</v>
      </c>
      <c r="D483" s="1">
        <v>35170</v>
      </c>
      <c r="E483" t="s">
        <v>109</v>
      </c>
      <c r="F483">
        <v>2</v>
      </c>
      <c r="G483" t="s">
        <v>1062</v>
      </c>
      <c r="H483" s="2">
        <v>376</v>
      </c>
      <c r="I483" t="s">
        <v>89</v>
      </c>
      <c r="J483" s="2">
        <f>INDEX(Positions!$A:$A,MATCH(E483,Positions!$B:$B,0))</f>
        <v>19</v>
      </c>
      <c r="K483" s="2">
        <f>INDEX(Locations!$A:$A,MATCH(I483,Locations!$B:$B,0))</f>
        <v>8</v>
      </c>
    </row>
    <row r="484" spans="1:11" x14ac:dyDescent="0.2">
      <c r="A484" s="3">
        <v>483</v>
      </c>
      <c r="B484" t="s">
        <v>515</v>
      </c>
      <c r="C484" t="s">
        <v>188</v>
      </c>
      <c r="D484" s="1">
        <v>34507</v>
      </c>
      <c r="E484" t="s">
        <v>121</v>
      </c>
      <c r="F484">
        <v>3</v>
      </c>
      <c r="G484" t="s">
        <v>1063</v>
      </c>
      <c r="H484" s="2">
        <v>211</v>
      </c>
      <c r="I484" t="s">
        <v>233</v>
      </c>
      <c r="J484" s="2">
        <f>INDEX(Positions!$A:$A,MATCH(E484,Positions!$B:$B,0))</f>
        <v>31</v>
      </c>
      <c r="K484" s="2">
        <f>INDEX(Locations!$A:$A,MATCH(I484,Locations!$B:$B,0))</f>
        <v>11</v>
      </c>
    </row>
    <row r="485" spans="1:11" x14ac:dyDescent="0.2">
      <c r="A485" s="3">
        <v>484</v>
      </c>
      <c r="B485" t="s">
        <v>293</v>
      </c>
      <c r="C485" t="s">
        <v>128</v>
      </c>
      <c r="D485" s="1">
        <v>34748</v>
      </c>
      <c r="E485" t="s">
        <v>118</v>
      </c>
      <c r="F485">
        <v>3</v>
      </c>
      <c r="G485" t="s">
        <v>1064</v>
      </c>
      <c r="H485" s="2">
        <v>295</v>
      </c>
      <c r="I485" t="s">
        <v>92</v>
      </c>
      <c r="J485" s="2">
        <f>INDEX(Positions!$A:$A,MATCH(E485,Positions!$B:$B,0))</f>
        <v>28</v>
      </c>
      <c r="K485" s="2">
        <f>INDEX(Locations!$A:$A,MATCH(I485,Locations!$B:$B,0))</f>
        <v>6</v>
      </c>
    </row>
    <row r="486" spans="1:11" x14ac:dyDescent="0.2">
      <c r="A486" s="3">
        <v>485</v>
      </c>
      <c r="B486" t="s">
        <v>246</v>
      </c>
      <c r="C486" t="s">
        <v>575</v>
      </c>
      <c r="D486" s="1">
        <v>37777</v>
      </c>
      <c r="E486" t="s">
        <v>109</v>
      </c>
      <c r="F486">
        <v>2</v>
      </c>
      <c r="G486" t="s">
        <v>1065</v>
      </c>
      <c r="H486" s="2">
        <v>442</v>
      </c>
      <c r="I486" t="s">
        <v>92</v>
      </c>
      <c r="J486" s="2">
        <f>INDEX(Positions!$A:$A,MATCH(E486,Positions!$B:$B,0))</f>
        <v>19</v>
      </c>
      <c r="K486" s="2">
        <f>INDEX(Locations!$A:$A,MATCH(I486,Locations!$B:$B,0))</f>
        <v>6</v>
      </c>
    </row>
    <row r="487" spans="1:11" x14ac:dyDescent="0.2">
      <c r="A487" s="3">
        <v>486</v>
      </c>
      <c r="B487" t="s">
        <v>397</v>
      </c>
      <c r="C487" t="s">
        <v>464</v>
      </c>
      <c r="D487" s="1">
        <v>35626</v>
      </c>
      <c r="E487" t="s">
        <v>124</v>
      </c>
      <c r="F487">
        <v>4</v>
      </c>
      <c r="G487" t="s">
        <v>1066</v>
      </c>
      <c r="H487" s="2">
        <v>481</v>
      </c>
      <c r="I487" t="s">
        <v>89</v>
      </c>
      <c r="J487" s="2">
        <f>INDEX(Positions!$A:$A,MATCH(E487,Positions!$B:$B,0))</f>
        <v>58</v>
      </c>
      <c r="K487" s="2">
        <f>INDEX(Locations!$A:$A,MATCH(I487,Locations!$B:$B,0))</f>
        <v>8</v>
      </c>
    </row>
    <row r="488" spans="1:11" x14ac:dyDescent="0.2">
      <c r="A488" s="3">
        <v>487</v>
      </c>
      <c r="B488" t="s">
        <v>415</v>
      </c>
      <c r="C488" t="s">
        <v>403</v>
      </c>
      <c r="D488" s="1">
        <v>35626</v>
      </c>
      <c r="E488" t="s">
        <v>101</v>
      </c>
      <c r="F488">
        <v>5</v>
      </c>
      <c r="G488" t="s">
        <v>1067</v>
      </c>
      <c r="H488" s="2">
        <v>159</v>
      </c>
      <c r="I488" t="s">
        <v>92</v>
      </c>
      <c r="J488" s="2">
        <f>INDEX(Positions!$A:$A,MATCH(E488,Positions!$B:$B,0))</f>
        <v>76</v>
      </c>
      <c r="K488" s="2">
        <f>INDEX(Locations!$A:$A,MATCH(I488,Locations!$B:$B,0))</f>
        <v>6</v>
      </c>
    </row>
    <row r="489" spans="1:11" x14ac:dyDescent="0.2">
      <c r="A489" s="3">
        <v>488</v>
      </c>
      <c r="B489" t="s">
        <v>349</v>
      </c>
      <c r="C489" t="s">
        <v>115</v>
      </c>
      <c r="D489" s="1">
        <v>34851</v>
      </c>
      <c r="E489" t="s">
        <v>101</v>
      </c>
      <c r="F489">
        <v>5</v>
      </c>
      <c r="G489" t="s">
        <v>1068</v>
      </c>
      <c r="H489" s="2">
        <v>192</v>
      </c>
      <c r="I489" t="s">
        <v>92</v>
      </c>
      <c r="J489" s="2">
        <f>INDEX(Positions!$A:$A,MATCH(E489,Positions!$B:$B,0))</f>
        <v>76</v>
      </c>
      <c r="K489" s="2">
        <f>INDEX(Locations!$A:$A,MATCH(I489,Locations!$B:$B,0))</f>
        <v>6</v>
      </c>
    </row>
    <row r="490" spans="1:11" x14ac:dyDescent="0.2">
      <c r="A490" s="3">
        <v>489</v>
      </c>
      <c r="B490" t="s">
        <v>202</v>
      </c>
      <c r="C490" t="s">
        <v>193</v>
      </c>
      <c r="D490" s="1">
        <v>34551</v>
      </c>
      <c r="E490" t="s">
        <v>101</v>
      </c>
      <c r="F490">
        <v>5</v>
      </c>
      <c r="G490" t="s">
        <v>1069</v>
      </c>
      <c r="H490" s="2">
        <v>381</v>
      </c>
      <c r="I490" t="s">
        <v>89</v>
      </c>
      <c r="J490" s="2">
        <f>INDEX(Positions!$A:$A,MATCH(E490,Positions!$B:$B,0))</f>
        <v>76</v>
      </c>
      <c r="K490" s="2">
        <f>INDEX(Locations!$A:$A,MATCH(I490,Locations!$B:$B,0))</f>
        <v>8</v>
      </c>
    </row>
    <row r="491" spans="1:11" x14ac:dyDescent="0.2">
      <c r="A491" s="3">
        <v>490</v>
      </c>
      <c r="B491" t="s">
        <v>422</v>
      </c>
      <c r="C491" t="s">
        <v>316</v>
      </c>
      <c r="D491" s="1">
        <v>39682</v>
      </c>
      <c r="E491" t="s">
        <v>104</v>
      </c>
      <c r="F491">
        <v>1</v>
      </c>
      <c r="G491" t="s">
        <v>1070</v>
      </c>
      <c r="H491" s="2">
        <v>481</v>
      </c>
      <c r="I491" t="s">
        <v>89</v>
      </c>
      <c r="J491" s="2">
        <f>INDEX(Positions!$A:$A,MATCH(E491,Positions!$B:$B,0))</f>
        <v>6</v>
      </c>
      <c r="K491" s="2">
        <f>INDEX(Locations!$A:$A,MATCH(I491,Locations!$B:$B,0))</f>
        <v>8</v>
      </c>
    </row>
    <row r="492" spans="1:11" x14ac:dyDescent="0.2">
      <c r="A492" s="3">
        <v>491</v>
      </c>
      <c r="B492" t="s">
        <v>1010</v>
      </c>
      <c r="C492" t="s">
        <v>429</v>
      </c>
      <c r="D492" s="1">
        <v>38178</v>
      </c>
      <c r="E492" t="s">
        <v>109</v>
      </c>
      <c r="F492">
        <v>2</v>
      </c>
      <c r="G492" t="s">
        <v>1071</v>
      </c>
      <c r="H492" s="2">
        <v>418</v>
      </c>
      <c r="I492" t="s">
        <v>89</v>
      </c>
      <c r="J492" s="2">
        <f>INDEX(Positions!$A:$A,MATCH(E492,Positions!$B:$B,0))</f>
        <v>19</v>
      </c>
      <c r="K492" s="2">
        <f>INDEX(Locations!$A:$A,MATCH(I492,Locations!$B:$B,0))</f>
        <v>8</v>
      </c>
    </row>
    <row r="493" spans="1:11" x14ac:dyDescent="0.2">
      <c r="A493" s="3">
        <v>492</v>
      </c>
      <c r="B493" t="s">
        <v>207</v>
      </c>
      <c r="C493" t="s">
        <v>386</v>
      </c>
      <c r="D493" s="1">
        <v>37374</v>
      </c>
      <c r="E493" t="s">
        <v>109</v>
      </c>
      <c r="F493">
        <v>2</v>
      </c>
      <c r="G493" t="s">
        <v>1072</v>
      </c>
      <c r="H493" s="2">
        <v>487</v>
      </c>
      <c r="I493" t="s">
        <v>92</v>
      </c>
      <c r="J493" s="2">
        <f>INDEX(Positions!$A:$A,MATCH(E493,Positions!$B:$B,0))</f>
        <v>19</v>
      </c>
      <c r="K493" s="2">
        <f>INDEX(Locations!$A:$A,MATCH(I493,Locations!$B:$B,0))</f>
        <v>6</v>
      </c>
    </row>
    <row r="494" spans="1:11" x14ac:dyDescent="0.2">
      <c r="A494" s="3">
        <v>493</v>
      </c>
      <c r="B494" t="s">
        <v>358</v>
      </c>
      <c r="C494" t="s">
        <v>419</v>
      </c>
      <c r="D494" s="1">
        <v>32688</v>
      </c>
      <c r="E494" t="s">
        <v>121</v>
      </c>
      <c r="F494">
        <v>3</v>
      </c>
      <c r="G494" t="s">
        <v>1073</v>
      </c>
      <c r="H494" s="2">
        <v>442</v>
      </c>
      <c r="I494" t="s">
        <v>92</v>
      </c>
      <c r="J494" s="2">
        <f>INDEX(Positions!$A:$A,MATCH(E494,Positions!$B:$B,0))</f>
        <v>31</v>
      </c>
      <c r="K494" s="2">
        <f>INDEX(Locations!$A:$A,MATCH(I494,Locations!$B:$B,0))</f>
        <v>6</v>
      </c>
    </row>
    <row r="495" spans="1:11" x14ac:dyDescent="0.2">
      <c r="A495" s="3">
        <v>494</v>
      </c>
      <c r="B495" t="s">
        <v>150</v>
      </c>
      <c r="C495" t="s">
        <v>197</v>
      </c>
      <c r="D495" s="1">
        <v>33992</v>
      </c>
      <c r="E495" t="s">
        <v>109</v>
      </c>
      <c r="F495">
        <v>2</v>
      </c>
      <c r="G495" t="s">
        <v>1074</v>
      </c>
      <c r="H495" s="2">
        <v>388</v>
      </c>
      <c r="I495" t="s">
        <v>89</v>
      </c>
      <c r="J495" s="2">
        <f>INDEX(Positions!$A:$A,MATCH(E495,Positions!$B:$B,0))</f>
        <v>19</v>
      </c>
      <c r="K495" s="2">
        <f>INDEX(Locations!$A:$A,MATCH(I495,Locations!$B:$B,0))</f>
        <v>8</v>
      </c>
    </row>
    <row r="496" spans="1:11" x14ac:dyDescent="0.2">
      <c r="A496" s="3">
        <v>495</v>
      </c>
      <c r="B496" t="s">
        <v>172</v>
      </c>
      <c r="C496" t="s">
        <v>355</v>
      </c>
      <c r="D496" s="1">
        <v>36606</v>
      </c>
      <c r="E496" t="s">
        <v>104</v>
      </c>
      <c r="F496">
        <v>1</v>
      </c>
      <c r="G496" t="s">
        <v>1075</v>
      </c>
      <c r="H496" s="2">
        <v>442</v>
      </c>
      <c r="I496" t="s">
        <v>92</v>
      </c>
      <c r="J496" s="2">
        <f>INDEX(Positions!$A:$A,MATCH(E496,Positions!$B:$B,0))</f>
        <v>6</v>
      </c>
      <c r="K496" s="2">
        <f>INDEX(Locations!$A:$A,MATCH(I496,Locations!$B:$B,0))</f>
        <v>6</v>
      </c>
    </row>
    <row r="497" spans="1:11" x14ac:dyDescent="0.2">
      <c r="A497" s="3">
        <v>496</v>
      </c>
      <c r="B497" t="s">
        <v>638</v>
      </c>
      <c r="C497" t="s">
        <v>400</v>
      </c>
      <c r="D497" s="1">
        <v>35066</v>
      </c>
      <c r="E497" t="s">
        <v>118</v>
      </c>
      <c r="F497">
        <v>3</v>
      </c>
      <c r="G497" t="s">
        <v>1076</v>
      </c>
      <c r="H497" s="2">
        <v>442</v>
      </c>
      <c r="I497" t="s">
        <v>92</v>
      </c>
      <c r="J497" s="2">
        <f>INDEX(Positions!$A:$A,MATCH(E497,Positions!$B:$B,0))</f>
        <v>28</v>
      </c>
      <c r="K497" s="2">
        <f>INDEX(Locations!$A:$A,MATCH(I497,Locations!$B:$B,0))</f>
        <v>6</v>
      </c>
    </row>
    <row r="498" spans="1:11" x14ac:dyDescent="0.2">
      <c r="A498" s="3">
        <v>497</v>
      </c>
      <c r="B498" t="s">
        <v>349</v>
      </c>
      <c r="C498" t="s">
        <v>140</v>
      </c>
      <c r="D498" s="1">
        <v>35719</v>
      </c>
      <c r="E498" t="s">
        <v>109</v>
      </c>
      <c r="F498">
        <v>2</v>
      </c>
      <c r="G498" t="s">
        <v>1077</v>
      </c>
      <c r="H498" s="2">
        <v>488</v>
      </c>
      <c r="I498" t="s">
        <v>92</v>
      </c>
      <c r="J498" s="2">
        <f>INDEX(Positions!$A:$A,MATCH(E498,Positions!$B:$B,0))</f>
        <v>19</v>
      </c>
      <c r="K498" s="2">
        <f>INDEX(Locations!$A:$A,MATCH(I498,Locations!$B:$B,0))</f>
        <v>6</v>
      </c>
    </row>
    <row r="499" spans="1:11" x14ac:dyDescent="0.2">
      <c r="A499" s="3">
        <v>498</v>
      </c>
      <c r="B499" t="s">
        <v>308</v>
      </c>
      <c r="C499" t="s">
        <v>595</v>
      </c>
      <c r="D499" s="1">
        <v>34087</v>
      </c>
      <c r="E499" t="s">
        <v>109</v>
      </c>
      <c r="F499">
        <v>2</v>
      </c>
      <c r="G499" t="s">
        <v>1078</v>
      </c>
      <c r="H499" s="2">
        <v>442</v>
      </c>
      <c r="I499" t="s">
        <v>92</v>
      </c>
      <c r="J499" s="2">
        <f>INDEX(Positions!$A:$A,MATCH(E499,Positions!$B:$B,0))</f>
        <v>19</v>
      </c>
      <c r="K499" s="2">
        <f>INDEX(Locations!$A:$A,MATCH(I499,Locations!$B:$B,0))</f>
        <v>6</v>
      </c>
    </row>
    <row r="500" spans="1:11" x14ac:dyDescent="0.2">
      <c r="A500" s="3">
        <v>499</v>
      </c>
      <c r="B500" t="s">
        <v>447</v>
      </c>
      <c r="C500" t="s">
        <v>467</v>
      </c>
      <c r="D500" s="1">
        <v>37062</v>
      </c>
      <c r="E500" t="s">
        <v>104</v>
      </c>
      <c r="F500">
        <v>1</v>
      </c>
      <c r="G500" t="s">
        <v>1079</v>
      </c>
      <c r="H500" s="2">
        <v>376</v>
      </c>
      <c r="I500" t="s">
        <v>89</v>
      </c>
      <c r="J500" s="2">
        <f>INDEX(Positions!$A:$A,MATCH(E500,Positions!$B:$B,0))</f>
        <v>6</v>
      </c>
      <c r="K500" s="2">
        <f>INDEX(Locations!$A:$A,MATCH(I500,Locations!$B:$B,0))</f>
        <v>8</v>
      </c>
    </row>
    <row r="501" spans="1:11" x14ac:dyDescent="0.2">
      <c r="A501" s="3">
        <v>500</v>
      </c>
      <c r="B501" t="s">
        <v>638</v>
      </c>
      <c r="C501" t="s">
        <v>390</v>
      </c>
      <c r="D501" s="1">
        <v>36788</v>
      </c>
      <c r="E501" t="s">
        <v>104</v>
      </c>
      <c r="F501">
        <v>1</v>
      </c>
      <c r="G501" t="s">
        <v>1080</v>
      </c>
      <c r="H501" s="2">
        <v>489</v>
      </c>
      <c r="I501" t="s">
        <v>89</v>
      </c>
      <c r="J501" s="2">
        <f>INDEX(Positions!$A:$A,MATCH(E501,Positions!$B:$B,0))</f>
        <v>6</v>
      </c>
      <c r="K501" s="2">
        <f>INDEX(Locations!$A:$A,MATCH(I501,Locations!$B:$B,0))</f>
        <v>8</v>
      </c>
    </row>
    <row r="502" spans="1:11" x14ac:dyDescent="0.2">
      <c r="A502" s="3">
        <v>501</v>
      </c>
      <c r="B502" t="s">
        <v>422</v>
      </c>
      <c r="C502" t="s">
        <v>126</v>
      </c>
      <c r="D502" s="1">
        <v>39453</v>
      </c>
      <c r="E502" t="s">
        <v>104</v>
      </c>
      <c r="F502">
        <v>1</v>
      </c>
      <c r="G502" t="s">
        <v>1081</v>
      </c>
      <c r="H502" s="2">
        <v>382</v>
      </c>
      <c r="I502" t="s">
        <v>89</v>
      </c>
      <c r="J502" s="2">
        <f>INDEX(Positions!$A:$A,MATCH(E502,Positions!$B:$B,0))</f>
        <v>6</v>
      </c>
      <c r="K502" s="2">
        <f>INDEX(Locations!$A:$A,MATCH(I502,Locations!$B:$B,0))</f>
        <v>8</v>
      </c>
    </row>
    <row r="503" spans="1:11" x14ac:dyDescent="0.2">
      <c r="A503" s="3">
        <v>502</v>
      </c>
      <c r="B503" t="s">
        <v>170</v>
      </c>
      <c r="C503" t="s">
        <v>288</v>
      </c>
      <c r="D503" s="1">
        <v>39666</v>
      </c>
      <c r="E503" t="s">
        <v>104</v>
      </c>
      <c r="F503">
        <v>1</v>
      </c>
      <c r="G503" t="s">
        <v>1082</v>
      </c>
      <c r="H503" s="2">
        <v>423</v>
      </c>
      <c r="I503" t="s">
        <v>92</v>
      </c>
      <c r="J503" s="2">
        <f>INDEX(Positions!$A:$A,MATCH(E503,Positions!$B:$B,0))</f>
        <v>6</v>
      </c>
      <c r="K503" s="2">
        <f>INDEX(Locations!$A:$A,MATCH(I503,Locations!$B:$B,0))</f>
        <v>6</v>
      </c>
    </row>
    <row r="504" spans="1:11" x14ac:dyDescent="0.2">
      <c r="A504" s="3">
        <v>503</v>
      </c>
      <c r="B504" t="s">
        <v>338</v>
      </c>
      <c r="C504" t="s">
        <v>652</v>
      </c>
      <c r="D504" s="1">
        <v>35703</v>
      </c>
      <c r="E504" t="s">
        <v>121</v>
      </c>
      <c r="F504">
        <v>3</v>
      </c>
      <c r="G504" t="s">
        <v>1083</v>
      </c>
      <c r="H504" s="2">
        <v>481</v>
      </c>
      <c r="I504" t="s">
        <v>89</v>
      </c>
      <c r="J504" s="2">
        <f>INDEX(Positions!$A:$A,MATCH(E504,Positions!$B:$B,0))</f>
        <v>31</v>
      </c>
      <c r="K504" s="2">
        <f>INDEX(Locations!$A:$A,MATCH(I504,Locations!$B:$B,0))</f>
        <v>8</v>
      </c>
    </row>
    <row r="505" spans="1:11" x14ac:dyDescent="0.2">
      <c r="A505" s="3">
        <v>504</v>
      </c>
      <c r="B505" t="s">
        <v>156</v>
      </c>
      <c r="C505" t="s">
        <v>140</v>
      </c>
      <c r="D505" s="1">
        <v>35668</v>
      </c>
      <c r="E505" t="s">
        <v>104</v>
      </c>
      <c r="F505">
        <v>1</v>
      </c>
      <c r="G505" t="s">
        <v>1084</v>
      </c>
      <c r="H505" s="2">
        <v>226</v>
      </c>
      <c r="I505" t="s">
        <v>92</v>
      </c>
      <c r="J505" s="2">
        <f>INDEX(Positions!$A:$A,MATCH(E505,Positions!$B:$B,0))</f>
        <v>6</v>
      </c>
      <c r="K505" s="2">
        <f>INDEX(Locations!$A:$A,MATCH(I505,Locations!$B:$B,0))</f>
        <v>6</v>
      </c>
    </row>
    <row r="506" spans="1:11" x14ac:dyDescent="0.2">
      <c r="A506" s="3">
        <v>505</v>
      </c>
      <c r="B506" t="s">
        <v>132</v>
      </c>
      <c r="C506" t="s">
        <v>304</v>
      </c>
      <c r="D506" s="1">
        <v>33943</v>
      </c>
      <c r="E506" t="s">
        <v>124</v>
      </c>
      <c r="F506">
        <v>4</v>
      </c>
      <c r="G506" t="s">
        <v>1085</v>
      </c>
      <c r="H506" s="2">
        <v>206</v>
      </c>
      <c r="I506" t="s">
        <v>233</v>
      </c>
      <c r="J506" s="2">
        <f>INDEX(Positions!$A:$A,MATCH(E506,Positions!$B:$B,0))</f>
        <v>58</v>
      </c>
      <c r="K506" s="2">
        <f>INDEX(Locations!$A:$A,MATCH(I506,Locations!$B:$B,0))</f>
        <v>11</v>
      </c>
    </row>
    <row r="507" spans="1:11" x14ac:dyDescent="0.2">
      <c r="A507" s="3">
        <v>506</v>
      </c>
      <c r="B507" t="s">
        <v>501</v>
      </c>
      <c r="C507" t="s">
        <v>317</v>
      </c>
      <c r="D507" s="1">
        <v>35024</v>
      </c>
      <c r="E507" t="s">
        <v>109</v>
      </c>
      <c r="F507">
        <v>2</v>
      </c>
      <c r="G507" t="s">
        <v>1086</v>
      </c>
      <c r="H507" s="2">
        <v>488</v>
      </c>
      <c r="I507" t="s">
        <v>92</v>
      </c>
      <c r="J507" s="2">
        <f>INDEX(Positions!$A:$A,MATCH(E507,Positions!$B:$B,0))</f>
        <v>19</v>
      </c>
      <c r="K507" s="2">
        <f>INDEX(Locations!$A:$A,MATCH(I507,Locations!$B:$B,0))</f>
        <v>6</v>
      </c>
    </row>
    <row r="508" spans="1:11" x14ac:dyDescent="0.2">
      <c r="A508" s="3">
        <v>507</v>
      </c>
      <c r="B508" t="s">
        <v>348</v>
      </c>
      <c r="C508" t="s">
        <v>260</v>
      </c>
      <c r="D508" s="1">
        <v>33987</v>
      </c>
      <c r="E508" t="s">
        <v>109</v>
      </c>
      <c r="F508">
        <v>2</v>
      </c>
      <c r="G508" t="s">
        <v>1087</v>
      </c>
      <c r="H508" s="2">
        <v>376</v>
      </c>
      <c r="I508" t="s">
        <v>89</v>
      </c>
      <c r="J508" s="2">
        <f>INDEX(Positions!$A:$A,MATCH(E508,Positions!$B:$B,0))</f>
        <v>19</v>
      </c>
      <c r="K508" s="2">
        <f>INDEX(Locations!$A:$A,MATCH(I508,Locations!$B:$B,0))</f>
        <v>8</v>
      </c>
    </row>
    <row r="509" spans="1:11" x14ac:dyDescent="0.2">
      <c r="A509" s="3">
        <v>508</v>
      </c>
      <c r="B509" t="s">
        <v>83</v>
      </c>
      <c r="C509" t="s">
        <v>685</v>
      </c>
      <c r="D509" s="1">
        <v>37724</v>
      </c>
      <c r="E509" t="s">
        <v>104</v>
      </c>
      <c r="F509">
        <v>1</v>
      </c>
      <c r="G509" t="s">
        <v>1088</v>
      </c>
      <c r="H509" s="2">
        <v>488</v>
      </c>
      <c r="I509" t="s">
        <v>92</v>
      </c>
      <c r="J509" s="2">
        <f>INDEX(Positions!$A:$A,MATCH(E509,Positions!$B:$B,0))</f>
        <v>6</v>
      </c>
      <c r="K509" s="2">
        <f>INDEX(Locations!$A:$A,MATCH(I509,Locations!$B:$B,0))</f>
        <v>6</v>
      </c>
    </row>
    <row r="510" spans="1:11" x14ac:dyDescent="0.2">
      <c r="A510" s="3">
        <v>509</v>
      </c>
      <c r="B510" t="s">
        <v>477</v>
      </c>
      <c r="C510" t="s">
        <v>378</v>
      </c>
      <c r="D510" s="1">
        <v>34689</v>
      </c>
      <c r="E510" t="s">
        <v>109</v>
      </c>
      <c r="F510">
        <v>2</v>
      </c>
      <c r="G510" t="s">
        <v>1089</v>
      </c>
      <c r="H510" s="2">
        <v>418</v>
      </c>
      <c r="I510" t="s">
        <v>89</v>
      </c>
      <c r="J510" s="2">
        <f>INDEX(Positions!$A:$A,MATCH(E510,Positions!$B:$B,0))</f>
        <v>19</v>
      </c>
      <c r="K510" s="2">
        <f>INDEX(Locations!$A:$A,MATCH(I510,Locations!$B:$B,0))</f>
        <v>8</v>
      </c>
    </row>
    <row r="511" spans="1:11" x14ac:dyDescent="0.2">
      <c r="A511" s="3">
        <v>510</v>
      </c>
      <c r="B511" t="s">
        <v>97</v>
      </c>
      <c r="C511" t="s">
        <v>521</v>
      </c>
      <c r="D511" s="1">
        <v>33365</v>
      </c>
      <c r="E511" t="s">
        <v>124</v>
      </c>
      <c r="F511">
        <v>4</v>
      </c>
      <c r="G511" t="s">
        <v>1090</v>
      </c>
      <c r="H511" s="2">
        <v>423</v>
      </c>
      <c r="I511" t="s">
        <v>92</v>
      </c>
      <c r="J511" s="2">
        <f>INDEX(Positions!$A:$A,MATCH(E511,Positions!$B:$B,0))</f>
        <v>58</v>
      </c>
      <c r="K511" s="2">
        <f>INDEX(Locations!$A:$A,MATCH(I511,Locations!$B:$B,0))</f>
        <v>6</v>
      </c>
    </row>
    <row r="512" spans="1:11" x14ac:dyDescent="0.2">
      <c r="A512" s="3">
        <v>511</v>
      </c>
      <c r="B512" t="s">
        <v>302</v>
      </c>
      <c r="C512" t="s">
        <v>414</v>
      </c>
      <c r="D512" s="1">
        <v>37513</v>
      </c>
      <c r="E512" t="s">
        <v>109</v>
      </c>
      <c r="F512">
        <v>2</v>
      </c>
      <c r="G512" t="s">
        <v>1091</v>
      </c>
      <c r="H512" s="2">
        <v>489</v>
      </c>
      <c r="I512" t="s">
        <v>89</v>
      </c>
      <c r="J512" s="2">
        <f>INDEX(Positions!$A:$A,MATCH(E512,Positions!$B:$B,0))</f>
        <v>19</v>
      </c>
      <c r="K512" s="2">
        <f>INDEX(Locations!$A:$A,MATCH(I512,Locations!$B:$B,0))</f>
        <v>8</v>
      </c>
    </row>
    <row r="513" spans="1:11" x14ac:dyDescent="0.2">
      <c r="A513" s="3">
        <v>512</v>
      </c>
      <c r="B513" t="s">
        <v>97</v>
      </c>
      <c r="C513" t="s">
        <v>234</v>
      </c>
      <c r="D513" s="1">
        <v>36007</v>
      </c>
      <c r="E513" t="s">
        <v>118</v>
      </c>
      <c r="F513">
        <v>3</v>
      </c>
      <c r="G513" t="s">
        <v>1092</v>
      </c>
      <c r="H513" s="2">
        <v>488</v>
      </c>
      <c r="I513" t="s">
        <v>92</v>
      </c>
      <c r="J513" s="2">
        <f>INDEX(Positions!$A:$A,MATCH(E513,Positions!$B:$B,0))</f>
        <v>28</v>
      </c>
      <c r="K513" s="2">
        <f>INDEX(Locations!$A:$A,MATCH(I513,Locations!$B:$B,0))</f>
        <v>6</v>
      </c>
    </row>
    <row r="514" spans="1:11" x14ac:dyDescent="0.2">
      <c r="A514" s="3">
        <v>513</v>
      </c>
      <c r="B514" t="s">
        <v>287</v>
      </c>
      <c r="C514" t="s">
        <v>466</v>
      </c>
      <c r="D514" s="1">
        <v>35109</v>
      </c>
      <c r="E514" t="s">
        <v>118</v>
      </c>
      <c r="F514">
        <v>3</v>
      </c>
      <c r="G514" t="s">
        <v>1093</v>
      </c>
      <c r="H514" s="2">
        <v>418</v>
      </c>
      <c r="I514" t="s">
        <v>89</v>
      </c>
      <c r="J514" s="2">
        <f>INDEX(Positions!$A:$A,MATCH(E514,Positions!$B:$B,0))</f>
        <v>28</v>
      </c>
      <c r="K514" s="2">
        <f>INDEX(Locations!$A:$A,MATCH(I514,Locations!$B:$B,0))</f>
        <v>8</v>
      </c>
    </row>
    <row r="515" spans="1:11" x14ac:dyDescent="0.2">
      <c r="A515" s="3">
        <v>514</v>
      </c>
      <c r="B515" t="s">
        <v>345</v>
      </c>
      <c r="C515" t="s">
        <v>1055</v>
      </c>
      <c r="D515" s="1">
        <v>34207</v>
      </c>
      <c r="E515" t="s">
        <v>109</v>
      </c>
      <c r="F515">
        <v>2</v>
      </c>
      <c r="G515" t="s">
        <v>1094</v>
      </c>
      <c r="H515" s="2">
        <v>488</v>
      </c>
      <c r="I515" t="s">
        <v>92</v>
      </c>
      <c r="J515" s="2">
        <f>INDEX(Positions!$A:$A,MATCH(E515,Positions!$B:$B,0))</f>
        <v>19</v>
      </c>
      <c r="K515" s="2">
        <f>INDEX(Locations!$A:$A,MATCH(I515,Locations!$B:$B,0))</f>
        <v>6</v>
      </c>
    </row>
    <row r="516" spans="1:11" x14ac:dyDescent="0.2">
      <c r="A516" s="3">
        <v>515</v>
      </c>
      <c r="B516" t="s">
        <v>313</v>
      </c>
      <c r="C516" t="s">
        <v>251</v>
      </c>
      <c r="D516" s="1">
        <v>39519</v>
      </c>
      <c r="E516" t="s">
        <v>104</v>
      </c>
      <c r="F516">
        <v>1</v>
      </c>
      <c r="G516" t="s">
        <v>1095</v>
      </c>
      <c r="H516" s="2">
        <v>488</v>
      </c>
      <c r="I516" t="s">
        <v>92</v>
      </c>
      <c r="J516" s="2">
        <f>INDEX(Positions!$A:$A,MATCH(E516,Positions!$B:$B,0))</f>
        <v>6</v>
      </c>
      <c r="K516" s="2">
        <f>INDEX(Locations!$A:$A,MATCH(I516,Locations!$B:$B,0))</f>
        <v>6</v>
      </c>
    </row>
    <row r="517" spans="1:11" x14ac:dyDescent="0.2">
      <c r="A517" s="3">
        <v>516</v>
      </c>
      <c r="B517" t="s">
        <v>331</v>
      </c>
      <c r="C517" t="s">
        <v>500</v>
      </c>
      <c r="D517" s="1">
        <v>33938</v>
      </c>
      <c r="E517" t="s">
        <v>121</v>
      </c>
      <c r="F517">
        <v>3</v>
      </c>
      <c r="G517" t="s">
        <v>1096</v>
      </c>
      <c r="H517" s="2">
        <v>487</v>
      </c>
      <c r="I517" t="s">
        <v>92</v>
      </c>
      <c r="J517" s="2">
        <f>INDEX(Positions!$A:$A,MATCH(E517,Positions!$B:$B,0))</f>
        <v>31</v>
      </c>
      <c r="K517" s="2">
        <f>INDEX(Locations!$A:$A,MATCH(I517,Locations!$B:$B,0))</f>
        <v>6</v>
      </c>
    </row>
    <row r="518" spans="1:11" x14ac:dyDescent="0.2">
      <c r="A518" s="3">
        <v>517</v>
      </c>
      <c r="B518" t="s">
        <v>93</v>
      </c>
      <c r="C518" t="s">
        <v>333</v>
      </c>
      <c r="D518" s="1">
        <v>32795</v>
      </c>
      <c r="E518" t="s">
        <v>124</v>
      </c>
      <c r="F518">
        <v>4</v>
      </c>
      <c r="G518" t="s">
        <v>1097</v>
      </c>
      <c r="H518" s="2">
        <v>487</v>
      </c>
      <c r="I518" t="s">
        <v>92</v>
      </c>
      <c r="J518" s="2">
        <f>INDEX(Positions!$A:$A,MATCH(E518,Positions!$B:$B,0))</f>
        <v>58</v>
      </c>
      <c r="K518" s="2">
        <f>INDEX(Locations!$A:$A,MATCH(I518,Locations!$B:$B,0))</f>
        <v>6</v>
      </c>
    </row>
    <row r="519" spans="1:11" x14ac:dyDescent="0.2">
      <c r="A519" s="3">
        <v>518</v>
      </c>
      <c r="B519" t="s">
        <v>97</v>
      </c>
      <c r="C519" t="s">
        <v>212</v>
      </c>
      <c r="D519" s="1">
        <v>37197</v>
      </c>
      <c r="E519" t="s">
        <v>104</v>
      </c>
      <c r="F519">
        <v>1</v>
      </c>
      <c r="G519" t="s">
        <v>1098</v>
      </c>
      <c r="H519" s="2">
        <v>487</v>
      </c>
      <c r="I519" t="s">
        <v>92</v>
      </c>
      <c r="J519" s="2">
        <f>INDEX(Positions!$A:$A,MATCH(E519,Positions!$B:$B,0))</f>
        <v>6</v>
      </c>
      <c r="K519" s="2">
        <f>INDEX(Locations!$A:$A,MATCH(I519,Locations!$B:$B,0))</f>
        <v>6</v>
      </c>
    </row>
    <row r="520" spans="1:11" x14ac:dyDescent="0.2">
      <c r="A520" s="3">
        <v>519</v>
      </c>
      <c r="B520" t="s">
        <v>383</v>
      </c>
      <c r="C520" t="s">
        <v>171</v>
      </c>
      <c r="D520" s="1">
        <v>36846</v>
      </c>
      <c r="E520" t="s">
        <v>121</v>
      </c>
      <c r="F520">
        <v>3</v>
      </c>
      <c r="G520" t="s">
        <v>1099</v>
      </c>
      <c r="H520" s="2">
        <v>488</v>
      </c>
      <c r="I520" t="s">
        <v>92</v>
      </c>
      <c r="J520" s="2">
        <f>INDEX(Positions!$A:$A,MATCH(E520,Positions!$B:$B,0))</f>
        <v>31</v>
      </c>
      <c r="K520" s="2">
        <f>INDEX(Locations!$A:$A,MATCH(I520,Locations!$B:$B,0))</f>
        <v>6</v>
      </c>
    </row>
    <row r="521" spans="1:11" x14ac:dyDescent="0.2">
      <c r="A521" s="3">
        <v>520</v>
      </c>
      <c r="B521" t="s">
        <v>231</v>
      </c>
      <c r="C521" t="s">
        <v>395</v>
      </c>
      <c r="D521" s="1">
        <v>35935</v>
      </c>
      <c r="E521" t="s">
        <v>118</v>
      </c>
      <c r="F521">
        <v>3</v>
      </c>
      <c r="G521" t="s">
        <v>1100</v>
      </c>
      <c r="H521" s="2">
        <v>487</v>
      </c>
      <c r="I521" t="s">
        <v>92</v>
      </c>
      <c r="J521" s="2">
        <f>INDEX(Positions!$A:$A,MATCH(E521,Positions!$B:$B,0))</f>
        <v>28</v>
      </c>
      <c r="K521" s="2">
        <f>INDEX(Locations!$A:$A,MATCH(I521,Locations!$B:$B,0))</f>
        <v>6</v>
      </c>
    </row>
    <row r="522" spans="1:11" x14ac:dyDescent="0.2">
      <c r="A522" s="3">
        <v>521</v>
      </c>
      <c r="B522" t="s">
        <v>397</v>
      </c>
      <c r="C522" t="s">
        <v>262</v>
      </c>
      <c r="D522" s="1">
        <v>37223</v>
      </c>
      <c r="E522" t="s">
        <v>121</v>
      </c>
      <c r="F522">
        <v>3</v>
      </c>
      <c r="G522" t="s">
        <v>1101</v>
      </c>
      <c r="H522" s="2">
        <v>481</v>
      </c>
      <c r="I522" t="s">
        <v>89</v>
      </c>
      <c r="J522" s="2">
        <f>INDEX(Positions!$A:$A,MATCH(E522,Positions!$B:$B,0))</f>
        <v>31</v>
      </c>
      <c r="K522" s="2">
        <f>INDEX(Locations!$A:$A,MATCH(I522,Locations!$B:$B,0))</f>
        <v>8</v>
      </c>
    </row>
    <row r="523" spans="1:11" x14ac:dyDescent="0.2">
      <c r="A523" s="3">
        <v>522</v>
      </c>
      <c r="B523" t="s">
        <v>67</v>
      </c>
      <c r="C523" t="s">
        <v>158</v>
      </c>
      <c r="D523" s="1">
        <v>34409</v>
      </c>
      <c r="E523" t="s">
        <v>124</v>
      </c>
      <c r="F523">
        <v>4</v>
      </c>
      <c r="G523" t="s">
        <v>1102</v>
      </c>
      <c r="H523" s="2">
        <v>488</v>
      </c>
      <c r="I523" t="s">
        <v>92</v>
      </c>
      <c r="J523" s="2">
        <f>INDEX(Positions!$A:$A,MATCH(E523,Positions!$B:$B,0))</f>
        <v>58</v>
      </c>
      <c r="K523" s="2">
        <f>INDEX(Locations!$A:$A,MATCH(I523,Locations!$B:$B,0))</f>
        <v>6</v>
      </c>
    </row>
    <row r="524" spans="1:11" x14ac:dyDescent="0.2">
      <c r="A524" s="3">
        <v>523</v>
      </c>
      <c r="B524" t="s">
        <v>191</v>
      </c>
      <c r="C524" t="s">
        <v>155</v>
      </c>
      <c r="D524" s="1">
        <v>34988</v>
      </c>
      <c r="E524" t="s">
        <v>104</v>
      </c>
      <c r="F524">
        <v>1</v>
      </c>
      <c r="G524" t="s">
        <v>1103</v>
      </c>
      <c r="H524" s="2">
        <v>376</v>
      </c>
      <c r="I524" t="s">
        <v>89</v>
      </c>
      <c r="J524" s="2">
        <f>INDEX(Positions!$A:$A,MATCH(E524,Positions!$B:$B,0))</f>
        <v>6</v>
      </c>
      <c r="K524" s="2">
        <f>INDEX(Locations!$A:$A,MATCH(I524,Locations!$B:$B,0))</f>
        <v>8</v>
      </c>
    </row>
    <row r="525" spans="1:11" x14ac:dyDescent="0.2">
      <c r="A525" s="3">
        <v>524</v>
      </c>
      <c r="B525" t="s">
        <v>293</v>
      </c>
      <c r="C525" t="s">
        <v>252</v>
      </c>
      <c r="D525" s="1">
        <v>38485</v>
      </c>
      <c r="E525" t="s">
        <v>109</v>
      </c>
      <c r="F525">
        <v>2</v>
      </c>
      <c r="G525" t="s">
        <v>1104</v>
      </c>
      <c r="H525" s="2">
        <v>206</v>
      </c>
      <c r="I525" t="s">
        <v>233</v>
      </c>
      <c r="J525" s="2">
        <f>INDEX(Positions!$A:$A,MATCH(E525,Positions!$B:$B,0))</f>
        <v>19</v>
      </c>
      <c r="K525" s="2">
        <f>INDEX(Locations!$A:$A,MATCH(I525,Locations!$B:$B,0))</f>
        <v>11</v>
      </c>
    </row>
    <row r="526" spans="1:11" x14ac:dyDescent="0.2">
      <c r="A526" s="3">
        <v>525</v>
      </c>
      <c r="B526" t="s">
        <v>519</v>
      </c>
      <c r="C526" t="s">
        <v>164</v>
      </c>
      <c r="D526" s="1">
        <v>35968</v>
      </c>
      <c r="E526" t="s">
        <v>109</v>
      </c>
      <c r="F526">
        <v>2</v>
      </c>
      <c r="G526" t="s">
        <v>1105</v>
      </c>
      <c r="H526" s="2">
        <v>183</v>
      </c>
      <c r="I526" t="s">
        <v>92</v>
      </c>
      <c r="J526" s="2">
        <f>INDEX(Positions!$A:$A,MATCH(E526,Positions!$B:$B,0))</f>
        <v>19</v>
      </c>
      <c r="K526" s="2">
        <f>INDEX(Locations!$A:$A,MATCH(I526,Locations!$B:$B,0))</f>
        <v>6</v>
      </c>
    </row>
    <row r="527" spans="1:11" x14ac:dyDescent="0.2">
      <c r="A527" s="3">
        <v>526</v>
      </c>
      <c r="B527" t="s">
        <v>698</v>
      </c>
      <c r="C527" t="s">
        <v>449</v>
      </c>
      <c r="D527" s="1">
        <v>37884</v>
      </c>
      <c r="E527" t="s">
        <v>118</v>
      </c>
      <c r="F527">
        <v>3</v>
      </c>
      <c r="G527" t="s">
        <v>1106</v>
      </c>
      <c r="H527" s="2">
        <v>487</v>
      </c>
      <c r="I527" t="s">
        <v>92</v>
      </c>
      <c r="J527" s="2">
        <f>INDEX(Positions!$A:$A,MATCH(E527,Positions!$B:$B,0))</f>
        <v>28</v>
      </c>
      <c r="K527" s="2">
        <f>INDEX(Locations!$A:$A,MATCH(I527,Locations!$B:$B,0))</f>
        <v>6</v>
      </c>
    </row>
    <row r="528" spans="1:11" x14ac:dyDescent="0.2">
      <c r="A528" s="3">
        <v>527</v>
      </c>
      <c r="B528" t="s">
        <v>370</v>
      </c>
      <c r="C528" t="s">
        <v>169</v>
      </c>
      <c r="D528" s="1">
        <v>30562</v>
      </c>
      <c r="E528" t="s">
        <v>95</v>
      </c>
      <c r="F528">
        <v>6</v>
      </c>
      <c r="G528" t="s">
        <v>1107</v>
      </c>
      <c r="H528" s="2">
        <v>261</v>
      </c>
      <c r="I528" t="s">
        <v>89</v>
      </c>
      <c r="J528" s="2">
        <f>INDEX(Positions!$A:$A,MATCH(E528,Positions!$B:$B,0))</f>
        <v>89</v>
      </c>
      <c r="K528" s="2">
        <f>INDEX(Locations!$A:$A,MATCH(I528,Locations!$B:$B,0))</f>
        <v>8</v>
      </c>
    </row>
    <row r="529" spans="1:11" x14ac:dyDescent="0.2">
      <c r="A529" s="3">
        <v>528</v>
      </c>
      <c r="B529" t="s">
        <v>436</v>
      </c>
      <c r="C529" t="s">
        <v>399</v>
      </c>
      <c r="D529" s="1">
        <v>36531</v>
      </c>
      <c r="E529" t="s">
        <v>101</v>
      </c>
      <c r="F529">
        <v>5</v>
      </c>
      <c r="G529" t="s">
        <v>1108</v>
      </c>
      <c r="H529" s="2">
        <v>527</v>
      </c>
      <c r="I529" t="s">
        <v>89</v>
      </c>
      <c r="J529" s="2">
        <f>INDEX(Positions!$A:$A,MATCH(E529,Positions!$B:$B,0))</f>
        <v>76</v>
      </c>
      <c r="K529" s="2">
        <f>INDEX(Locations!$A:$A,MATCH(I529,Locations!$B:$B,0))</f>
        <v>8</v>
      </c>
    </row>
    <row r="530" spans="1:11" x14ac:dyDescent="0.2">
      <c r="A530" s="3">
        <v>529</v>
      </c>
      <c r="B530" t="s">
        <v>159</v>
      </c>
      <c r="C530" t="s">
        <v>355</v>
      </c>
      <c r="D530" s="1">
        <v>37209</v>
      </c>
      <c r="E530" t="s">
        <v>104</v>
      </c>
      <c r="F530">
        <v>1</v>
      </c>
      <c r="G530" t="s">
        <v>1109</v>
      </c>
      <c r="H530" s="2">
        <v>487</v>
      </c>
      <c r="I530" t="s">
        <v>92</v>
      </c>
      <c r="J530" s="2">
        <f>INDEX(Positions!$A:$A,MATCH(E530,Positions!$B:$B,0))</f>
        <v>6</v>
      </c>
      <c r="K530" s="2">
        <f>INDEX(Locations!$A:$A,MATCH(I530,Locations!$B:$B,0))</f>
        <v>6</v>
      </c>
    </row>
    <row r="531" spans="1:11" x14ac:dyDescent="0.2">
      <c r="A531" s="3">
        <v>530</v>
      </c>
      <c r="B531" t="s">
        <v>273</v>
      </c>
      <c r="C531" t="s">
        <v>237</v>
      </c>
      <c r="D531" s="1">
        <v>35372</v>
      </c>
      <c r="E531" t="s">
        <v>109</v>
      </c>
      <c r="F531">
        <v>2</v>
      </c>
      <c r="G531" t="s">
        <v>1110</v>
      </c>
      <c r="H531" s="2">
        <v>489</v>
      </c>
      <c r="I531" t="s">
        <v>89</v>
      </c>
      <c r="J531" s="2">
        <f>INDEX(Positions!$A:$A,MATCH(E531,Positions!$B:$B,0))</f>
        <v>19</v>
      </c>
      <c r="K531" s="2">
        <f>INDEX(Locations!$A:$A,MATCH(I531,Locations!$B:$B,0))</f>
        <v>8</v>
      </c>
    </row>
    <row r="532" spans="1:11" x14ac:dyDescent="0.2">
      <c r="A532" s="3">
        <v>531</v>
      </c>
      <c r="B532" t="s">
        <v>310</v>
      </c>
      <c r="C532" t="s">
        <v>278</v>
      </c>
      <c r="D532" s="1">
        <v>37543</v>
      </c>
      <c r="E532" t="s">
        <v>104</v>
      </c>
      <c r="F532">
        <v>1</v>
      </c>
      <c r="G532" t="s">
        <v>1111</v>
      </c>
      <c r="H532" s="2">
        <v>487</v>
      </c>
      <c r="I532" t="s">
        <v>92</v>
      </c>
      <c r="J532" s="2">
        <f>INDEX(Positions!$A:$A,MATCH(E532,Positions!$B:$B,0))</f>
        <v>6</v>
      </c>
      <c r="K532" s="2">
        <f>INDEX(Locations!$A:$A,MATCH(I532,Locations!$B:$B,0))</f>
        <v>6</v>
      </c>
    </row>
    <row r="533" spans="1:11" x14ac:dyDescent="0.2">
      <c r="A533" s="3">
        <v>532</v>
      </c>
      <c r="B533" t="s">
        <v>112</v>
      </c>
      <c r="C533" t="s">
        <v>157</v>
      </c>
      <c r="D533" s="1">
        <v>39443</v>
      </c>
      <c r="E533" t="s">
        <v>109</v>
      </c>
      <c r="F533">
        <v>2</v>
      </c>
      <c r="G533" t="s">
        <v>1112</v>
      </c>
      <c r="H533" s="2">
        <v>382</v>
      </c>
      <c r="I533" t="s">
        <v>89</v>
      </c>
      <c r="J533" s="2">
        <f>INDEX(Positions!$A:$A,MATCH(E533,Positions!$B:$B,0))</f>
        <v>19</v>
      </c>
      <c r="K533" s="2">
        <f>INDEX(Locations!$A:$A,MATCH(I533,Locations!$B:$B,0))</f>
        <v>8</v>
      </c>
    </row>
    <row r="534" spans="1:11" x14ac:dyDescent="0.2">
      <c r="A534" s="3">
        <v>533</v>
      </c>
      <c r="B534" t="s">
        <v>393</v>
      </c>
      <c r="C534" t="s">
        <v>216</v>
      </c>
      <c r="D534" s="1">
        <v>36165</v>
      </c>
      <c r="E534" t="s">
        <v>118</v>
      </c>
      <c r="F534">
        <v>3</v>
      </c>
      <c r="G534" t="s">
        <v>1113</v>
      </c>
      <c r="H534" s="2">
        <v>481</v>
      </c>
      <c r="I534" t="s">
        <v>89</v>
      </c>
      <c r="J534" s="2">
        <f>INDEX(Positions!$A:$A,MATCH(E534,Positions!$B:$B,0))</f>
        <v>28</v>
      </c>
      <c r="K534" s="2">
        <f>INDEX(Locations!$A:$A,MATCH(I534,Locations!$B:$B,0))</f>
        <v>8</v>
      </c>
    </row>
    <row r="535" spans="1:11" x14ac:dyDescent="0.2">
      <c r="A535" s="3">
        <v>534</v>
      </c>
      <c r="B535" t="s">
        <v>300</v>
      </c>
      <c r="C535" t="s">
        <v>203</v>
      </c>
      <c r="D535" s="1">
        <v>39705</v>
      </c>
      <c r="E535" t="s">
        <v>104</v>
      </c>
      <c r="F535">
        <v>1</v>
      </c>
      <c r="G535" t="s">
        <v>1114</v>
      </c>
      <c r="H535" s="2">
        <v>488</v>
      </c>
      <c r="I535" t="s">
        <v>92</v>
      </c>
      <c r="J535" s="2">
        <f>INDEX(Positions!$A:$A,MATCH(E535,Positions!$B:$B,0))</f>
        <v>6</v>
      </c>
      <c r="K535" s="2">
        <f>INDEX(Locations!$A:$A,MATCH(I535,Locations!$B:$B,0))</f>
        <v>6</v>
      </c>
    </row>
    <row r="536" spans="1:11" x14ac:dyDescent="0.2">
      <c r="A536" s="3">
        <v>535</v>
      </c>
      <c r="B536" t="s">
        <v>396</v>
      </c>
      <c r="C536" t="s">
        <v>188</v>
      </c>
      <c r="D536" s="1">
        <v>37293</v>
      </c>
      <c r="E536" t="s">
        <v>104</v>
      </c>
      <c r="F536">
        <v>1</v>
      </c>
      <c r="G536" t="s">
        <v>1115</v>
      </c>
      <c r="H536" s="2">
        <v>481</v>
      </c>
      <c r="I536" t="s">
        <v>89</v>
      </c>
      <c r="J536" s="2">
        <f>INDEX(Positions!$A:$A,MATCH(E536,Positions!$B:$B,0))</f>
        <v>6</v>
      </c>
      <c r="K536" s="2">
        <f>INDEX(Locations!$A:$A,MATCH(I536,Locations!$B:$B,0))</f>
        <v>8</v>
      </c>
    </row>
    <row r="537" spans="1:11" x14ac:dyDescent="0.2">
      <c r="A537" s="3">
        <v>536</v>
      </c>
      <c r="B537" t="s">
        <v>148</v>
      </c>
      <c r="C537" t="s">
        <v>216</v>
      </c>
      <c r="D537" s="1">
        <v>36228</v>
      </c>
      <c r="E537" t="s">
        <v>124</v>
      </c>
      <c r="F537">
        <v>4</v>
      </c>
      <c r="G537" t="s">
        <v>1116</v>
      </c>
      <c r="H537" s="2">
        <v>365</v>
      </c>
      <c r="I537" t="s">
        <v>233</v>
      </c>
      <c r="J537" s="2">
        <f>INDEX(Positions!$A:$A,MATCH(E537,Positions!$B:$B,0))</f>
        <v>58</v>
      </c>
      <c r="K537" s="2">
        <f>INDEX(Locations!$A:$A,MATCH(I537,Locations!$B:$B,0))</f>
        <v>11</v>
      </c>
    </row>
    <row r="538" spans="1:11" x14ac:dyDescent="0.2">
      <c r="A538" s="3">
        <v>537</v>
      </c>
      <c r="B538" t="s">
        <v>302</v>
      </c>
      <c r="C538" t="s">
        <v>111</v>
      </c>
      <c r="D538" s="1">
        <v>37471</v>
      </c>
      <c r="E538" t="s">
        <v>109</v>
      </c>
      <c r="F538">
        <v>2</v>
      </c>
      <c r="G538" t="s">
        <v>1117</v>
      </c>
      <c r="H538" s="2">
        <v>442</v>
      </c>
      <c r="I538" t="s">
        <v>92</v>
      </c>
      <c r="J538" s="2">
        <f>INDEX(Positions!$A:$A,MATCH(E538,Positions!$B:$B,0))</f>
        <v>19</v>
      </c>
      <c r="K538" s="2">
        <f>INDEX(Locations!$A:$A,MATCH(I538,Locations!$B:$B,0))</f>
        <v>6</v>
      </c>
    </row>
    <row r="539" spans="1:11" x14ac:dyDescent="0.2">
      <c r="A539" s="3">
        <v>538</v>
      </c>
      <c r="B539" t="s">
        <v>330</v>
      </c>
      <c r="C539" t="s">
        <v>575</v>
      </c>
      <c r="D539" s="1">
        <v>33238</v>
      </c>
      <c r="E539" t="s">
        <v>118</v>
      </c>
      <c r="F539">
        <v>3</v>
      </c>
      <c r="G539" t="s">
        <v>1118</v>
      </c>
      <c r="H539" s="2">
        <v>481</v>
      </c>
      <c r="I539" t="s">
        <v>89</v>
      </c>
      <c r="J539" s="2">
        <f>INDEX(Positions!$A:$A,MATCH(E539,Positions!$B:$B,0))</f>
        <v>28</v>
      </c>
      <c r="K539" s="2">
        <f>INDEX(Locations!$A:$A,MATCH(I539,Locations!$B:$B,0))</f>
        <v>8</v>
      </c>
    </row>
    <row r="540" spans="1:11" x14ac:dyDescent="0.2">
      <c r="A540" s="3">
        <v>539</v>
      </c>
      <c r="B540" t="s">
        <v>553</v>
      </c>
      <c r="C540" t="s">
        <v>316</v>
      </c>
      <c r="D540" s="1">
        <v>36765</v>
      </c>
      <c r="E540" t="s">
        <v>109</v>
      </c>
      <c r="F540">
        <v>2</v>
      </c>
      <c r="G540" t="s">
        <v>1119</v>
      </c>
      <c r="H540" s="2">
        <v>528</v>
      </c>
      <c r="I540" t="s">
        <v>89</v>
      </c>
      <c r="J540" s="2">
        <f>INDEX(Positions!$A:$A,MATCH(E540,Positions!$B:$B,0))</f>
        <v>19</v>
      </c>
      <c r="K540" s="2">
        <f>INDEX(Locations!$A:$A,MATCH(I540,Locations!$B:$B,0))</f>
        <v>8</v>
      </c>
    </row>
    <row r="541" spans="1:11" x14ac:dyDescent="0.2">
      <c r="A541" s="3">
        <v>540</v>
      </c>
      <c r="B541" t="s">
        <v>219</v>
      </c>
      <c r="C541" t="s">
        <v>382</v>
      </c>
      <c r="D541" s="1">
        <v>39472</v>
      </c>
      <c r="E541" t="s">
        <v>104</v>
      </c>
      <c r="F541">
        <v>1</v>
      </c>
      <c r="G541" t="s">
        <v>1120</v>
      </c>
      <c r="H541" s="2">
        <v>487</v>
      </c>
      <c r="I541" t="s">
        <v>92</v>
      </c>
      <c r="J541" s="2">
        <f>INDEX(Positions!$A:$A,MATCH(E541,Positions!$B:$B,0))</f>
        <v>6</v>
      </c>
      <c r="K541" s="2">
        <f>INDEX(Locations!$A:$A,MATCH(I541,Locations!$B:$B,0))</f>
        <v>6</v>
      </c>
    </row>
    <row r="542" spans="1:11" x14ac:dyDescent="0.2">
      <c r="A542" s="3">
        <v>541</v>
      </c>
      <c r="B542" t="s">
        <v>358</v>
      </c>
      <c r="C542" t="s">
        <v>456</v>
      </c>
      <c r="D542" s="1">
        <v>34215</v>
      </c>
      <c r="E542" t="s">
        <v>124</v>
      </c>
      <c r="F542">
        <v>4</v>
      </c>
      <c r="G542" t="s">
        <v>1121</v>
      </c>
      <c r="H542" s="2">
        <v>382</v>
      </c>
      <c r="I542" t="s">
        <v>89</v>
      </c>
      <c r="J542" s="2">
        <f>INDEX(Positions!$A:$A,MATCH(E542,Positions!$B:$B,0))</f>
        <v>58</v>
      </c>
      <c r="K542" s="2">
        <f>INDEX(Locations!$A:$A,MATCH(I542,Locations!$B:$B,0))</f>
        <v>8</v>
      </c>
    </row>
    <row r="543" spans="1:11" x14ac:dyDescent="0.2">
      <c r="A543" s="3">
        <v>542</v>
      </c>
      <c r="B543" t="s">
        <v>468</v>
      </c>
      <c r="C543" t="s">
        <v>318</v>
      </c>
      <c r="D543" s="1">
        <v>36367</v>
      </c>
      <c r="E543" t="s">
        <v>104</v>
      </c>
      <c r="F543">
        <v>1</v>
      </c>
      <c r="G543" t="s">
        <v>1122</v>
      </c>
      <c r="H543" s="2">
        <v>317</v>
      </c>
      <c r="I543" t="s">
        <v>92</v>
      </c>
      <c r="J543" s="2">
        <f>INDEX(Positions!$A:$A,MATCH(E543,Positions!$B:$B,0))</f>
        <v>6</v>
      </c>
      <c r="K543" s="2">
        <f>INDEX(Locations!$A:$A,MATCH(I543,Locations!$B:$B,0))</f>
        <v>6</v>
      </c>
    </row>
    <row r="544" spans="1:11" x14ac:dyDescent="0.2">
      <c r="A544" s="3">
        <v>543</v>
      </c>
      <c r="B544" t="s">
        <v>530</v>
      </c>
      <c r="C544" t="s">
        <v>316</v>
      </c>
      <c r="D544" s="1">
        <v>35875</v>
      </c>
      <c r="E544" t="s">
        <v>118</v>
      </c>
      <c r="F544">
        <v>3</v>
      </c>
      <c r="G544" t="s">
        <v>1123</v>
      </c>
      <c r="H544" s="2">
        <v>489</v>
      </c>
      <c r="I544" t="s">
        <v>89</v>
      </c>
      <c r="J544" s="2">
        <f>INDEX(Positions!$A:$A,MATCH(E544,Positions!$B:$B,0))</f>
        <v>28</v>
      </c>
      <c r="K544" s="2">
        <f>INDEX(Locations!$A:$A,MATCH(I544,Locations!$B:$B,0))</f>
        <v>8</v>
      </c>
    </row>
    <row r="545" spans="1:11" x14ac:dyDescent="0.2">
      <c r="A545" s="3">
        <v>544</v>
      </c>
      <c r="B545" t="s">
        <v>268</v>
      </c>
      <c r="C545" t="s">
        <v>120</v>
      </c>
      <c r="D545" s="1">
        <v>36129</v>
      </c>
      <c r="E545" t="s">
        <v>121</v>
      </c>
      <c r="F545">
        <v>3</v>
      </c>
      <c r="G545" t="s">
        <v>1124</v>
      </c>
      <c r="H545" s="2">
        <v>487</v>
      </c>
      <c r="I545" t="s">
        <v>92</v>
      </c>
      <c r="J545" s="2">
        <f>INDEX(Positions!$A:$A,MATCH(E545,Positions!$B:$B,0))</f>
        <v>31</v>
      </c>
      <c r="K545" s="2">
        <f>INDEX(Locations!$A:$A,MATCH(I545,Locations!$B:$B,0))</f>
        <v>6</v>
      </c>
    </row>
    <row r="546" spans="1:11" x14ac:dyDescent="0.2">
      <c r="A546" s="3">
        <v>545</v>
      </c>
      <c r="B546" t="s">
        <v>246</v>
      </c>
      <c r="C546" t="s">
        <v>154</v>
      </c>
      <c r="D546" s="1">
        <v>32890</v>
      </c>
      <c r="E546" t="s">
        <v>109</v>
      </c>
      <c r="F546">
        <v>2</v>
      </c>
      <c r="G546" t="s">
        <v>1125</v>
      </c>
      <c r="H546" s="2">
        <v>528</v>
      </c>
      <c r="I546" t="s">
        <v>89</v>
      </c>
      <c r="J546" s="2">
        <f>INDEX(Positions!$A:$A,MATCH(E546,Positions!$B:$B,0))</f>
        <v>19</v>
      </c>
      <c r="K546" s="2">
        <f>INDEX(Locations!$A:$A,MATCH(I546,Locations!$B:$B,0))</f>
        <v>8</v>
      </c>
    </row>
    <row r="547" spans="1:11" x14ac:dyDescent="0.2">
      <c r="A547" s="3">
        <v>546</v>
      </c>
      <c r="B547" t="s">
        <v>127</v>
      </c>
      <c r="C547" t="s">
        <v>262</v>
      </c>
      <c r="D547" s="1">
        <v>36040</v>
      </c>
      <c r="E547" t="s">
        <v>104</v>
      </c>
      <c r="F547">
        <v>1</v>
      </c>
      <c r="G547" t="s">
        <v>1126</v>
      </c>
      <c r="H547" s="2">
        <v>442</v>
      </c>
      <c r="I547" t="s">
        <v>92</v>
      </c>
      <c r="J547" s="2">
        <f>INDEX(Positions!$A:$A,MATCH(E547,Positions!$B:$B,0))</f>
        <v>6</v>
      </c>
      <c r="K547" s="2">
        <f>INDEX(Locations!$A:$A,MATCH(I547,Locations!$B:$B,0))</f>
        <v>6</v>
      </c>
    </row>
    <row r="548" spans="1:11" x14ac:dyDescent="0.2">
      <c r="A548" s="3">
        <v>547</v>
      </c>
      <c r="B548" t="s">
        <v>404</v>
      </c>
      <c r="C548" t="s">
        <v>392</v>
      </c>
      <c r="D548" s="1">
        <v>36273</v>
      </c>
      <c r="E548" t="s">
        <v>121</v>
      </c>
      <c r="F548">
        <v>3</v>
      </c>
      <c r="G548" t="s">
        <v>1127</v>
      </c>
      <c r="H548" s="2">
        <v>488</v>
      </c>
      <c r="I548" t="s">
        <v>92</v>
      </c>
      <c r="J548" s="2">
        <f>INDEX(Positions!$A:$A,MATCH(E548,Positions!$B:$B,0))</f>
        <v>31</v>
      </c>
      <c r="K548" s="2">
        <f>INDEX(Locations!$A:$A,MATCH(I548,Locations!$B:$B,0))</f>
        <v>6</v>
      </c>
    </row>
    <row r="549" spans="1:11" x14ac:dyDescent="0.2">
      <c r="A549" s="3">
        <v>548</v>
      </c>
      <c r="B549" t="s">
        <v>185</v>
      </c>
      <c r="C549" t="s">
        <v>390</v>
      </c>
      <c r="D549" s="1">
        <v>37848</v>
      </c>
      <c r="E549" t="s">
        <v>109</v>
      </c>
      <c r="F549">
        <v>2</v>
      </c>
      <c r="G549" t="s">
        <v>1128</v>
      </c>
      <c r="H549" s="2">
        <v>481</v>
      </c>
      <c r="I549" t="s">
        <v>89</v>
      </c>
      <c r="J549" s="2">
        <f>INDEX(Positions!$A:$A,MATCH(E549,Positions!$B:$B,0))</f>
        <v>19</v>
      </c>
      <c r="K549" s="2">
        <f>INDEX(Locations!$A:$A,MATCH(I549,Locations!$B:$B,0))</f>
        <v>8</v>
      </c>
    </row>
    <row r="550" spans="1:11" x14ac:dyDescent="0.2">
      <c r="A550" s="3">
        <v>549</v>
      </c>
      <c r="B550" t="s">
        <v>211</v>
      </c>
      <c r="C550" t="s">
        <v>363</v>
      </c>
      <c r="D550" s="1">
        <v>36185</v>
      </c>
      <c r="E550" t="s">
        <v>118</v>
      </c>
      <c r="F550">
        <v>3</v>
      </c>
      <c r="G550" t="s">
        <v>1129</v>
      </c>
      <c r="H550" s="2">
        <v>528</v>
      </c>
      <c r="I550" t="s">
        <v>89</v>
      </c>
      <c r="J550" s="2">
        <f>INDEX(Positions!$A:$A,MATCH(E550,Positions!$B:$B,0))</f>
        <v>28</v>
      </c>
      <c r="K550" s="2">
        <f>INDEX(Locations!$A:$A,MATCH(I550,Locations!$B:$B,0))</f>
        <v>8</v>
      </c>
    </row>
    <row r="551" spans="1:11" x14ac:dyDescent="0.2">
      <c r="A551" s="3">
        <v>550</v>
      </c>
      <c r="B551" t="s">
        <v>746</v>
      </c>
      <c r="C551" t="s">
        <v>199</v>
      </c>
      <c r="D551" s="1">
        <v>36515</v>
      </c>
      <c r="E551" t="s">
        <v>109</v>
      </c>
      <c r="F551">
        <v>2</v>
      </c>
      <c r="G551" t="s">
        <v>1130</v>
      </c>
      <c r="H551" s="2">
        <v>488</v>
      </c>
      <c r="I551" t="s">
        <v>92</v>
      </c>
      <c r="J551" s="2">
        <f>INDEX(Positions!$A:$A,MATCH(E551,Positions!$B:$B,0))</f>
        <v>19</v>
      </c>
      <c r="K551" s="2">
        <f>INDEX(Locations!$A:$A,MATCH(I551,Locations!$B:$B,0))</f>
        <v>6</v>
      </c>
    </row>
    <row r="552" spans="1:11" x14ac:dyDescent="0.2">
      <c r="A552" s="3">
        <v>551</v>
      </c>
      <c r="B552" t="s">
        <v>461</v>
      </c>
      <c r="C552" t="s">
        <v>449</v>
      </c>
      <c r="D552" s="1">
        <v>38847</v>
      </c>
      <c r="E552" t="s">
        <v>104</v>
      </c>
      <c r="F552">
        <v>1</v>
      </c>
      <c r="G552" t="s">
        <v>1131</v>
      </c>
      <c r="H552" s="2">
        <v>489</v>
      </c>
      <c r="I552" t="s">
        <v>89</v>
      </c>
      <c r="J552" s="2">
        <f>INDEX(Positions!$A:$A,MATCH(E552,Positions!$B:$B,0))</f>
        <v>6</v>
      </c>
      <c r="K552" s="2">
        <f>INDEX(Locations!$A:$A,MATCH(I552,Locations!$B:$B,0))</f>
        <v>8</v>
      </c>
    </row>
    <row r="553" spans="1:11" x14ac:dyDescent="0.2">
      <c r="A553" s="3">
        <v>552</v>
      </c>
      <c r="B553" t="s">
        <v>343</v>
      </c>
      <c r="C553" t="s">
        <v>340</v>
      </c>
      <c r="D553" s="1">
        <v>37825</v>
      </c>
      <c r="E553" t="s">
        <v>104</v>
      </c>
      <c r="F553">
        <v>1</v>
      </c>
      <c r="G553" t="s">
        <v>1132</v>
      </c>
      <c r="H553" s="2">
        <v>528</v>
      </c>
      <c r="I553" t="s">
        <v>89</v>
      </c>
      <c r="J553" s="2">
        <f>INDEX(Positions!$A:$A,MATCH(E553,Positions!$B:$B,0))</f>
        <v>6</v>
      </c>
      <c r="K553" s="2">
        <f>INDEX(Locations!$A:$A,MATCH(I553,Locations!$B:$B,0))</f>
        <v>8</v>
      </c>
    </row>
    <row r="554" spans="1:11" x14ac:dyDescent="0.2">
      <c r="A554" s="3">
        <v>553</v>
      </c>
      <c r="B554" t="s">
        <v>258</v>
      </c>
      <c r="C554" t="s">
        <v>362</v>
      </c>
      <c r="D554" s="1">
        <v>36300</v>
      </c>
      <c r="E554" t="s">
        <v>109</v>
      </c>
      <c r="F554">
        <v>2</v>
      </c>
      <c r="G554" t="s">
        <v>1133</v>
      </c>
      <c r="H554" s="2">
        <v>481</v>
      </c>
      <c r="I554" t="s">
        <v>89</v>
      </c>
      <c r="J554" s="2">
        <f>INDEX(Positions!$A:$A,MATCH(E554,Positions!$B:$B,0))</f>
        <v>19</v>
      </c>
      <c r="K554" s="2">
        <f>INDEX(Locations!$A:$A,MATCH(I554,Locations!$B:$B,0))</f>
        <v>8</v>
      </c>
    </row>
    <row r="555" spans="1:11" x14ac:dyDescent="0.2">
      <c r="A555" s="3">
        <v>554</v>
      </c>
      <c r="B555" t="s">
        <v>78</v>
      </c>
      <c r="C555" t="s">
        <v>143</v>
      </c>
      <c r="D555" s="1">
        <v>38225</v>
      </c>
      <c r="E555" t="s">
        <v>109</v>
      </c>
      <c r="F555">
        <v>2</v>
      </c>
      <c r="G555" t="s">
        <v>1134</v>
      </c>
      <c r="H555" s="2">
        <v>423</v>
      </c>
      <c r="I555" t="s">
        <v>92</v>
      </c>
      <c r="J555" s="2">
        <f>INDEX(Positions!$A:$A,MATCH(E555,Positions!$B:$B,0))</f>
        <v>19</v>
      </c>
      <c r="K555" s="2">
        <f>INDEX(Locations!$A:$A,MATCH(I555,Locations!$B:$B,0))</f>
        <v>6</v>
      </c>
    </row>
    <row r="556" spans="1:11" x14ac:dyDescent="0.2">
      <c r="A556" s="3">
        <v>555</v>
      </c>
      <c r="B556" t="s">
        <v>165</v>
      </c>
      <c r="C556" t="s">
        <v>459</v>
      </c>
      <c r="D556" s="1">
        <v>34976</v>
      </c>
      <c r="E556" t="s">
        <v>124</v>
      </c>
      <c r="F556">
        <v>4</v>
      </c>
      <c r="G556" t="s">
        <v>1135</v>
      </c>
      <c r="H556" s="2">
        <v>442</v>
      </c>
      <c r="I556" t="s">
        <v>92</v>
      </c>
      <c r="J556" s="2">
        <f>INDEX(Positions!$A:$A,MATCH(E556,Positions!$B:$B,0))</f>
        <v>58</v>
      </c>
      <c r="K556" s="2">
        <f>INDEX(Locations!$A:$A,MATCH(I556,Locations!$B:$B,0))</f>
        <v>6</v>
      </c>
    </row>
    <row r="557" spans="1:11" x14ac:dyDescent="0.2">
      <c r="A557" s="3">
        <v>556</v>
      </c>
      <c r="B557" t="s">
        <v>146</v>
      </c>
      <c r="C557" t="s">
        <v>456</v>
      </c>
      <c r="D557" s="1">
        <v>33003</v>
      </c>
      <c r="E557" t="s">
        <v>104</v>
      </c>
      <c r="F557">
        <v>1</v>
      </c>
      <c r="G557" t="s">
        <v>1136</v>
      </c>
      <c r="H557" s="2">
        <v>376</v>
      </c>
      <c r="I557" t="s">
        <v>89</v>
      </c>
      <c r="J557" s="2">
        <f>INDEX(Positions!$A:$A,MATCH(E557,Positions!$B:$B,0))</f>
        <v>6</v>
      </c>
      <c r="K557" s="2">
        <f>INDEX(Locations!$A:$A,MATCH(I557,Locations!$B:$B,0))</f>
        <v>8</v>
      </c>
    </row>
    <row r="558" spans="1:11" x14ac:dyDescent="0.2">
      <c r="A558" s="3">
        <v>557</v>
      </c>
      <c r="B558" t="s">
        <v>538</v>
      </c>
      <c r="C558" t="s">
        <v>451</v>
      </c>
      <c r="D558" s="1">
        <v>38406</v>
      </c>
      <c r="E558" t="s">
        <v>104</v>
      </c>
      <c r="F558">
        <v>1</v>
      </c>
      <c r="G558" t="s">
        <v>1137</v>
      </c>
      <c r="H558" s="2">
        <v>489</v>
      </c>
      <c r="I558" t="s">
        <v>89</v>
      </c>
      <c r="J558" s="2">
        <f>INDEX(Positions!$A:$A,MATCH(E558,Positions!$B:$B,0))</f>
        <v>6</v>
      </c>
      <c r="K558" s="2">
        <f>INDEX(Locations!$A:$A,MATCH(I558,Locations!$B:$B,0))</f>
        <v>8</v>
      </c>
    </row>
    <row r="559" spans="1:11" x14ac:dyDescent="0.2">
      <c r="A559" s="3">
        <v>558</v>
      </c>
      <c r="B559" t="s">
        <v>334</v>
      </c>
      <c r="C559" t="s">
        <v>312</v>
      </c>
      <c r="D559" s="1">
        <v>36804</v>
      </c>
      <c r="E559" t="s">
        <v>109</v>
      </c>
      <c r="F559">
        <v>2</v>
      </c>
      <c r="G559" t="s">
        <v>1138</v>
      </c>
      <c r="H559" s="2">
        <v>487</v>
      </c>
      <c r="I559" t="s">
        <v>92</v>
      </c>
      <c r="J559" s="2">
        <f>INDEX(Positions!$A:$A,MATCH(E559,Positions!$B:$B,0))</f>
        <v>19</v>
      </c>
      <c r="K559" s="2">
        <f>INDEX(Locations!$A:$A,MATCH(I559,Locations!$B:$B,0))</f>
        <v>6</v>
      </c>
    </row>
    <row r="560" spans="1:11" x14ac:dyDescent="0.2">
      <c r="A560" s="3">
        <v>559</v>
      </c>
      <c r="B560" t="s">
        <v>528</v>
      </c>
      <c r="C560" t="s">
        <v>514</v>
      </c>
      <c r="D560" s="1">
        <v>34873</v>
      </c>
      <c r="E560" t="s">
        <v>104</v>
      </c>
      <c r="F560">
        <v>1</v>
      </c>
      <c r="G560" t="s">
        <v>1139</v>
      </c>
      <c r="H560" s="2">
        <v>528</v>
      </c>
      <c r="I560" t="s">
        <v>89</v>
      </c>
      <c r="J560" s="2">
        <f>INDEX(Positions!$A:$A,MATCH(E560,Positions!$B:$B,0))</f>
        <v>6</v>
      </c>
      <c r="K560" s="2">
        <f>INDEX(Locations!$A:$A,MATCH(I560,Locations!$B:$B,0))</f>
        <v>8</v>
      </c>
    </row>
    <row r="561" spans="1:11" x14ac:dyDescent="0.2">
      <c r="A561" s="3">
        <v>560</v>
      </c>
      <c r="B561" t="s">
        <v>441</v>
      </c>
      <c r="C561" t="s">
        <v>1140</v>
      </c>
      <c r="D561" s="1">
        <v>36482</v>
      </c>
      <c r="E561" t="s">
        <v>104</v>
      </c>
      <c r="F561">
        <v>1</v>
      </c>
      <c r="G561" t="s">
        <v>1141</v>
      </c>
      <c r="H561" s="2">
        <v>481</v>
      </c>
      <c r="I561" t="s">
        <v>89</v>
      </c>
      <c r="J561" s="2">
        <f>INDEX(Positions!$A:$A,MATCH(E561,Positions!$B:$B,0))</f>
        <v>6</v>
      </c>
      <c r="K561" s="2">
        <f>INDEX(Locations!$A:$A,MATCH(I561,Locations!$B:$B,0))</f>
        <v>8</v>
      </c>
    </row>
    <row r="562" spans="1:11" x14ac:dyDescent="0.2">
      <c r="A562" s="3">
        <v>561</v>
      </c>
      <c r="B562" t="s">
        <v>461</v>
      </c>
      <c r="C562" t="s">
        <v>317</v>
      </c>
      <c r="D562" s="1">
        <v>34131</v>
      </c>
      <c r="E562" t="s">
        <v>101</v>
      </c>
      <c r="F562">
        <v>5</v>
      </c>
      <c r="G562" t="s">
        <v>1142</v>
      </c>
      <c r="H562" s="2">
        <v>527</v>
      </c>
      <c r="I562" t="s">
        <v>89</v>
      </c>
      <c r="J562" s="2">
        <f>INDEX(Positions!$A:$A,MATCH(E562,Positions!$B:$B,0))</f>
        <v>76</v>
      </c>
      <c r="K562" s="2">
        <f>INDEX(Locations!$A:$A,MATCH(I562,Locations!$B:$B,0))</f>
        <v>8</v>
      </c>
    </row>
    <row r="563" spans="1:11" x14ac:dyDescent="0.2">
      <c r="A563" s="3">
        <v>562</v>
      </c>
      <c r="B563" t="s">
        <v>183</v>
      </c>
      <c r="C563" t="s">
        <v>253</v>
      </c>
      <c r="D563" s="1">
        <v>31884</v>
      </c>
      <c r="E563" t="s">
        <v>101</v>
      </c>
      <c r="F563">
        <v>5</v>
      </c>
      <c r="G563" t="s">
        <v>1143</v>
      </c>
      <c r="H563" s="2">
        <v>527</v>
      </c>
      <c r="I563" t="s">
        <v>89</v>
      </c>
      <c r="J563" s="2">
        <f>INDEX(Positions!$A:$A,MATCH(E563,Positions!$B:$B,0))</f>
        <v>76</v>
      </c>
      <c r="K563" s="2">
        <f>INDEX(Locations!$A:$A,MATCH(I563,Locations!$B:$B,0))</f>
        <v>8</v>
      </c>
    </row>
    <row r="564" spans="1:11" x14ac:dyDescent="0.2">
      <c r="A564" s="3">
        <v>563</v>
      </c>
      <c r="B564" t="s">
        <v>285</v>
      </c>
      <c r="C564" t="s">
        <v>184</v>
      </c>
      <c r="D564" s="1">
        <v>32171</v>
      </c>
      <c r="E564" t="s">
        <v>101</v>
      </c>
      <c r="F564">
        <v>5</v>
      </c>
      <c r="G564" t="s">
        <v>1144</v>
      </c>
      <c r="H564" s="2">
        <v>527</v>
      </c>
      <c r="I564" t="s">
        <v>89</v>
      </c>
      <c r="J564" s="2">
        <f>INDEX(Positions!$A:$A,MATCH(E564,Positions!$B:$B,0))</f>
        <v>76</v>
      </c>
      <c r="K564" s="2">
        <f>INDEX(Locations!$A:$A,MATCH(I564,Locations!$B:$B,0))</f>
        <v>8</v>
      </c>
    </row>
    <row r="565" spans="1:11" x14ac:dyDescent="0.2">
      <c r="A565" s="3">
        <v>564</v>
      </c>
      <c r="B565" t="s">
        <v>170</v>
      </c>
      <c r="C565" t="s">
        <v>582</v>
      </c>
      <c r="D565" s="1">
        <v>37122</v>
      </c>
      <c r="E565" t="s">
        <v>104</v>
      </c>
      <c r="F565">
        <v>1</v>
      </c>
      <c r="G565" t="s">
        <v>1145</v>
      </c>
      <c r="H565" s="2">
        <v>561</v>
      </c>
      <c r="I565" t="s">
        <v>89</v>
      </c>
      <c r="J565" s="2">
        <f>INDEX(Positions!$A:$A,MATCH(E565,Positions!$B:$B,0))</f>
        <v>6</v>
      </c>
      <c r="K565" s="2">
        <f>INDEX(Locations!$A:$A,MATCH(I565,Locations!$B:$B,0))</f>
        <v>8</v>
      </c>
    </row>
    <row r="566" spans="1:11" x14ac:dyDescent="0.2">
      <c r="A566" s="3">
        <v>565</v>
      </c>
      <c r="B566" t="s">
        <v>473</v>
      </c>
      <c r="C566" t="s">
        <v>517</v>
      </c>
      <c r="D566" s="1">
        <v>39517</v>
      </c>
      <c r="E566" t="s">
        <v>104</v>
      </c>
      <c r="F566">
        <v>1</v>
      </c>
      <c r="G566" t="s">
        <v>1146</v>
      </c>
      <c r="H566" s="2">
        <v>528</v>
      </c>
      <c r="I566" t="s">
        <v>89</v>
      </c>
      <c r="J566" s="2">
        <f>INDEX(Positions!$A:$A,MATCH(E566,Positions!$B:$B,0))</f>
        <v>6</v>
      </c>
      <c r="K566" s="2">
        <f>INDEX(Locations!$A:$A,MATCH(I566,Locations!$B:$B,0))</f>
        <v>8</v>
      </c>
    </row>
    <row r="567" spans="1:11" x14ac:dyDescent="0.2">
      <c r="A567" s="3">
        <v>566</v>
      </c>
      <c r="B567" t="s">
        <v>702</v>
      </c>
      <c r="C567" t="s">
        <v>449</v>
      </c>
      <c r="D567" s="1">
        <v>35305</v>
      </c>
      <c r="E567" t="s">
        <v>121</v>
      </c>
      <c r="F567">
        <v>3</v>
      </c>
      <c r="G567" t="s">
        <v>1147</v>
      </c>
      <c r="H567" s="2">
        <v>442</v>
      </c>
      <c r="I567" t="s">
        <v>92</v>
      </c>
      <c r="J567" s="2">
        <f>INDEX(Positions!$A:$A,MATCH(E567,Positions!$B:$B,0))</f>
        <v>31</v>
      </c>
      <c r="K567" s="2">
        <f>INDEX(Locations!$A:$A,MATCH(I567,Locations!$B:$B,0))</f>
        <v>6</v>
      </c>
    </row>
    <row r="568" spans="1:11" x14ac:dyDescent="0.2">
      <c r="A568" s="3">
        <v>567</v>
      </c>
      <c r="B568" t="s">
        <v>306</v>
      </c>
      <c r="C568" t="s">
        <v>529</v>
      </c>
      <c r="D568" s="1">
        <v>39027</v>
      </c>
      <c r="E568" t="s">
        <v>104</v>
      </c>
      <c r="F568">
        <v>1</v>
      </c>
      <c r="G568" t="s">
        <v>1148</v>
      </c>
      <c r="H568" s="2">
        <v>487</v>
      </c>
      <c r="I568" t="s">
        <v>92</v>
      </c>
      <c r="J568" s="2">
        <f>INDEX(Positions!$A:$A,MATCH(E568,Positions!$B:$B,0))</f>
        <v>6</v>
      </c>
      <c r="K568" s="2">
        <f>INDEX(Locations!$A:$A,MATCH(I568,Locations!$B:$B,0))</f>
        <v>6</v>
      </c>
    </row>
    <row r="569" spans="1:11" x14ac:dyDescent="0.2">
      <c r="A569" s="3">
        <v>568</v>
      </c>
      <c r="B569" t="s">
        <v>172</v>
      </c>
      <c r="C569" t="s">
        <v>264</v>
      </c>
      <c r="D569" s="1">
        <v>37623</v>
      </c>
      <c r="E569" t="s">
        <v>104</v>
      </c>
      <c r="F569">
        <v>1</v>
      </c>
      <c r="G569" t="s">
        <v>1149</v>
      </c>
      <c r="H569" s="2">
        <v>488</v>
      </c>
      <c r="I569" t="s">
        <v>92</v>
      </c>
      <c r="J569" s="2">
        <f>INDEX(Positions!$A:$A,MATCH(E569,Positions!$B:$B,0))</f>
        <v>6</v>
      </c>
      <c r="K569" s="2">
        <f>INDEX(Locations!$A:$A,MATCH(I569,Locations!$B:$B,0))</f>
        <v>6</v>
      </c>
    </row>
    <row r="570" spans="1:11" x14ac:dyDescent="0.2">
      <c r="A570" s="3">
        <v>569</v>
      </c>
      <c r="B570" t="s">
        <v>371</v>
      </c>
      <c r="C570" t="s">
        <v>309</v>
      </c>
      <c r="D570" s="1">
        <v>34203</v>
      </c>
      <c r="E570" t="s">
        <v>109</v>
      </c>
      <c r="F570">
        <v>2</v>
      </c>
      <c r="G570" t="s">
        <v>1150</v>
      </c>
      <c r="H570" s="2">
        <v>561</v>
      </c>
      <c r="I570" t="s">
        <v>89</v>
      </c>
      <c r="J570" s="2">
        <f>INDEX(Positions!$A:$A,MATCH(E570,Positions!$B:$B,0))</f>
        <v>19</v>
      </c>
      <c r="K570" s="2">
        <f>INDEX(Locations!$A:$A,MATCH(I570,Locations!$B:$B,0))</f>
        <v>8</v>
      </c>
    </row>
    <row r="571" spans="1:11" x14ac:dyDescent="0.2">
      <c r="A571" s="3">
        <v>570</v>
      </c>
      <c r="B571" t="s">
        <v>102</v>
      </c>
      <c r="C571" t="s">
        <v>307</v>
      </c>
      <c r="D571" s="1">
        <v>35952</v>
      </c>
      <c r="E571" t="s">
        <v>124</v>
      </c>
      <c r="F571">
        <v>4</v>
      </c>
      <c r="G571" t="s">
        <v>1151</v>
      </c>
      <c r="H571" s="2">
        <v>489</v>
      </c>
      <c r="I571" t="s">
        <v>89</v>
      </c>
      <c r="J571" s="2">
        <f>INDEX(Positions!$A:$A,MATCH(E571,Positions!$B:$B,0))</f>
        <v>58</v>
      </c>
      <c r="K571" s="2">
        <f>INDEX(Locations!$A:$A,MATCH(I571,Locations!$B:$B,0))</f>
        <v>8</v>
      </c>
    </row>
    <row r="572" spans="1:11" x14ac:dyDescent="0.2">
      <c r="A572" s="3">
        <v>571</v>
      </c>
      <c r="B572" t="s">
        <v>358</v>
      </c>
      <c r="C572" t="s">
        <v>392</v>
      </c>
      <c r="D572" s="1">
        <v>36715</v>
      </c>
      <c r="E572" t="s">
        <v>121</v>
      </c>
      <c r="F572">
        <v>3</v>
      </c>
      <c r="G572" t="s">
        <v>1152</v>
      </c>
      <c r="H572" s="2">
        <v>561</v>
      </c>
      <c r="I572" t="s">
        <v>89</v>
      </c>
      <c r="J572" s="2">
        <f>INDEX(Positions!$A:$A,MATCH(E572,Positions!$B:$B,0))</f>
        <v>31</v>
      </c>
      <c r="K572" s="2">
        <f>INDEX(Locations!$A:$A,MATCH(I572,Locations!$B:$B,0))</f>
        <v>8</v>
      </c>
    </row>
    <row r="573" spans="1:11" x14ac:dyDescent="0.2">
      <c r="A573" s="3">
        <v>572</v>
      </c>
      <c r="B573" t="s">
        <v>533</v>
      </c>
      <c r="C573" t="s">
        <v>544</v>
      </c>
      <c r="D573" s="1">
        <v>39188</v>
      </c>
      <c r="E573" t="s">
        <v>104</v>
      </c>
      <c r="F573">
        <v>1</v>
      </c>
      <c r="G573" t="s">
        <v>1153</v>
      </c>
      <c r="H573" s="2">
        <v>563</v>
      </c>
      <c r="I573" t="s">
        <v>89</v>
      </c>
      <c r="J573" s="2">
        <f>INDEX(Positions!$A:$A,MATCH(E573,Positions!$B:$B,0))</f>
        <v>6</v>
      </c>
      <c r="K573" s="2">
        <f>INDEX(Locations!$A:$A,MATCH(I573,Locations!$B:$B,0))</f>
        <v>8</v>
      </c>
    </row>
    <row r="574" spans="1:11" x14ac:dyDescent="0.2">
      <c r="A574" s="3">
        <v>573</v>
      </c>
      <c r="B574" t="s">
        <v>437</v>
      </c>
      <c r="C574" t="s">
        <v>115</v>
      </c>
      <c r="D574" s="1">
        <v>35258</v>
      </c>
      <c r="E574" t="s">
        <v>118</v>
      </c>
      <c r="F574">
        <v>3</v>
      </c>
      <c r="G574" t="s">
        <v>1154</v>
      </c>
      <c r="H574" s="2">
        <v>489</v>
      </c>
      <c r="I574" t="s">
        <v>89</v>
      </c>
      <c r="J574" s="2">
        <f>INDEX(Positions!$A:$A,MATCH(E574,Positions!$B:$B,0))</f>
        <v>28</v>
      </c>
      <c r="K574" s="2">
        <f>INDEX(Locations!$A:$A,MATCH(I574,Locations!$B:$B,0))</f>
        <v>8</v>
      </c>
    </row>
    <row r="575" spans="1:11" x14ac:dyDescent="0.2">
      <c r="A575" s="3">
        <v>574</v>
      </c>
      <c r="B575" t="s">
        <v>343</v>
      </c>
      <c r="C575" t="s">
        <v>198</v>
      </c>
      <c r="D575" s="1">
        <v>35690</v>
      </c>
      <c r="E575" t="s">
        <v>109</v>
      </c>
      <c r="F575">
        <v>2</v>
      </c>
      <c r="G575" t="s">
        <v>1155</v>
      </c>
      <c r="H575" s="2">
        <v>562</v>
      </c>
      <c r="I575" t="s">
        <v>89</v>
      </c>
      <c r="J575" s="2">
        <f>INDEX(Positions!$A:$A,MATCH(E575,Positions!$B:$B,0))</f>
        <v>19</v>
      </c>
      <c r="K575" s="2">
        <f>INDEX(Locations!$A:$A,MATCH(I575,Locations!$B:$B,0))</f>
        <v>8</v>
      </c>
    </row>
    <row r="576" spans="1:11" x14ac:dyDescent="0.2">
      <c r="A576" s="3">
        <v>575</v>
      </c>
      <c r="B576" t="s">
        <v>159</v>
      </c>
      <c r="C576" t="s">
        <v>500</v>
      </c>
      <c r="D576" s="1">
        <v>39651</v>
      </c>
      <c r="E576" t="s">
        <v>104</v>
      </c>
      <c r="F576">
        <v>1</v>
      </c>
      <c r="G576" t="s">
        <v>1156</v>
      </c>
      <c r="H576" s="2">
        <v>562</v>
      </c>
      <c r="I576" t="s">
        <v>89</v>
      </c>
      <c r="J576" s="2">
        <f>INDEX(Positions!$A:$A,MATCH(E576,Positions!$B:$B,0))</f>
        <v>6</v>
      </c>
      <c r="K576" s="2">
        <f>INDEX(Locations!$A:$A,MATCH(I576,Locations!$B:$B,0))</f>
        <v>8</v>
      </c>
    </row>
    <row r="577" spans="1:11" x14ac:dyDescent="0.2">
      <c r="A577" s="3">
        <v>576</v>
      </c>
      <c r="B577" t="s">
        <v>398</v>
      </c>
      <c r="C577" t="s">
        <v>339</v>
      </c>
      <c r="D577" s="1">
        <v>34078</v>
      </c>
      <c r="E577" t="s">
        <v>109</v>
      </c>
      <c r="F577">
        <v>2</v>
      </c>
      <c r="G577" t="s">
        <v>1157</v>
      </c>
      <c r="H577" s="2">
        <v>487</v>
      </c>
      <c r="I577" t="s">
        <v>92</v>
      </c>
      <c r="J577" s="2">
        <f>INDEX(Positions!$A:$A,MATCH(E577,Positions!$B:$B,0))</f>
        <v>19</v>
      </c>
      <c r="K577" s="2">
        <f>INDEX(Locations!$A:$A,MATCH(I577,Locations!$B:$B,0))</f>
        <v>6</v>
      </c>
    </row>
    <row r="578" spans="1:11" x14ac:dyDescent="0.2">
      <c r="A578" s="3">
        <v>577</v>
      </c>
      <c r="B578" t="s">
        <v>137</v>
      </c>
      <c r="C578" t="s">
        <v>1158</v>
      </c>
      <c r="D578" s="1">
        <v>36125</v>
      </c>
      <c r="E578" t="s">
        <v>104</v>
      </c>
      <c r="F578">
        <v>1</v>
      </c>
      <c r="G578" t="s">
        <v>1159</v>
      </c>
      <c r="H578" s="2">
        <v>563</v>
      </c>
      <c r="I578" t="s">
        <v>89</v>
      </c>
      <c r="J578" s="2">
        <f>INDEX(Positions!$A:$A,MATCH(E578,Positions!$B:$B,0))</f>
        <v>6</v>
      </c>
      <c r="K578" s="2">
        <f>INDEX(Locations!$A:$A,MATCH(I578,Locations!$B:$B,0))</f>
        <v>8</v>
      </c>
    </row>
    <row r="579" spans="1:11" x14ac:dyDescent="0.2">
      <c r="A579" s="3">
        <v>578</v>
      </c>
      <c r="B579" t="s">
        <v>389</v>
      </c>
      <c r="C579" t="s">
        <v>500</v>
      </c>
      <c r="D579" s="1">
        <v>39563</v>
      </c>
      <c r="E579" t="s">
        <v>104</v>
      </c>
      <c r="F579">
        <v>1</v>
      </c>
      <c r="G579" t="s">
        <v>1160</v>
      </c>
      <c r="H579" s="2">
        <v>562</v>
      </c>
      <c r="I579" t="s">
        <v>89</v>
      </c>
      <c r="J579" s="2">
        <f>INDEX(Positions!$A:$A,MATCH(E579,Positions!$B:$B,0))</f>
        <v>6</v>
      </c>
      <c r="K579" s="2">
        <f>INDEX(Locations!$A:$A,MATCH(I579,Locations!$B:$B,0))</f>
        <v>8</v>
      </c>
    </row>
    <row r="580" spans="1:11" x14ac:dyDescent="0.2">
      <c r="A580" s="3">
        <v>579</v>
      </c>
      <c r="B580" t="s">
        <v>315</v>
      </c>
      <c r="C580" t="s">
        <v>395</v>
      </c>
      <c r="D580" s="1">
        <v>36631</v>
      </c>
      <c r="E580" t="s">
        <v>104</v>
      </c>
      <c r="F580">
        <v>1</v>
      </c>
      <c r="G580" t="s">
        <v>1161</v>
      </c>
      <c r="H580" s="2">
        <v>562</v>
      </c>
      <c r="I580" t="s">
        <v>89</v>
      </c>
      <c r="J580" s="2">
        <f>INDEX(Positions!$A:$A,MATCH(E580,Positions!$B:$B,0))</f>
        <v>6</v>
      </c>
      <c r="K580" s="2">
        <f>INDEX(Locations!$A:$A,MATCH(I580,Locations!$B:$B,0))</f>
        <v>8</v>
      </c>
    </row>
    <row r="581" spans="1:11" x14ac:dyDescent="0.2">
      <c r="A581" s="3">
        <v>580</v>
      </c>
      <c r="B581" t="s">
        <v>532</v>
      </c>
      <c r="C581" t="s">
        <v>469</v>
      </c>
      <c r="D581" s="1">
        <v>35179</v>
      </c>
      <c r="E581" t="s">
        <v>121</v>
      </c>
      <c r="F581">
        <v>3</v>
      </c>
      <c r="G581" t="s">
        <v>1162</v>
      </c>
      <c r="H581" s="2">
        <v>563</v>
      </c>
      <c r="I581" t="s">
        <v>89</v>
      </c>
      <c r="J581" s="2">
        <f>INDEX(Positions!$A:$A,MATCH(E581,Positions!$B:$B,0))</f>
        <v>31</v>
      </c>
      <c r="K581" s="2">
        <f>INDEX(Locations!$A:$A,MATCH(I581,Locations!$B:$B,0))</f>
        <v>8</v>
      </c>
    </row>
    <row r="582" spans="1:11" x14ac:dyDescent="0.2">
      <c r="A582" s="3">
        <v>581</v>
      </c>
      <c r="B582" t="s">
        <v>484</v>
      </c>
      <c r="C582" t="s">
        <v>307</v>
      </c>
      <c r="D582" s="1">
        <v>37769</v>
      </c>
      <c r="E582" t="s">
        <v>118</v>
      </c>
      <c r="F582">
        <v>3</v>
      </c>
      <c r="G582" t="s">
        <v>1163</v>
      </c>
      <c r="H582" s="2">
        <v>562</v>
      </c>
      <c r="I582" t="s">
        <v>89</v>
      </c>
      <c r="J582" s="2">
        <f>INDEX(Positions!$A:$A,MATCH(E582,Positions!$B:$B,0))</f>
        <v>28</v>
      </c>
      <c r="K582" s="2">
        <f>INDEX(Locations!$A:$A,MATCH(I582,Locations!$B:$B,0))</f>
        <v>8</v>
      </c>
    </row>
    <row r="583" spans="1:11" x14ac:dyDescent="0.2">
      <c r="A583" s="3">
        <v>582</v>
      </c>
      <c r="B583" t="s">
        <v>325</v>
      </c>
      <c r="C583" t="s">
        <v>198</v>
      </c>
      <c r="D583" s="1">
        <v>37285</v>
      </c>
      <c r="E583" t="s">
        <v>109</v>
      </c>
      <c r="F583">
        <v>2</v>
      </c>
      <c r="G583" t="s">
        <v>1164</v>
      </c>
      <c r="H583" s="2">
        <v>562</v>
      </c>
      <c r="I583" t="s">
        <v>89</v>
      </c>
      <c r="J583" s="2">
        <f>INDEX(Positions!$A:$A,MATCH(E583,Positions!$B:$B,0))</f>
        <v>19</v>
      </c>
      <c r="K583" s="2">
        <f>INDEX(Locations!$A:$A,MATCH(I583,Locations!$B:$B,0))</f>
        <v>8</v>
      </c>
    </row>
    <row r="584" spans="1:11" x14ac:dyDescent="0.2">
      <c r="A584" s="3">
        <v>583</v>
      </c>
      <c r="B584" t="s">
        <v>142</v>
      </c>
      <c r="C584" t="s">
        <v>390</v>
      </c>
      <c r="D584" s="1">
        <v>37699</v>
      </c>
      <c r="E584" t="s">
        <v>109</v>
      </c>
      <c r="F584">
        <v>2</v>
      </c>
      <c r="G584" t="s">
        <v>1165</v>
      </c>
      <c r="H584" s="2">
        <v>563</v>
      </c>
      <c r="I584" t="s">
        <v>89</v>
      </c>
      <c r="J584" s="2">
        <f>INDEX(Positions!$A:$A,MATCH(E584,Positions!$B:$B,0))</f>
        <v>19</v>
      </c>
      <c r="K584" s="2">
        <f>INDEX(Locations!$A:$A,MATCH(I584,Locations!$B:$B,0))</f>
        <v>8</v>
      </c>
    </row>
    <row r="585" spans="1:11" x14ac:dyDescent="0.2">
      <c r="A585" s="3">
        <v>584</v>
      </c>
      <c r="B585" t="s">
        <v>272</v>
      </c>
      <c r="C585" t="s">
        <v>344</v>
      </c>
      <c r="D585" s="1">
        <v>39377</v>
      </c>
      <c r="E585" t="s">
        <v>109</v>
      </c>
      <c r="F585">
        <v>2</v>
      </c>
      <c r="G585" t="s">
        <v>1166</v>
      </c>
      <c r="H585" s="2">
        <v>481</v>
      </c>
      <c r="I585" t="s">
        <v>89</v>
      </c>
      <c r="J585" s="2">
        <f>INDEX(Positions!$A:$A,MATCH(E585,Positions!$B:$B,0))</f>
        <v>19</v>
      </c>
      <c r="K585" s="2">
        <f>INDEX(Locations!$A:$A,MATCH(I585,Locations!$B:$B,0))</f>
        <v>8</v>
      </c>
    </row>
    <row r="586" spans="1:11" x14ac:dyDescent="0.2">
      <c r="A586" s="3">
        <v>585</v>
      </c>
      <c r="B586" t="s">
        <v>289</v>
      </c>
      <c r="C586" t="s">
        <v>512</v>
      </c>
      <c r="D586" s="1">
        <v>36791</v>
      </c>
      <c r="E586" t="s">
        <v>104</v>
      </c>
      <c r="F586">
        <v>1</v>
      </c>
      <c r="G586" t="s">
        <v>1167</v>
      </c>
      <c r="H586" s="2">
        <v>423</v>
      </c>
      <c r="I586" t="s">
        <v>92</v>
      </c>
      <c r="J586" s="2">
        <f>INDEX(Positions!$A:$A,MATCH(E586,Positions!$B:$B,0))</f>
        <v>6</v>
      </c>
      <c r="K586" s="2">
        <f>INDEX(Locations!$A:$A,MATCH(I586,Locations!$B:$B,0))</f>
        <v>6</v>
      </c>
    </row>
    <row r="587" spans="1:11" x14ac:dyDescent="0.2">
      <c r="A587" s="3">
        <v>586</v>
      </c>
      <c r="B587" t="s">
        <v>510</v>
      </c>
      <c r="C587" t="s">
        <v>1140</v>
      </c>
      <c r="D587" s="1">
        <v>35256</v>
      </c>
      <c r="E587" t="s">
        <v>121</v>
      </c>
      <c r="F587">
        <v>3</v>
      </c>
      <c r="G587" t="s">
        <v>1168</v>
      </c>
      <c r="H587" s="2">
        <v>561</v>
      </c>
      <c r="I587" t="s">
        <v>89</v>
      </c>
      <c r="J587" s="2">
        <f>INDEX(Positions!$A:$A,MATCH(E587,Positions!$B:$B,0))</f>
        <v>31</v>
      </c>
      <c r="K587" s="2">
        <f>INDEX(Locations!$A:$A,MATCH(I587,Locations!$B:$B,0))</f>
        <v>8</v>
      </c>
    </row>
    <row r="588" spans="1:11" x14ac:dyDescent="0.2">
      <c r="A588" s="3">
        <v>587</v>
      </c>
      <c r="B588" t="s">
        <v>364</v>
      </c>
      <c r="C588" t="s">
        <v>170</v>
      </c>
      <c r="D588" s="1">
        <v>36590</v>
      </c>
      <c r="E588" t="s">
        <v>109</v>
      </c>
      <c r="F588">
        <v>2</v>
      </c>
      <c r="G588" t="s">
        <v>1169</v>
      </c>
      <c r="H588" s="2">
        <v>489</v>
      </c>
      <c r="I588" t="s">
        <v>89</v>
      </c>
      <c r="J588" s="2">
        <f>INDEX(Positions!$A:$A,MATCH(E588,Positions!$B:$B,0))</f>
        <v>19</v>
      </c>
      <c r="K588" s="2">
        <f>INDEX(Locations!$A:$A,MATCH(I588,Locations!$B:$B,0))</f>
        <v>8</v>
      </c>
    </row>
    <row r="589" spans="1:11" x14ac:dyDescent="0.2">
      <c r="A589" s="3">
        <v>588</v>
      </c>
      <c r="B589" t="s">
        <v>139</v>
      </c>
      <c r="C589" t="s">
        <v>188</v>
      </c>
      <c r="D589" s="1">
        <v>37077</v>
      </c>
      <c r="E589" t="s">
        <v>109</v>
      </c>
      <c r="F589">
        <v>2</v>
      </c>
      <c r="G589" t="s">
        <v>1170</v>
      </c>
      <c r="H589" s="2">
        <v>528</v>
      </c>
      <c r="I589" t="s">
        <v>89</v>
      </c>
      <c r="J589" s="2">
        <f>INDEX(Positions!$A:$A,MATCH(E589,Positions!$B:$B,0))</f>
        <v>19</v>
      </c>
      <c r="K589" s="2">
        <f>INDEX(Locations!$A:$A,MATCH(I589,Locations!$B:$B,0))</f>
        <v>8</v>
      </c>
    </row>
    <row r="590" spans="1:11" x14ac:dyDescent="0.2">
      <c r="A590" s="3">
        <v>589</v>
      </c>
      <c r="B590" t="s">
        <v>345</v>
      </c>
      <c r="C590" t="s">
        <v>525</v>
      </c>
      <c r="D590" s="1">
        <v>37402</v>
      </c>
      <c r="E590" t="s">
        <v>104</v>
      </c>
      <c r="F590">
        <v>1</v>
      </c>
      <c r="G590" t="s">
        <v>1171</v>
      </c>
      <c r="H590" s="2">
        <v>528</v>
      </c>
      <c r="I590" t="s">
        <v>89</v>
      </c>
      <c r="J590" s="2">
        <f>INDEX(Positions!$A:$A,MATCH(E590,Positions!$B:$B,0))</f>
        <v>6</v>
      </c>
      <c r="K590" s="2">
        <f>INDEX(Locations!$A:$A,MATCH(I590,Locations!$B:$B,0))</f>
        <v>8</v>
      </c>
    </row>
    <row r="591" spans="1:11" x14ac:dyDescent="0.2">
      <c r="A591" s="3">
        <v>590</v>
      </c>
      <c r="B591" t="s">
        <v>476</v>
      </c>
      <c r="C591" t="s">
        <v>353</v>
      </c>
      <c r="D591" s="1">
        <v>36443</v>
      </c>
      <c r="E591" t="s">
        <v>121</v>
      </c>
      <c r="F591">
        <v>3</v>
      </c>
      <c r="G591" t="s">
        <v>1172</v>
      </c>
      <c r="H591" s="2">
        <v>489</v>
      </c>
      <c r="I591" t="s">
        <v>89</v>
      </c>
      <c r="J591" s="2">
        <f>INDEX(Positions!$A:$A,MATCH(E591,Positions!$B:$B,0))</f>
        <v>31</v>
      </c>
      <c r="K591" s="2">
        <f>INDEX(Locations!$A:$A,MATCH(I591,Locations!$B:$B,0))</f>
        <v>8</v>
      </c>
    </row>
    <row r="592" spans="1:11" x14ac:dyDescent="0.2">
      <c r="A592" s="3">
        <v>591</v>
      </c>
      <c r="B592" t="s">
        <v>107</v>
      </c>
      <c r="C592" t="s">
        <v>143</v>
      </c>
      <c r="D592" s="1">
        <v>36586</v>
      </c>
      <c r="E592" t="s">
        <v>109</v>
      </c>
      <c r="F592">
        <v>2</v>
      </c>
      <c r="G592" t="s">
        <v>1173</v>
      </c>
      <c r="H592" s="2">
        <v>563</v>
      </c>
      <c r="I592" t="s">
        <v>89</v>
      </c>
      <c r="J592" s="2">
        <f>INDEX(Positions!$A:$A,MATCH(E592,Positions!$B:$B,0))</f>
        <v>19</v>
      </c>
      <c r="K592" s="2">
        <f>INDEX(Locations!$A:$A,MATCH(I592,Locations!$B:$B,0))</f>
        <v>8</v>
      </c>
    </row>
    <row r="593" spans="1:11" x14ac:dyDescent="0.2">
      <c r="A593" s="3">
        <v>592</v>
      </c>
      <c r="B593" t="s">
        <v>165</v>
      </c>
      <c r="C593" t="s">
        <v>363</v>
      </c>
      <c r="D593" s="1">
        <v>37071</v>
      </c>
      <c r="E593" t="s">
        <v>109</v>
      </c>
      <c r="F593">
        <v>2</v>
      </c>
      <c r="G593" t="s">
        <v>1174</v>
      </c>
      <c r="H593" s="2">
        <v>388</v>
      </c>
      <c r="I593" t="s">
        <v>89</v>
      </c>
      <c r="J593" s="2">
        <f>INDEX(Positions!$A:$A,MATCH(E593,Positions!$B:$B,0))</f>
        <v>19</v>
      </c>
      <c r="K593" s="2">
        <f>INDEX(Locations!$A:$A,MATCH(I593,Locations!$B:$B,0))</f>
        <v>8</v>
      </c>
    </row>
    <row r="594" spans="1:11" x14ac:dyDescent="0.2">
      <c r="A594" s="3">
        <v>593</v>
      </c>
      <c r="B594" t="s">
        <v>453</v>
      </c>
      <c r="C594" t="s">
        <v>128</v>
      </c>
      <c r="D594" s="1">
        <v>39496</v>
      </c>
      <c r="E594" t="s">
        <v>109</v>
      </c>
      <c r="F594">
        <v>2</v>
      </c>
      <c r="G594" t="s">
        <v>1175</v>
      </c>
      <c r="H594" s="2">
        <v>561</v>
      </c>
      <c r="I594" t="s">
        <v>89</v>
      </c>
      <c r="J594" s="2">
        <f>INDEX(Positions!$A:$A,MATCH(E594,Positions!$B:$B,0))</f>
        <v>19</v>
      </c>
      <c r="K594" s="2">
        <f>INDEX(Locations!$A:$A,MATCH(I594,Locations!$B:$B,0))</f>
        <v>8</v>
      </c>
    </row>
    <row r="595" spans="1:11" x14ac:dyDescent="0.2">
      <c r="A595" s="3">
        <v>594</v>
      </c>
      <c r="B595" t="s">
        <v>279</v>
      </c>
      <c r="C595" t="s">
        <v>542</v>
      </c>
      <c r="D595" s="1">
        <v>34185</v>
      </c>
      <c r="E595" t="s">
        <v>124</v>
      </c>
      <c r="F595">
        <v>4</v>
      </c>
      <c r="G595" t="s">
        <v>1176</v>
      </c>
      <c r="H595" s="2">
        <v>563</v>
      </c>
      <c r="I595" t="s">
        <v>89</v>
      </c>
      <c r="J595" s="2">
        <f>INDEX(Positions!$A:$A,MATCH(E595,Positions!$B:$B,0))</f>
        <v>58</v>
      </c>
      <c r="K595" s="2">
        <f>INDEX(Locations!$A:$A,MATCH(I595,Locations!$B:$B,0))</f>
        <v>8</v>
      </c>
    </row>
    <row r="596" spans="1:11" x14ac:dyDescent="0.2">
      <c r="A596" s="3">
        <v>595</v>
      </c>
      <c r="B596" t="s">
        <v>302</v>
      </c>
      <c r="C596" t="s">
        <v>177</v>
      </c>
      <c r="D596" s="1">
        <v>39392</v>
      </c>
      <c r="E596" t="s">
        <v>104</v>
      </c>
      <c r="F596">
        <v>1</v>
      </c>
      <c r="G596" t="s">
        <v>1177</v>
      </c>
      <c r="H596" s="2">
        <v>562</v>
      </c>
      <c r="I596" t="s">
        <v>89</v>
      </c>
      <c r="J596" s="2">
        <f>INDEX(Positions!$A:$A,MATCH(E596,Positions!$B:$B,0))</f>
        <v>6</v>
      </c>
      <c r="K596" s="2">
        <f>INDEX(Locations!$A:$A,MATCH(I596,Locations!$B:$B,0))</f>
        <v>8</v>
      </c>
    </row>
    <row r="597" spans="1:11" x14ac:dyDescent="0.2">
      <c r="A597" s="3">
        <v>596</v>
      </c>
      <c r="B597" t="s">
        <v>152</v>
      </c>
      <c r="C597" t="s">
        <v>254</v>
      </c>
      <c r="D597" s="1">
        <v>36221</v>
      </c>
      <c r="E597" t="s">
        <v>109</v>
      </c>
      <c r="F597">
        <v>2</v>
      </c>
      <c r="G597" t="s">
        <v>1178</v>
      </c>
      <c r="H597" s="2">
        <v>481</v>
      </c>
      <c r="I597" t="s">
        <v>89</v>
      </c>
      <c r="J597" s="2">
        <f>INDEX(Positions!$A:$A,MATCH(E597,Positions!$B:$B,0))</f>
        <v>19</v>
      </c>
      <c r="K597" s="2">
        <f>INDEX(Locations!$A:$A,MATCH(I597,Locations!$B:$B,0))</f>
        <v>8</v>
      </c>
    </row>
    <row r="598" spans="1:11" x14ac:dyDescent="0.2">
      <c r="A598" s="3">
        <v>597</v>
      </c>
      <c r="B598" t="s">
        <v>453</v>
      </c>
      <c r="C598" t="s">
        <v>166</v>
      </c>
      <c r="D598" s="1">
        <v>30825</v>
      </c>
      <c r="E598" t="s">
        <v>124</v>
      </c>
      <c r="F598">
        <v>4</v>
      </c>
      <c r="G598" t="s">
        <v>1179</v>
      </c>
      <c r="H598" s="2">
        <v>563</v>
      </c>
      <c r="I598" t="s">
        <v>89</v>
      </c>
      <c r="J598" s="2">
        <f>INDEX(Positions!$A:$A,MATCH(E598,Positions!$B:$B,0))</f>
        <v>58</v>
      </c>
      <c r="K598" s="2">
        <f>INDEX(Locations!$A:$A,MATCH(I598,Locations!$B:$B,0))</f>
        <v>8</v>
      </c>
    </row>
    <row r="599" spans="1:11" x14ac:dyDescent="0.2">
      <c r="A599" s="3">
        <v>598</v>
      </c>
      <c r="B599" t="s">
        <v>174</v>
      </c>
      <c r="C599" t="s">
        <v>386</v>
      </c>
      <c r="D599" s="1">
        <v>33094</v>
      </c>
      <c r="E599" t="s">
        <v>124</v>
      </c>
      <c r="F599">
        <v>4</v>
      </c>
      <c r="G599" t="s">
        <v>1180</v>
      </c>
      <c r="H599" s="2">
        <v>561</v>
      </c>
      <c r="I599" t="s">
        <v>89</v>
      </c>
      <c r="J599" s="2">
        <f>INDEX(Positions!$A:$A,MATCH(E599,Positions!$B:$B,0))</f>
        <v>58</v>
      </c>
      <c r="K599" s="2">
        <f>INDEX(Locations!$A:$A,MATCH(I599,Locations!$B:$B,0))</f>
        <v>8</v>
      </c>
    </row>
    <row r="600" spans="1:11" x14ac:dyDescent="0.2">
      <c r="A600" s="3">
        <v>599</v>
      </c>
      <c r="B600" t="s">
        <v>150</v>
      </c>
      <c r="C600" t="s">
        <v>295</v>
      </c>
      <c r="D600" s="1">
        <v>36002</v>
      </c>
      <c r="E600" t="s">
        <v>118</v>
      </c>
      <c r="F600">
        <v>3</v>
      </c>
      <c r="G600" t="s">
        <v>1181</v>
      </c>
      <c r="H600" s="2">
        <v>563</v>
      </c>
      <c r="I600" t="s">
        <v>89</v>
      </c>
      <c r="J600" s="2">
        <f>INDEX(Positions!$A:$A,MATCH(E600,Positions!$B:$B,0))</f>
        <v>28</v>
      </c>
      <c r="K600" s="2">
        <f>INDEX(Locations!$A:$A,MATCH(I600,Locations!$B:$B,0))</f>
        <v>8</v>
      </c>
    </row>
    <row r="601" spans="1:11" x14ac:dyDescent="0.2">
      <c r="A601" s="3">
        <v>600</v>
      </c>
      <c r="B601" t="s">
        <v>546</v>
      </c>
      <c r="C601" t="s">
        <v>497</v>
      </c>
      <c r="D601" s="1">
        <v>36053</v>
      </c>
      <c r="E601" t="s">
        <v>104</v>
      </c>
      <c r="F601">
        <v>1</v>
      </c>
      <c r="G601" t="s">
        <v>1182</v>
      </c>
      <c r="H601" s="2">
        <v>562</v>
      </c>
      <c r="I601" t="s">
        <v>89</v>
      </c>
      <c r="J601" s="2">
        <f>INDEX(Positions!$A:$A,MATCH(E601,Positions!$B:$B,0))</f>
        <v>6</v>
      </c>
      <c r="K601" s="2">
        <f>INDEX(Locations!$A:$A,MATCH(I601,Locations!$B:$B,0))</f>
        <v>8</v>
      </c>
    </row>
    <row r="602" spans="1:11" x14ac:dyDescent="0.2">
      <c r="A602" s="3">
        <v>601</v>
      </c>
      <c r="B602" t="s">
        <v>997</v>
      </c>
      <c r="C602" t="s">
        <v>68</v>
      </c>
      <c r="D602" s="1">
        <v>36782</v>
      </c>
      <c r="E602" t="s">
        <v>124</v>
      </c>
      <c r="F602">
        <v>4</v>
      </c>
      <c r="G602" t="s">
        <v>1183</v>
      </c>
      <c r="H602" s="2">
        <v>528</v>
      </c>
      <c r="I602" t="s">
        <v>89</v>
      </c>
      <c r="J602" s="2">
        <f>INDEX(Positions!$A:$A,MATCH(E602,Positions!$B:$B,0))</f>
        <v>58</v>
      </c>
      <c r="K602" s="2">
        <f>INDEX(Locations!$A:$A,MATCH(I602,Locations!$B:$B,0))</f>
        <v>8</v>
      </c>
    </row>
    <row r="603" spans="1:11" x14ac:dyDescent="0.2">
      <c r="A603" s="3">
        <v>602</v>
      </c>
      <c r="B603" t="s">
        <v>387</v>
      </c>
      <c r="C603" t="s">
        <v>280</v>
      </c>
      <c r="D603" s="1">
        <v>34073</v>
      </c>
      <c r="E603" t="s">
        <v>121</v>
      </c>
      <c r="F603">
        <v>3</v>
      </c>
      <c r="G603" t="s">
        <v>1184</v>
      </c>
      <c r="H603" s="2">
        <v>528</v>
      </c>
      <c r="I603" t="s">
        <v>89</v>
      </c>
      <c r="J603" s="2">
        <f>INDEX(Positions!$A:$A,MATCH(E603,Positions!$B:$B,0))</f>
        <v>31</v>
      </c>
      <c r="K603" s="2">
        <f>INDEX(Locations!$A:$A,MATCH(I603,Locations!$B:$B,0))</f>
        <v>8</v>
      </c>
    </row>
    <row r="604" spans="1:11" x14ac:dyDescent="0.2">
      <c r="A604" s="3">
        <v>603</v>
      </c>
      <c r="B604" t="s">
        <v>297</v>
      </c>
      <c r="C604" t="s">
        <v>130</v>
      </c>
      <c r="D604" s="1">
        <v>33024</v>
      </c>
      <c r="E604" t="s">
        <v>121</v>
      </c>
      <c r="F604">
        <v>3</v>
      </c>
      <c r="G604" t="s">
        <v>1185</v>
      </c>
      <c r="H604" s="2">
        <v>562</v>
      </c>
      <c r="I604" t="s">
        <v>89</v>
      </c>
      <c r="J604" s="2">
        <f>INDEX(Positions!$A:$A,MATCH(E604,Positions!$B:$B,0))</f>
        <v>31</v>
      </c>
      <c r="K604" s="2">
        <f>INDEX(Locations!$A:$A,MATCH(I604,Locations!$B:$B,0))</f>
        <v>8</v>
      </c>
    </row>
    <row r="605" spans="1:11" x14ac:dyDescent="0.2">
      <c r="A605" s="3">
        <v>604</v>
      </c>
      <c r="B605" t="s">
        <v>269</v>
      </c>
      <c r="C605" t="s">
        <v>400</v>
      </c>
      <c r="D605" s="1">
        <v>38548</v>
      </c>
      <c r="E605" t="s">
        <v>109</v>
      </c>
      <c r="F605">
        <v>2</v>
      </c>
      <c r="G605" t="s">
        <v>1186</v>
      </c>
      <c r="H605" s="2">
        <v>561</v>
      </c>
      <c r="I605" t="s">
        <v>89</v>
      </c>
      <c r="J605" s="2">
        <f>INDEX(Positions!$A:$A,MATCH(E605,Positions!$B:$B,0))</f>
        <v>19</v>
      </c>
      <c r="K605" s="2">
        <f>INDEX(Locations!$A:$A,MATCH(I605,Locations!$B:$B,0))</f>
        <v>8</v>
      </c>
    </row>
    <row r="606" spans="1:11" x14ac:dyDescent="0.2">
      <c r="A606" s="3">
        <v>605</v>
      </c>
      <c r="B606" t="s">
        <v>311</v>
      </c>
      <c r="C606" t="s">
        <v>442</v>
      </c>
      <c r="D606" s="1">
        <v>36678</v>
      </c>
      <c r="E606" t="s">
        <v>104</v>
      </c>
      <c r="F606">
        <v>1</v>
      </c>
      <c r="G606" t="s">
        <v>1187</v>
      </c>
      <c r="H606" s="2">
        <v>423</v>
      </c>
      <c r="I606" t="s">
        <v>92</v>
      </c>
      <c r="J606" s="2">
        <f>INDEX(Positions!$A:$A,MATCH(E606,Positions!$B:$B,0))</f>
        <v>6</v>
      </c>
      <c r="K606" s="2">
        <f>INDEX(Locations!$A:$A,MATCH(I606,Locations!$B:$B,0))</f>
        <v>6</v>
      </c>
    </row>
    <row r="607" spans="1:11" x14ac:dyDescent="0.2">
      <c r="A607" s="3">
        <v>606</v>
      </c>
      <c r="B607" t="s">
        <v>55</v>
      </c>
      <c r="C607" t="s">
        <v>495</v>
      </c>
      <c r="D607" s="1">
        <v>37436</v>
      </c>
      <c r="E607" t="s">
        <v>109</v>
      </c>
      <c r="F607">
        <v>2</v>
      </c>
      <c r="G607" t="s">
        <v>1188</v>
      </c>
      <c r="H607" s="2">
        <v>528</v>
      </c>
      <c r="I607" t="s">
        <v>89</v>
      </c>
      <c r="J607" s="2">
        <f>INDEX(Positions!$A:$A,MATCH(E607,Positions!$B:$B,0))</f>
        <v>19</v>
      </c>
      <c r="K607" s="2">
        <f>INDEX(Locations!$A:$A,MATCH(I607,Locations!$B:$B,0))</f>
        <v>8</v>
      </c>
    </row>
    <row r="608" spans="1:11" x14ac:dyDescent="0.2">
      <c r="A608" s="3">
        <v>607</v>
      </c>
      <c r="B608" t="s">
        <v>306</v>
      </c>
      <c r="C608" t="s">
        <v>388</v>
      </c>
      <c r="D608" s="1">
        <v>39448</v>
      </c>
      <c r="E608" t="s">
        <v>104</v>
      </c>
      <c r="F608">
        <v>1</v>
      </c>
      <c r="G608" t="s">
        <v>1189</v>
      </c>
      <c r="H608" s="2">
        <v>481</v>
      </c>
      <c r="I608" t="s">
        <v>89</v>
      </c>
      <c r="J608" s="2">
        <f>INDEX(Positions!$A:$A,MATCH(E608,Positions!$B:$B,0))</f>
        <v>6</v>
      </c>
      <c r="K608" s="2">
        <f>INDEX(Locations!$A:$A,MATCH(I608,Locations!$B:$B,0))</f>
        <v>8</v>
      </c>
    </row>
    <row r="609" spans="1:11" x14ac:dyDescent="0.2">
      <c r="A609" s="3">
        <v>608</v>
      </c>
      <c r="B609" t="s">
        <v>698</v>
      </c>
      <c r="C609" t="s">
        <v>514</v>
      </c>
      <c r="D609" s="1">
        <v>39479</v>
      </c>
      <c r="E609" t="s">
        <v>104</v>
      </c>
      <c r="F609">
        <v>1</v>
      </c>
      <c r="G609" t="s">
        <v>1190</v>
      </c>
      <c r="H609" s="2">
        <v>382</v>
      </c>
      <c r="I609" t="s">
        <v>89</v>
      </c>
      <c r="J609" s="2">
        <f>INDEX(Positions!$A:$A,MATCH(E609,Positions!$B:$B,0))</f>
        <v>6</v>
      </c>
      <c r="K609" s="2">
        <f>INDEX(Locations!$A:$A,MATCH(I609,Locations!$B:$B,0))</f>
        <v>8</v>
      </c>
    </row>
    <row r="610" spans="1:11" x14ac:dyDescent="0.2">
      <c r="A610" s="3">
        <v>609</v>
      </c>
      <c r="B610" t="s">
        <v>235</v>
      </c>
      <c r="C610" t="s">
        <v>520</v>
      </c>
      <c r="D610" s="1">
        <v>33932</v>
      </c>
      <c r="E610" t="s">
        <v>118</v>
      </c>
      <c r="F610">
        <v>3</v>
      </c>
      <c r="G610" t="s">
        <v>1191</v>
      </c>
      <c r="H610" s="2">
        <v>488</v>
      </c>
      <c r="I610" t="s">
        <v>92</v>
      </c>
      <c r="J610" s="2">
        <f>INDEX(Positions!$A:$A,MATCH(E610,Positions!$B:$B,0))</f>
        <v>28</v>
      </c>
      <c r="K610" s="2">
        <f>INDEX(Locations!$A:$A,MATCH(I610,Locations!$B:$B,0))</f>
        <v>6</v>
      </c>
    </row>
    <row r="611" spans="1:11" x14ac:dyDescent="0.2">
      <c r="A611" s="3">
        <v>610</v>
      </c>
      <c r="B611" t="s">
        <v>289</v>
      </c>
      <c r="C611" t="s">
        <v>496</v>
      </c>
      <c r="D611" s="1">
        <v>33706</v>
      </c>
      <c r="E611" t="s">
        <v>109</v>
      </c>
      <c r="F611">
        <v>2</v>
      </c>
      <c r="G611" t="s">
        <v>1192</v>
      </c>
      <c r="H611" s="2">
        <v>562</v>
      </c>
      <c r="I611" t="s">
        <v>89</v>
      </c>
      <c r="J611" s="2">
        <f>INDEX(Positions!$A:$A,MATCH(E611,Positions!$B:$B,0))</f>
        <v>19</v>
      </c>
      <c r="K611" s="2">
        <f>INDEX(Locations!$A:$A,MATCH(I611,Locations!$B:$B,0))</f>
        <v>8</v>
      </c>
    </row>
    <row r="612" spans="1:11" x14ac:dyDescent="0.2">
      <c r="A612" s="3">
        <v>611</v>
      </c>
      <c r="B612" t="s">
        <v>498</v>
      </c>
      <c r="C612" t="s">
        <v>493</v>
      </c>
      <c r="D612" s="1">
        <v>37183</v>
      </c>
      <c r="E612" t="s">
        <v>104</v>
      </c>
      <c r="F612">
        <v>1</v>
      </c>
      <c r="G612" t="s">
        <v>1193</v>
      </c>
      <c r="H612" s="2">
        <v>561</v>
      </c>
      <c r="I612" t="s">
        <v>89</v>
      </c>
      <c r="J612" s="2">
        <f>INDEX(Positions!$A:$A,MATCH(E612,Positions!$B:$B,0))</f>
        <v>6</v>
      </c>
      <c r="K612" s="2">
        <f>INDEX(Locations!$A:$A,MATCH(I612,Locations!$B:$B,0))</f>
        <v>8</v>
      </c>
    </row>
    <row r="613" spans="1:11" x14ac:dyDescent="0.2">
      <c r="A613" s="3">
        <v>612</v>
      </c>
      <c r="B613" t="s">
        <v>358</v>
      </c>
      <c r="C613" t="s">
        <v>407</v>
      </c>
      <c r="D613" s="1">
        <v>35679</v>
      </c>
      <c r="E613" t="s">
        <v>109</v>
      </c>
      <c r="F613">
        <v>2</v>
      </c>
      <c r="G613" t="s">
        <v>1194</v>
      </c>
      <c r="H613" s="2">
        <v>528</v>
      </c>
      <c r="I613" t="s">
        <v>89</v>
      </c>
      <c r="J613" s="2">
        <f>INDEX(Positions!$A:$A,MATCH(E613,Positions!$B:$B,0))</f>
        <v>19</v>
      </c>
      <c r="K613" s="2">
        <f>INDEX(Locations!$A:$A,MATCH(I613,Locations!$B:$B,0))</f>
        <v>8</v>
      </c>
    </row>
    <row r="614" spans="1:11" x14ac:dyDescent="0.2">
      <c r="A614" s="3">
        <v>613</v>
      </c>
      <c r="B614" t="s">
        <v>90</v>
      </c>
      <c r="C614" t="s">
        <v>68</v>
      </c>
      <c r="D614" s="1">
        <v>32089</v>
      </c>
      <c r="E614" t="s">
        <v>121</v>
      </c>
      <c r="F614">
        <v>3</v>
      </c>
      <c r="G614" t="s">
        <v>1195</v>
      </c>
      <c r="H614" s="2">
        <v>562</v>
      </c>
      <c r="I614" t="s">
        <v>89</v>
      </c>
      <c r="J614" s="2">
        <f>INDEX(Positions!$A:$A,MATCH(E614,Positions!$B:$B,0))</f>
        <v>31</v>
      </c>
      <c r="K614" s="2">
        <f>INDEX(Locations!$A:$A,MATCH(I614,Locations!$B:$B,0))</f>
        <v>8</v>
      </c>
    </row>
    <row r="615" spans="1:11" x14ac:dyDescent="0.2">
      <c r="A615" s="3">
        <v>614</v>
      </c>
      <c r="B615" t="s">
        <v>485</v>
      </c>
      <c r="C615" t="s">
        <v>493</v>
      </c>
      <c r="D615" s="1">
        <v>36765</v>
      </c>
      <c r="E615" t="s">
        <v>104</v>
      </c>
      <c r="F615">
        <v>1</v>
      </c>
      <c r="G615" t="s">
        <v>1196</v>
      </c>
      <c r="H615" s="2">
        <v>563</v>
      </c>
      <c r="I615" t="s">
        <v>89</v>
      </c>
      <c r="J615" s="2">
        <f>INDEX(Positions!$A:$A,MATCH(E615,Positions!$B:$B,0))</f>
        <v>6</v>
      </c>
      <c r="K615" s="2">
        <f>INDEX(Locations!$A:$A,MATCH(I615,Locations!$B:$B,0))</f>
        <v>8</v>
      </c>
    </row>
    <row r="616" spans="1:11" x14ac:dyDescent="0.2">
      <c r="A616" s="3">
        <v>615</v>
      </c>
      <c r="B616" t="s">
        <v>947</v>
      </c>
      <c r="C616" t="s">
        <v>408</v>
      </c>
      <c r="D616" s="1">
        <v>33180</v>
      </c>
      <c r="E616" t="s">
        <v>124</v>
      </c>
      <c r="F616">
        <v>4</v>
      </c>
      <c r="G616" t="s">
        <v>1197</v>
      </c>
      <c r="H616" s="2">
        <v>148</v>
      </c>
      <c r="I616" t="s">
        <v>92</v>
      </c>
      <c r="J616" s="2">
        <f>INDEX(Positions!$A:$A,MATCH(E616,Positions!$B:$B,0))</f>
        <v>58</v>
      </c>
      <c r="K616" s="2">
        <f>INDEX(Locations!$A:$A,MATCH(I616,Locations!$B:$B,0))</f>
        <v>6</v>
      </c>
    </row>
    <row r="617" spans="1:11" x14ac:dyDescent="0.2">
      <c r="A617" s="3">
        <v>616</v>
      </c>
      <c r="B617" t="s">
        <v>243</v>
      </c>
      <c r="C617" t="s">
        <v>155</v>
      </c>
      <c r="D617" s="1">
        <v>33556</v>
      </c>
      <c r="E617" t="s">
        <v>121</v>
      </c>
      <c r="F617">
        <v>3</v>
      </c>
      <c r="G617" t="s">
        <v>1198</v>
      </c>
      <c r="H617" s="2">
        <v>489</v>
      </c>
      <c r="I617" t="s">
        <v>89</v>
      </c>
      <c r="J617" s="2">
        <f>INDEX(Positions!$A:$A,MATCH(E617,Positions!$B:$B,0))</f>
        <v>31</v>
      </c>
      <c r="K617" s="2">
        <f>INDEX(Locations!$A:$A,MATCH(I617,Locations!$B:$B,0))</f>
        <v>8</v>
      </c>
    </row>
    <row r="618" spans="1:11" x14ac:dyDescent="0.2">
      <c r="A618" s="3">
        <v>617</v>
      </c>
      <c r="B618" t="s">
        <v>230</v>
      </c>
      <c r="C618" t="s">
        <v>273</v>
      </c>
      <c r="D618" s="1">
        <v>36358</v>
      </c>
      <c r="E618" t="s">
        <v>109</v>
      </c>
      <c r="F618">
        <v>2</v>
      </c>
      <c r="G618" t="s">
        <v>1199</v>
      </c>
      <c r="H618" s="2">
        <v>563</v>
      </c>
      <c r="I618" t="s">
        <v>89</v>
      </c>
      <c r="J618" s="2">
        <f>INDEX(Positions!$A:$A,MATCH(E618,Positions!$B:$B,0))</f>
        <v>19</v>
      </c>
      <c r="K618" s="2">
        <f>INDEX(Locations!$A:$A,MATCH(I618,Locations!$B:$B,0))</f>
        <v>8</v>
      </c>
    </row>
    <row r="619" spans="1:11" x14ac:dyDescent="0.2">
      <c r="A619" s="3">
        <v>618</v>
      </c>
      <c r="B619" t="s">
        <v>152</v>
      </c>
      <c r="C619" t="s">
        <v>353</v>
      </c>
      <c r="D619" s="1">
        <v>36094</v>
      </c>
      <c r="E619" t="s">
        <v>104</v>
      </c>
      <c r="F619">
        <v>1</v>
      </c>
      <c r="G619" t="s">
        <v>1200</v>
      </c>
      <c r="H619" s="2">
        <v>418</v>
      </c>
      <c r="I619" t="s">
        <v>89</v>
      </c>
      <c r="J619" s="2">
        <f>INDEX(Positions!$A:$A,MATCH(E619,Positions!$B:$B,0))</f>
        <v>6</v>
      </c>
      <c r="K619" s="2">
        <f>INDEX(Locations!$A:$A,MATCH(I619,Locations!$B:$B,0))</f>
        <v>8</v>
      </c>
    </row>
    <row r="620" spans="1:11" x14ac:dyDescent="0.2">
      <c r="A620" s="3">
        <v>619</v>
      </c>
      <c r="B620" t="s">
        <v>196</v>
      </c>
      <c r="C620" t="s">
        <v>192</v>
      </c>
      <c r="D620" s="1">
        <v>35141</v>
      </c>
      <c r="E620" t="s">
        <v>124</v>
      </c>
      <c r="F620">
        <v>4</v>
      </c>
      <c r="G620" t="s">
        <v>1201</v>
      </c>
      <c r="H620" s="2">
        <v>562</v>
      </c>
      <c r="I620" t="s">
        <v>89</v>
      </c>
      <c r="J620" s="2">
        <f>INDEX(Positions!$A:$A,MATCH(E620,Positions!$B:$B,0))</f>
        <v>58</v>
      </c>
      <c r="K620" s="2">
        <f>INDEX(Locations!$A:$A,MATCH(I620,Locations!$B:$B,0))</f>
        <v>8</v>
      </c>
    </row>
    <row r="621" spans="1:11" x14ac:dyDescent="0.2">
      <c r="A621" s="3">
        <v>620</v>
      </c>
      <c r="B621" t="s">
        <v>997</v>
      </c>
      <c r="C621" t="s">
        <v>157</v>
      </c>
      <c r="D621" s="1">
        <v>39315</v>
      </c>
      <c r="E621" t="s">
        <v>104</v>
      </c>
      <c r="F621">
        <v>1</v>
      </c>
      <c r="G621" t="s">
        <v>1202</v>
      </c>
      <c r="H621" s="2">
        <v>561</v>
      </c>
      <c r="I621" t="s">
        <v>89</v>
      </c>
      <c r="J621" s="2">
        <f>INDEX(Positions!$A:$A,MATCH(E621,Positions!$B:$B,0))</f>
        <v>6</v>
      </c>
      <c r="K621" s="2">
        <f>INDEX(Locations!$A:$A,MATCH(I621,Locations!$B:$B,0))</f>
        <v>8</v>
      </c>
    </row>
    <row r="622" spans="1:11" x14ac:dyDescent="0.2">
      <c r="A622" s="3">
        <v>621</v>
      </c>
      <c r="B622" t="s">
        <v>579</v>
      </c>
      <c r="C622" t="s">
        <v>216</v>
      </c>
      <c r="D622" s="1">
        <v>35481</v>
      </c>
      <c r="E622" t="s">
        <v>109</v>
      </c>
      <c r="F622">
        <v>2</v>
      </c>
      <c r="G622" t="s">
        <v>1203</v>
      </c>
      <c r="H622" s="2">
        <v>489</v>
      </c>
      <c r="I622" t="s">
        <v>89</v>
      </c>
      <c r="J622" s="2">
        <f>INDEX(Positions!$A:$A,MATCH(E622,Positions!$B:$B,0))</f>
        <v>19</v>
      </c>
      <c r="K622" s="2">
        <f>INDEX(Locations!$A:$A,MATCH(I622,Locations!$B:$B,0))</f>
        <v>8</v>
      </c>
    </row>
    <row r="623" spans="1:11" x14ac:dyDescent="0.2">
      <c r="A623" s="3">
        <v>622</v>
      </c>
      <c r="B623" t="s">
        <v>296</v>
      </c>
      <c r="C623" t="s">
        <v>192</v>
      </c>
      <c r="D623" s="1">
        <v>35372</v>
      </c>
      <c r="E623" t="s">
        <v>121</v>
      </c>
      <c r="F623">
        <v>3</v>
      </c>
      <c r="G623" t="s">
        <v>1204</v>
      </c>
      <c r="H623" s="2">
        <v>528</v>
      </c>
      <c r="I623" t="s">
        <v>89</v>
      </c>
      <c r="J623" s="2">
        <f>INDEX(Positions!$A:$A,MATCH(E623,Positions!$B:$B,0))</f>
        <v>31</v>
      </c>
      <c r="K623" s="2">
        <f>INDEX(Locations!$A:$A,MATCH(I623,Locations!$B:$B,0))</f>
        <v>8</v>
      </c>
    </row>
    <row r="624" spans="1:11" x14ac:dyDescent="0.2">
      <c r="A624" s="3">
        <v>623</v>
      </c>
      <c r="B624" t="s">
        <v>257</v>
      </c>
      <c r="C624" t="s">
        <v>212</v>
      </c>
      <c r="D624" s="1">
        <v>36075</v>
      </c>
      <c r="E624" t="s">
        <v>118</v>
      </c>
      <c r="F624">
        <v>3</v>
      </c>
      <c r="G624" t="s">
        <v>1205</v>
      </c>
      <c r="H624" s="2">
        <v>561</v>
      </c>
      <c r="I624" t="s">
        <v>89</v>
      </c>
      <c r="J624" s="2">
        <f>INDEX(Positions!$A:$A,MATCH(E624,Positions!$B:$B,0))</f>
        <v>28</v>
      </c>
      <c r="K624" s="2">
        <f>INDEX(Locations!$A:$A,MATCH(I624,Locations!$B:$B,0))</f>
        <v>8</v>
      </c>
    </row>
    <row r="625" spans="1:11" x14ac:dyDescent="0.2">
      <c r="A625" s="3">
        <v>624</v>
      </c>
      <c r="B625" t="s">
        <v>230</v>
      </c>
      <c r="C625" t="s">
        <v>369</v>
      </c>
      <c r="D625" s="1">
        <v>33902</v>
      </c>
      <c r="E625" t="s">
        <v>109</v>
      </c>
      <c r="F625">
        <v>2</v>
      </c>
      <c r="G625" t="s">
        <v>1206</v>
      </c>
      <c r="H625" s="2">
        <v>365</v>
      </c>
      <c r="I625" t="s">
        <v>233</v>
      </c>
      <c r="J625" s="2">
        <f>INDEX(Positions!$A:$A,MATCH(E625,Positions!$B:$B,0))</f>
        <v>19</v>
      </c>
      <c r="K625" s="2">
        <f>INDEX(Locations!$A:$A,MATCH(I625,Locations!$B:$B,0))</f>
        <v>11</v>
      </c>
    </row>
    <row r="626" spans="1:11" x14ac:dyDescent="0.2">
      <c r="A626" s="3">
        <v>625</v>
      </c>
      <c r="B626" t="s">
        <v>573</v>
      </c>
      <c r="C626" t="s">
        <v>439</v>
      </c>
      <c r="D626" s="1">
        <v>38584</v>
      </c>
      <c r="E626" t="s">
        <v>118</v>
      </c>
      <c r="F626">
        <v>3</v>
      </c>
      <c r="G626" t="s">
        <v>1207</v>
      </c>
      <c r="H626" s="2">
        <v>562</v>
      </c>
      <c r="I626" t="s">
        <v>89</v>
      </c>
      <c r="J626" s="2">
        <f>INDEX(Positions!$A:$A,MATCH(E626,Positions!$B:$B,0))</f>
        <v>28</v>
      </c>
      <c r="K626" s="2">
        <f>INDEX(Locations!$A:$A,MATCH(I626,Locations!$B:$B,0))</f>
        <v>8</v>
      </c>
    </row>
    <row r="627" spans="1:11" x14ac:dyDescent="0.2">
      <c r="A627" s="3">
        <v>626</v>
      </c>
      <c r="B627" t="s">
        <v>221</v>
      </c>
      <c r="C627" t="s">
        <v>154</v>
      </c>
      <c r="D627" s="1">
        <v>35741</v>
      </c>
      <c r="E627" t="s">
        <v>118</v>
      </c>
      <c r="F627">
        <v>3</v>
      </c>
      <c r="G627" t="s">
        <v>1208</v>
      </c>
      <c r="H627" s="2">
        <v>563</v>
      </c>
      <c r="I627" t="s">
        <v>89</v>
      </c>
      <c r="J627" s="2">
        <f>INDEX(Positions!$A:$A,MATCH(E627,Positions!$B:$B,0))</f>
        <v>28</v>
      </c>
      <c r="K627" s="2">
        <f>INDEX(Locations!$A:$A,MATCH(I627,Locations!$B:$B,0))</f>
        <v>8</v>
      </c>
    </row>
    <row r="628" spans="1:11" x14ac:dyDescent="0.2">
      <c r="A628" s="3">
        <v>627</v>
      </c>
      <c r="B628" t="s">
        <v>183</v>
      </c>
      <c r="C628" t="s">
        <v>355</v>
      </c>
      <c r="D628" s="1">
        <v>35387</v>
      </c>
      <c r="E628" t="s">
        <v>109</v>
      </c>
      <c r="F628">
        <v>2</v>
      </c>
      <c r="G628" t="s">
        <v>1209</v>
      </c>
      <c r="H628" s="2">
        <v>563</v>
      </c>
      <c r="I628" t="s">
        <v>89</v>
      </c>
      <c r="J628" s="2">
        <f>INDEX(Positions!$A:$A,MATCH(E628,Positions!$B:$B,0))</f>
        <v>19</v>
      </c>
      <c r="K628" s="2">
        <f>INDEX(Locations!$A:$A,MATCH(I628,Locations!$B:$B,0))</f>
        <v>8</v>
      </c>
    </row>
    <row r="629" spans="1:11" x14ac:dyDescent="0.2">
      <c r="A629" s="3">
        <v>628</v>
      </c>
      <c r="B629" t="s">
        <v>71</v>
      </c>
      <c r="C629" t="s">
        <v>333</v>
      </c>
      <c r="D629" s="1">
        <v>37927</v>
      </c>
      <c r="E629" t="s">
        <v>118</v>
      </c>
      <c r="F629">
        <v>3</v>
      </c>
      <c r="G629" t="s">
        <v>1210</v>
      </c>
      <c r="H629" s="2">
        <v>423</v>
      </c>
      <c r="I629" t="s">
        <v>92</v>
      </c>
      <c r="J629" s="2">
        <f>INDEX(Positions!$A:$A,MATCH(E629,Positions!$B:$B,0))</f>
        <v>28</v>
      </c>
      <c r="K629" s="2">
        <f>INDEX(Locations!$A:$A,MATCH(I629,Locations!$B:$B,0))</f>
        <v>6</v>
      </c>
    </row>
    <row r="630" spans="1:11" x14ac:dyDescent="0.2">
      <c r="A630" s="3">
        <v>629</v>
      </c>
      <c r="B630" t="s">
        <v>334</v>
      </c>
      <c r="C630" t="s">
        <v>502</v>
      </c>
      <c r="D630" s="1">
        <v>39404</v>
      </c>
      <c r="E630" t="s">
        <v>104</v>
      </c>
      <c r="F630">
        <v>1</v>
      </c>
      <c r="G630" t="s">
        <v>1211</v>
      </c>
      <c r="H630" s="2">
        <v>563</v>
      </c>
      <c r="I630" t="s">
        <v>89</v>
      </c>
      <c r="J630" s="2">
        <f>INDEX(Positions!$A:$A,MATCH(E630,Positions!$B:$B,0))</f>
        <v>6</v>
      </c>
      <c r="K630" s="2">
        <f>INDEX(Locations!$A:$A,MATCH(I630,Locations!$B:$B,0))</f>
        <v>8</v>
      </c>
    </row>
    <row r="631" spans="1:11" x14ac:dyDescent="0.2">
      <c r="A631" s="3">
        <v>630</v>
      </c>
      <c r="B631" t="s">
        <v>433</v>
      </c>
      <c r="C631" t="s">
        <v>462</v>
      </c>
      <c r="D631" s="1">
        <v>34423</v>
      </c>
      <c r="E631" t="s">
        <v>121</v>
      </c>
      <c r="F631">
        <v>3</v>
      </c>
      <c r="G631" t="s">
        <v>1212</v>
      </c>
      <c r="H631" s="2">
        <v>365</v>
      </c>
      <c r="I631" t="s">
        <v>233</v>
      </c>
      <c r="J631" s="2">
        <f>INDEX(Positions!$A:$A,MATCH(E631,Positions!$B:$B,0))</f>
        <v>31</v>
      </c>
      <c r="K631" s="2">
        <f>INDEX(Locations!$A:$A,MATCH(I631,Locations!$B:$B,0))</f>
        <v>11</v>
      </c>
    </row>
    <row r="632" spans="1:11" x14ac:dyDescent="0.2">
      <c r="A632" s="3">
        <v>631</v>
      </c>
      <c r="B632" t="s">
        <v>209</v>
      </c>
      <c r="C632" t="s">
        <v>540</v>
      </c>
      <c r="D632" s="1">
        <v>39512</v>
      </c>
      <c r="E632" t="s">
        <v>104</v>
      </c>
      <c r="F632">
        <v>1</v>
      </c>
      <c r="G632" t="s">
        <v>1213</v>
      </c>
      <c r="H632" s="2">
        <v>561</v>
      </c>
      <c r="I632" t="s">
        <v>89</v>
      </c>
      <c r="J632" s="2">
        <f>INDEX(Positions!$A:$A,MATCH(E632,Positions!$B:$B,0))</f>
        <v>6</v>
      </c>
      <c r="K632" s="2">
        <f>INDEX(Locations!$A:$A,MATCH(I632,Locations!$B:$B,0))</f>
        <v>8</v>
      </c>
    </row>
    <row r="633" spans="1:11" x14ac:dyDescent="0.2">
      <c r="A633" s="3">
        <v>632</v>
      </c>
      <c r="B633" t="s">
        <v>185</v>
      </c>
      <c r="C633" t="s">
        <v>380</v>
      </c>
      <c r="D633" s="1">
        <v>38374</v>
      </c>
      <c r="E633" t="s">
        <v>104</v>
      </c>
      <c r="F633">
        <v>1</v>
      </c>
      <c r="G633" t="s">
        <v>1214</v>
      </c>
      <c r="H633" s="2">
        <v>489</v>
      </c>
      <c r="I633" t="s">
        <v>89</v>
      </c>
      <c r="J633" s="2">
        <f>INDEX(Positions!$A:$A,MATCH(E633,Positions!$B:$B,0))</f>
        <v>6</v>
      </c>
      <c r="K633" s="2">
        <f>INDEX(Locations!$A:$A,MATCH(I633,Locations!$B:$B,0))</f>
        <v>8</v>
      </c>
    </row>
    <row r="634" spans="1:11" x14ac:dyDescent="0.2">
      <c r="A634" s="3">
        <v>633</v>
      </c>
      <c r="B634" t="s">
        <v>274</v>
      </c>
      <c r="C634" t="s">
        <v>170</v>
      </c>
      <c r="D634" s="1">
        <v>37705</v>
      </c>
      <c r="E634" t="s">
        <v>118</v>
      </c>
      <c r="F634">
        <v>3</v>
      </c>
      <c r="G634" t="s">
        <v>1215</v>
      </c>
      <c r="H634" s="2">
        <v>561</v>
      </c>
      <c r="I634" t="s">
        <v>89</v>
      </c>
      <c r="J634" s="2">
        <f>INDEX(Positions!$A:$A,MATCH(E634,Positions!$B:$B,0))</f>
        <v>28</v>
      </c>
      <c r="K634" s="2">
        <f>INDEX(Locations!$A:$A,MATCH(I634,Locations!$B:$B,0))</f>
        <v>8</v>
      </c>
    </row>
    <row r="635" spans="1:11" x14ac:dyDescent="0.2">
      <c r="A635" s="3">
        <v>634</v>
      </c>
      <c r="B635" t="s">
        <v>365</v>
      </c>
      <c r="C635" t="s">
        <v>582</v>
      </c>
      <c r="D635" s="1">
        <v>33284</v>
      </c>
      <c r="E635" t="s">
        <v>1216</v>
      </c>
      <c r="F635">
        <v>2</v>
      </c>
      <c r="G635" t="s">
        <v>1217</v>
      </c>
      <c r="H635" s="2">
        <v>636</v>
      </c>
      <c r="I635" t="s">
        <v>89</v>
      </c>
      <c r="J635" s="2">
        <f>INDEX(Positions!$A:$A,MATCH(E635,Positions!$B:$B,0))</f>
        <v>14</v>
      </c>
      <c r="K635" s="2">
        <f>INDEX(Locations!$A:$A,MATCH(I635,Locations!$B:$B,0))</f>
        <v>8</v>
      </c>
    </row>
    <row r="636" spans="1:11" x14ac:dyDescent="0.2">
      <c r="A636" s="3">
        <v>635</v>
      </c>
      <c r="B636" t="s">
        <v>360</v>
      </c>
      <c r="C636" t="s">
        <v>340</v>
      </c>
      <c r="D636" s="1">
        <v>36158</v>
      </c>
      <c r="E636" t="s">
        <v>1218</v>
      </c>
      <c r="F636">
        <v>1</v>
      </c>
      <c r="G636" t="s">
        <v>1219</v>
      </c>
      <c r="H636" s="2">
        <v>636</v>
      </c>
      <c r="I636" t="s">
        <v>89</v>
      </c>
      <c r="J636" s="2">
        <f>INDEX(Positions!$A:$A,MATCH(E636,Positions!$B:$B,0))</f>
        <v>9</v>
      </c>
      <c r="K636" s="2">
        <f>INDEX(Locations!$A:$A,MATCH(I636,Locations!$B:$B,0))</f>
        <v>8</v>
      </c>
    </row>
    <row r="637" spans="1:11" x14ac:dyDescent="0.2">
      <c r="A637" s="3">
        <v>636</v>
      </c>
      <c r="B637" t="s">
        <v>230</v>
      </c>
      <c r="C637" t="s">
        <v>434</v>
      </c>
      <c r="D637" s="1">
        <v>27043</v>
      </c>
      <c r="E637" t="s">
        <v>1220</v>
      </c>
      <c r="F637">
        <v>7</v>
      </c>
      <c r="G637" t="s">
        <v>1221</v>
      </c>
      <c r="H637" s="2">
        <v>12</v>
      </c>
      <c r="I637" t="s">
        <v>50</v>
      </c>
      <c r="J637" s="2">
        <f>INDEX(Positions!$A:$A,MATCH(E637,Positions!$B:$B,0))</f>
        <v>102</v>
      </c>
      <c r="K637" s="2">
        <f>INDEX(Locations!$A:$A,MATCH(I637,Locations!$B:$B,0))</f>
        <v>1</v>
      </c>
    </row>
    <row r="638" spans="1:11" x14ac:dyDescent="0.2">
      <c r="A638" s="3">
        <v>637</v>
      </c>
      <c r="B638" t="s">
        <v>308</v>
      </c>
      <c r="C638" t="s">
        <v>765</v>
      </c>
      <c r="D638" s="1">
        <v>33737</v>
      </c>
      <c r="E638" t="s">
        <v>1216</v>
      </c>
      <c r="F638">
        <v>2</v>
      </c>
      <c r="G638" t="s">
        <v>1222</v>
      </c>
      <c r="H638" s="2">
        <v>636</v>
      </c>
      <c r="I638" t="s">
        <v>89</v>
      </c>
      <c r="J638" s="2">
        <f>INDEX(Positions!$A:$A,MATCH(E638,Positions!$B:$B,0))</f>
        <v>14</v>
      </c>
      <c r="K638" s="2">
        <f>INDEX(Locations!$A:$A,MATCH(I638,Locations!$B:$B,0))</f>
        <v>8</v>
      </c>
    </row>
    <row r="639" spans="1:11" x14ac:dyDescent="0.2">
      <c r="A639" s="3">
        <v>638</v>
      </c>
      <c r="B639" t="s">
        <v>349</v>
      </c>
      <c r="C639" t="s">
        <v>154</v>
      </c>
      <c r="D639" s="1">
        <v>36780</v>
      </c>
      <c r="E639" t="s">
        <v>1216</v>
      </c>
      <c r="F639">
        <v>2</v>
      </c>
      <c r="G639" t="s">
        <v>1223</v>
      </c>
      <c r="H639" s="2">
        <v>636</v>
      </c>
      <c r="I639" t="s">
        <v>1224</v>
      </c>
      <c r="J639" s="2">
        <f>INDEX(Positions!$A:$A,MATCH(E639,Positions!$B:$B,0))</f>
        <v>14</v>
      </c>
      <c r="K639" s="2">
        <f>INDEX(Locations!$A:$A,MATCH(I639,Locations!$B:$B,0))</f>
        <v>9</v>
      </c>
    </row>
    <row r="640" spans="1:11" x14ac:dyDescent="0.2">
      <c r="A640" s="3">
        <v>639</v>
      </c>
      <c r="B640" t="s">
        <v>455</v>
      </c>
      <c r="C640" t="s">
        <v>740</v>
      </c>
      <c r="D640" s="1">
        <v>29826</v>
      </c>
      <c r="E640" t="s">
        <v>1225</v>
      </c>
      <c r="F640">
        <v>3</v>
      </c>
      <c r="G640" t="s">
        <v>1226</v>
      </c>
      <c r="H640" s="2">
        <v>636</v>
      </c>
      <c r="I640" t="s">
        <v>89</v>
      </c>
      <c r="J640" s="2">
        <f>INDEX(Positions!$A:$A,MATCH(E640,Positions!$B:$B,0))</f>
        <v>50</v>
      </c>
      <c r="K640" s="2">
        <f>INDEX(Locations!$A:$A,MATCH(I640,Locations!$B:$B,0))</f>
        <v>8</v>
      </c>
    </row>
    <row r="641" spans="1:11" x14ac:dyDescent="0.2">
      <c r="A641" s="3">
        <v>640</v>
      </c>
      <c r="B641" t="s">
        <v>374</v>
      </c>
      <c r="C641" t="s">
        <v>359</v>
      </c>
      <c r="D641" s="1">
        <v>34920</v>
      </c>
      <c r="E641" t="s">
        <v>1218</v>
      </c>
      <c r="F641">
        <v>1</v>
      </c>
      <c r="G641" t="s">
        <v>1227</v>
      </c>
      <c r="H641" s="2">
        <v>636</v>
      </c>
      <c r="I641" t="s">
        <v>1224</v>
      </c>
      <c r="J641" s="2">
        <f>INDEX(Positions!$A:$A,MATCH(E641,Positions!$B:$B,0))</f>
        <v>9</v>
      </c>
      <c r="K641" s="2">
        <f>INDEX(Locations!$A:$A,MATCH(I641,Locations!$B:$B,0))</f>
        <v>9</v>
      </c>
    </row>
    <row r="642" spans="1:11" x14ac:dyDescent="0.2">
      <c r="A642" s="3">
        <v>641</v>
      </c>
      <c r="B642" t="s">
        <v>86</v>
      </c>
      <c r="C642" t="s">
        <v>301</v>
      </c>
      <c r="D642" s="1">
        <v>34699</v>
      </c>
      <c r="E642" t="s">
        <v>1216</v>
      </c>
      <c r="F642">
        <v>2</v>
      </c>
      <c r="G642" t="s">
        <v>1228</v>
      </c>
      <c r="H642" s="2">
        <v>636</v>
      </c>
      <c r="I642" t="s">
        <v>1224</v>
      </c>
      <c r="J642" s="2">
        <f>INDEX(Positions!$A:$A,MATCH(E642,Positions!$B:$B,0))</f>
        <v>14</v>
      </c>
      <c r="K642" s="2">
        <f>INDEX(Locations!$A:$A,MATCH(I642,Locations!$B:$B,0))</f>
        <v>9</v>
      </c>
    </row>
    <row r="643" spans="1:11" x14ac:dyDescent="0.2">
      <c r="A643" s="3">
        <v>642</v>
      </c>
      <c r="B643" t="s">
        <v>431</v>
      </c>
      <c r="C643" t="s">
        <v>520</v>
      </c>
      <c r="D643" s="1">
        <v>36477</v>
      </c>
      <c r="E643" t="s">
        <v>1218</v>
      </c>
      <c r="F643">
        <v>1</v>
      </c>
      <c r="G643" t="s">
        <v>1229</v>
      </c>
      <c r="H643" s="2">
        <v>636</v>
      </c>
      <c r="I643" t="s">
        <v>233</v>
      </c>
      <c r="J643" s="2">
        <f>INDEX(Positions!$A:$A,MATCH(E643,Positions!$B:$B,0))</f>
        <v>9</v>
      </c>
      <c r="K643" s="2">
        <f>INDEX(Locations!$A:$A,MATCH(I643,Locations!$B:$B,0))</f>
        <v>11</v>
      </c>
    </row>
    <row r="644" spans="1:11" x14ac:dyDescent="0.2">
      <c r="A644" s="3">
        <v>643</v>
      </c>
      <c r="B644" t="s">
        <v>194</v>
      </c>
      <c r="C644" t="s">
        <v>222</v>
      </c>
      <c r="D644" s="1">
        <v>33777</v>
      </c>
      <c r="E644" t="s">
        <v>1225</v>
      </c>
      <c r="F644">
        <v>3</v>
      </c>
      <c r="G644" t="s">
        <v>1230</v>
      </c>
      <c r="H644" s="2">
        <v>636</v>
      </c>
      <c r="I644" t="s">
        <v>1224</v>
      </c>
      <c r="J644" s="2">
        <f>INDEX(Positions!$A:$A,MATCH(E644,Positions!$B:$B,0))</f>
        <v>50</v>
      </c>
      <c r="K644" s="2">
        <f>INDEX(Locations!$A:$A,MATCH(I644,Locations!$B:$B,0))</f>
        <v>9</v>
      </c>
    </row>
    <row r="645" spans="1:11" x14ac:dyDescent="0.2">
      <c r="A645" s="3">
        <v>644</v>
      </c>
      <c r="B645" t="s">
        <v>181</v>
      </c>
      <c r="C645" t="s">
        <v>317</v>
      </c>
      <c r="D645" s="1">
        <v>34957</v>
      </c>
      <c r="E645" t="s">
        <v>1218</v>
      </c>
      <c r="F645">
        <v>1</v>
      </c>
      <c r="G645" t="s">
        <v>1231</v>
      </c>
      <c r="H645" s="2">
        <v>636</v>
      </c>
      <c r="I645" t="s">
        <v>92</v>
      </c>
      <c r="J645" s="2">
        <f>INDEX(Positions!$A:$A,MATCH(E645,Positions!$B:$B,0))</f>
        <v>9</v>
      </c>
      <c r="K645" s="2">
        <f>INDEX(Locations!$A:$A,MATCH(I645,Locations!$B:$B,0))</f>
        <v>6</v>
      </c>
    </row>
    <row r="646" spans="1:11" x14ac:dyDescent="0.2">
      <c r="A646" s="3">
        <v>645</v>
      </c>
      <c r="B646" t="s">
        <v>273</v>
      </c>
      <c r="C646" t="s">
        <v>481</v>
      </c>
      <c r="D646" s="1">
        <v>33802</v>
      </c>
      <c r="E646" t="s">
        <v>1216</v>
      </c>
      <c r="F646">
        <v>2</v>
      </c>
      <c r="G646" t="s">
        <v>1232</v>
      </c>
      <c r="H646" s="2">
        <v>636</v>
      </c>
      <c r="I646" t="s">
        <v>1224</v>
      </c>
      <c r="J646" s="2">
        <f>INDEX(Positions!$A:$A,MATCH(E646,Positions!$B:$B,0))</f>
        <v>14</v>
      </c>
      <c r="K646" s="2">
        <f>INDEX(Locations!$A:$A,MATCH(I646,Locations!$B:$B,0))</f>
        <v>9</v>
      </c>
    </row>
    <row r="647" spans="1:11" x14ac:dyDescent="0.2">
      <c r="A647" s="3">
        <v>646</v>
      </c>
      <c r="B647" t="s">
        <v>338</v>
      </c>
      <c r="C647" t="s">
        <v>470</v>
      </c>
      <c r="D647" s="1">
        <v>36607</v>
      </c>
      <c r="E647" t="s">
        <v>1218</v>
      </c>
      <c r="F647">
        <v>1</v>
      </c>
      <c r="G647" t="s">
        <v>1233</v>
      </c>
      <c r="H647" s="2">
        <v>636</v>
      </c>
      <c r="I647" t="s">
        <v>89</v>
      </c>
      <c r="J647" s="2">
        <f>INDEX(Positions!$A:$A,MATCH(E647,Positions!$B:$B,0))</f>
        <v>9</v>
      </c>
      <c r="K647" s="2">
        <f>INDEX(Locations!$A:$A,MATCH(I647,Locations!$B:$B,0))</f>
        <v>8</v>
      </c>
    </row>
    <row r="648" spans="1:11" x14ac:dyDescent="0.2">
      <c r="A648" s="3">
        <v>647</v>
      </c>
      <c r="B648" t="s">
        <v>257</v>
      </c>
      <c r="C648" t="s">
        <v>169</v>
      </c>
      <c r="D648" s="1">
        <v>34533</v>
      </c>
      <c r="E648" t="s">
        <v>1218</v>
      </c>
      <c r="F648">
        <v>1</v>
      </c>
      <c r="G648" t="s">
        <v>1234</v>
      </c>
      <c r="H648" s="2">
        <v>636</v>
      </c>
      <c r="I648" t="s">
        <v>233</v>
      </c>
      <c r="J648" s="2">
        <f>INDEX(Positions!$A:$A,MATCH(E648,Positions!$B:$B,0))</f>
        <v>9</v>
      </c>
      <c r="K648" s="2">
        <f>INDEX(Locations!$A:$A,MATCH(I648,Locations!$B:$B,0))</f>
        <v>11</v>
      </c>
    </row>
    <row r="649" spans="1:11" x14ac:dyDescent="0.2">
      <c r="A649" s="3">
        <v>648</v>
      </c>
      <c r="B649" t="s">
        <v>327</v>
      </c>
      <c r="C649" t="s">
        <v>353</v>
      </c>
      <c r="D649" s="1">
        <v>37004</v>
      </c>
      <c r="E649" t="s">
        <v>1218</v>
      </c>
      <c r="F649">
        <v>1</v>
      </c>
      <c r="G649" t="s">
        <v>1235</v>
      </c>
      <c r="H649" s="2">
        <v>636</v>
      </c>
      <c r="I649" t="s">
        <v>1224</v>
      </c>
      <c r="J649" s="2">
        <f>INDEX(Positions!$A:$A,MATCH(E649,Positions!$B:$B,0))</f>
        <v>9</v>
      </c>
      <c r="K649" s="2">
        <f>INDEX(Locations!$A:$A,MATCH(I649,Locations!$B:$B,0))</f>
        <v>9</v>
      </c>
    </row>
    <row r="650" spans="1:11" x14ac:dyDescent="0.2">
      <c r="A650" s="3">
        <v>649</v>
      </c>
      <c r="B650" t="s">
        <v>296</v>
      </c>
      <c r="C650" t="s">
        <v>341</v>
      </c>
      <c r="D650" s="1">
        <v>36616</v>
      </c>
      <c r="E650" t="s">
        <v>1218</v>
      </c>
      <c r="F650">
        <v>1</v>
      </c>
      <c r="G650" t="s">
        <v>1236</v>
      </c>
      <c r="H650" s="2">
        <v>662</v>
      </c>
      <c r="I650" t="s">
        <v>1224</v>
      </c>
      <c r="J650" s="2">
        <f>INDEX(Positions!$A:$A,MATCH(E650,Positions!$B:$B,0))</f>
        <v>9</v>
      </c>
      <c r="K650" s="2">
        <f>INDEX(Locations!$A:$A,MATCH(I650,Locations!$B:$B,0))</f>
        <v>9</v>
      </c>
    </row>
    <row r="651" spans="1:11" x14ac:dyDescent="0.2">
      <c r="A651" s="3">
        <v>650</v>
      </c>
      <c r="B651" t="s">
        <v>484</v>
      </c>
      <c r="C651" t="s">
        <v>339</v>
      </c>
      <c r="D651" s="1">
        <v>34956</v>
      </c>
      <c r="E651" t="s">
        <v>1218</v>
      </c>
      <c r="F651">
        <v>1</v>
      </c>
      <c r="G651" t="s">
        <v>1237</v>
      </c>
      <c r="H651" s="2">
        <v>662</v>
      </c>
      <c r="I651" t="s">
        <v>1224</v>
      </c>
      <c r="J651" s="2">
        <f>INDEX(Positions!$A:$A,MATCH(E651,Positions!$B:$B,0))</f>
        <v>9</v>
      </c>
      <c r="K651" s="2">
        <f>INDEX(Locations!$A:$A,MATCH(I651,Locations!$B:$B,0))</f>
        <v>9</v>
      </c>
    </row>
    <row r="652" spans="1:11" x14ac:dyDescent="0.2">
      <c r="A652" s="3">
        <v>651</v>
      </c>
      <c r="B652" t="s">
        <v>261</v>
      </c>
      <c r="C652" t="s">
        <v>197</v>
      </c>
      <c r="D652" s="1">
        <v>34516</v>
      </c>
      <c r="E652" t="s">
        <v>1218</v>
      </c>
      <c r="F652">
        <v>1</v>
      </c>
      <c r="G652" t="s">
        <v>1238</v>
      </c>
      <c r="H652" s="2">
        <v>636</v>
      </c>
      <c r="I652" t="s">
        <v>89</v>
      </c>
      <c r="J652" s="2">
        <f>INDEX(Positions!$A:$A,MATCH(E652,Positions!$B:$B,0))</f>
        <v>9</v>
      </c>
      <c r="K652" s="2">
        <f>INDEX(Locations!$A:$A,MATCH(I652,Locations!$B:$B,0))</f>
        <v>8</v>
      </c>
    </row>
    <row r="653" spans="1:11" x14ac:dyDescent="0.2">
      <c r="A653" s="3">
        <v>652</v>
      </c>
      <c r="B653" t="s">
        <v>485</v>
      </c>
      <c r="C653" t="s">
        <v>368</v>
      </c>
      <c r="D653" s="1">
        <v>37630</v>
      </c>
      <c r="E653" t="s">
        <v>1216</v>
      </c>
      <c r="F653">
        <v>2</v>
      </c>
      <c r="G653" t="s">
        <v>1239</v>
      </c>
      <c r="H653" s="2">
        <v>636</v>
      </c>
      <c r="I653" t="s">
        <v>233</v>
      </c>
      <c r="J653" s="2">
        <f>INDEX(Positions!$A:$A,MATCH(E653,Positions!$B:$B,0))</f>
        <v>14</v>
      </c>
      <c r="K653" s="2">
        <f>INDEX(Locations!$A:$A,MATCH(I653,Locations!$B:$B,0))</f>
        <v>11</v>
      </c>
    </row>
    <row r="654" spans="1:11" x14ac:dyDescent="0.2">
      <c r="A654" s="3">
        <v>653</v>
      </c>
      <c r="B654" t="s">
        <v>293</v>
      </c>
      <c r="C654" t="s">
        <v>232</v>
      </c>
      <c r="D654" s="1">
        <v>36057</v>
      </c>
      <c r="E654" t="s">
        <v>1218</v>
      </c>
      <c r="F654">
        <v>1</v>
      </c>
      <c r="G654" t="s">
        <v>1240</v>
      </c>
      <c r="H654" s="2">
        <v>636</v>
      </c>
      <c r="I654" t="s">
        <v>92</v>
      </c>
      <c r="J654" s="2">
        <f>INDEX(Positions!$A:$A,MATCH(E654,Positions!$B:$B,0))</f>
        <v>9</v>
      </c>
      <c r="K654" s="2">
        <f>INDEX(Locations!$A:$A,MATCH(I654,Locations!$B:$B,0))</f>
        <v>6</v>
      </c>
    </row>
    <row r="655" spans="1:11" x14ac:dyDescent="0.2">
      <c r="A655" s="3">
        <v>654</v>
      </c>
      <c r="B655" t="s">
        <v>323</v>
      </c>
      <c r="C655" t="s">
        <v>210</v>
      </c>
      <c r="D655" s="1">
        <v>37757</v>
      </c>
      <c r="E655" t="s">
        <v>1218</v>
      </c>
      <c r="F655">
        <v>1</v>
      </c>
      <c r="G655" t="s">
        <v>1241</v>
      </c>
      <c r="H655" s="2">
        <v>666</v>
      </c>
      <c r="I655" t="s">
        <v>233</v>
      </c>
      <c r="J655" s="2">
        <f>INDEX(Positions!$A:$A,MATCH(E655,Positions!$B:$B,0))</f>
        <v>9</v>
      </c>
      <c r="K655" s="2">
        <f>INDEX(Locations!$A:$A,MATCH(I655,Locations!$B:$B,0))</f>
        <v>11</v>
      </c>
    </row>
    <row r="656" spans="1:11" x14ac:dyDescent="0.2">
      <c r="A656" s="3">
        <v>655</v>
      </c>
      <c r="B656" t="s">
        <v>533</v>
      </c>
      <c r="C656" t="s">
        <v>168</v>
      </c>
      <c r="D656" s="1">
        <v>34804</v>
      </c>
      <c r="E656" t="s">
        <v>1218</v>
      </c>
      <c r="F656">
        <v>1</v>
      </c>
      <c r="G656" t="s">
        <v>1242</v>
      </c>
      <c r="H656" s="2">
        <v>672</v>
      </c>
      <c r="I656" t="s">
        <v>1224</v>
      </c>
      <c r="J656" s="2">
        <f>INDEX(Positions!$A:$A,MATCH(E656,Positions!$B:$B,0))</f>
        <v>9</v>
      </c>
      <c r="K656" s="2">
        <f>INDEX(Locations!$A:$A,MATCH(I656,Locations!$B:$B,0))</f>
        <v>9</v>
      </c>
    </row>
    <row r="657" spans="1:11" x14ac:dyDescent="0.2">
      <c r="A657" s="3">
        <v>656</v>
      </c>
      <c r="B657" t="s">
        <v>428</v>
      </c>
      <c r="C657" t="s">
        <v>169</v>
      </c>
      <c r="D657" s="1">
        <v>35354</v>
      </c>
      <c r="E657" t="s">
        <v>1218</v>
      </c>
      <c r="F657">
        <v>1</v>
      </c>
      <c r="G657" t="s">
        <v>1243</v>
      </c>
      <c r="H657" s="2">
        <v>679</v>
      </c>
      <c r="I657" t="s">
        <v>92</v>
      </c>
      <c r="J657" s="2">
        <f>INDEX(Positions!$A:$A,MATCH(E657,Positions!$B:$B,0))</f>
        <v>9</v>
      </c>
      <c r="K657" s="2">
        <f>INDEX(Locations!$A:$A,MATCH(I657,Locations!$B:$B,0))</f>
        <v>6</v>
      </c>
    </row>
    <row r="658" spans="1:11" x14ac:dyDescent="0.2">
      <c r="A658" s="3">
        <v>657</v>
      </c>
      <c r="B658" t="s">
        <v>491</v>
      </c>
      <c r="C658" t="s">
        <v>368</v>
      </c>
      <c r="D658" s="1">
        <v>33255</v>
      </c>
      <c r="E658" t="s">
        <v>1225</v>
      </c>
      <c r="F658">
        <v>3</v>
      </c>
      <c r="G658" t="s">
        <v>1244</v>
      </c>
      <c r="H658" s="2">
        <v>679</v>
      </c>
      <c r="I658" t="s">
        <v>233</v>
      </c>
      <c r="J658" s="2">
        <f>INDEX(Positions!$A:$A,MATCH(E658,Positions!$B:$B,0))</f>
        <v>50</v>
      </c>
      <c r="K658" s="2">
        <f>INDEX(Locations!$A:$A,MATCH(I658,Locations!$B:$B,0))</f>
        <v>11</v>
      </c>
    </row>
    <row r="659" spans="1:11" x14ac:dyDescent="0.2">
      <c r="A659" s="3">
        <v>658</v>
      </c>
      <c r="B659" t="s">
        <v>358</v>
      </c>
      <c r="C659" t="s">
        <v>344</v>
      </c>
      <c r="D659" s="1">
        <v>36518</v>
      </c>
      <c r="E659" t="s">
        <v>1218</v>
      </c>
      <c r="F659">
        <v>1</v>
      </c>
      <c r="G659" t="s">
        <v>1245</v>
      </c>
      <c r="H659" s="2">
        <v>672</v>
      </c>
      <c r="I659" t="s">
        <v>1224</v>
      </c>
      <c r="J659" s="2">
        <f>INDEX(Positions!$A:$A,MATCH(E659,Positions!$B:$B,0))</f>
        <v>9</v>
      </c>
      <c r="K659" s="2">
        <f>INDEX(Locations!$A:$A,MATCH(I659,Locations!$B:$B,0))</f>
        <v>9</v>
      </c>
    </row>
    <row r="660" spans="1:11" x14ac:dyDescent="0.2">
      <c r="A660" s="3">
        <v>659</v>
      </c>
      <c r="B660" t="s">
        <v>383</v>
      </c>
      <c r="C660" t="s">
        <v>479</v>
      </c>
      <c r="D660" s="1">
        <v>30165</v>
      </c>
      <c r="E660" t="s">
        <v>1246</v>
      </c>
      <c r="F660">
        <v>6</v>
      </c>
      <c r="G660" t="s">
        <v>1247</v>
      </c>
      <c r="H660" s="2">
        <v>636</v>
      </c>
      <c r="I660" t="s">
        <v>233</v>
      </c>
      <c r="J660" s="2">
        <f>INDEX(Positions!$A:$A,MATCH(E660,Positions!$B:$B,0))</f>
        <v>86</v>
      </c>
      <c r="K660" s="2">
        <f>INDEX(Locations!$A:$A,MATCH(I660,Locations!$B:$B,0))</f>
        <v>11</v>
      </c>
    </row>
    <row r="661" spans="1:11" x14ac:dyDescent="0.2">
      <c r="A661" s="3">
        <v>660</v>
      </c>
      <c r="B661" t="s">
        <v>947</v>
      </c>
      <c r="C661" t="s">
        <v>266</v>
      </c>
      <c r="D661" s="1">
        <v>28826</v>
      </c>
      <c r="E661" t="s">
        <v>1246</v>
      </c>
      <c r="F661">
        <v>6</v>
      </c>
      <c r="G661" t="s">
        <v>1248</v>
      </c>
      <c r="H661" s="2">
        <v>636</v>
      </c>
      <c r="I661" t="s">
        <v>1224</v>
      </c>
      <c r="J661" s="2">
        <f>INDEX(Positions!$A:$A,MATCH(E661,Positions!$B:$B,0))</f>
        <v>86</v>
      </c>
      <c r="K661" s="2">
        <f>INDEX(Locations!$A:$A,MATCH(I661,Locations!$B:$B,0))</f>
        <v>9</v>
      </c>
    </row>
    <row r="662" spans="1:11" x14ac:dyDescent="0.2">
      <c r="A662" s="3">
        <v>661</v>
      </c>
      <c r="B662" t="s">
        <v>241</v>
      </c>
      <c r="C662" t="s">
        <v>652</v>
      </c>
      <c r="D662" s="1">
        <v>34689</v>
      </c>
      <c r="E662" t="s">
        <v>1218</v>
      </c>
      <c r="F662">
        <v>1</v>
      </c>
      <c r="G662" t="s">
        <v>1249</v>
      </c>
      <c r="H662" s="2">
        <v>664</v>
      </c>
      <c r="I662" t="s">
        <v>1224</v>
      </c>
      <c r="J662" s="2">
        <f>INDEX(Positions!$A:$A,MATCH(E662,Positions!$B:$B,0))</f>
        <v>9</v>
      </c>
      <c r="K662" s="2">
        <f>INDEX(Locations!$A:$A,MATCH(I662,Locations!$B:$B,0))</f>
        <v>9</v>
      </c>
    </row>
    <row r="663" spans="1:11" x14ac:dyDescent="0.2">
      <c r="A663" s="3">
        <v>662</v>
      </c>
      <c r="B663" t="s">
        <v>537</v>
      </c>
      <c r="C663" t="s">
        <v>175</v>
      </c>
      <c r="D663" s="1">
        <v>33156</v>
      </c>
      <c r="E663" t="s">
        <v>1250</v>
      </c>
      <c r="F663">
        <v>5</v>
      </c>
      <c r="G663" t="s">
        <v>1251</v>
      </c>
      <c r="H663" s="2">
        <v>659</v>
      </c>
      <c r="I663" t="s">
        <v>233</v>
      </c>
      <c r="J663" s="2">
        <f>INDEX(Positions!$A:$A,MATCH(E663,Positions!$B:$B,0))</f>
        <v>78</v>
      </c>
      <c r="K663" s="2">
        <f>INDEX(Locations!$A:$A,MATCH(I663,Locations!$B:$B,0))</f>
        <v>11</v>
      </c>
    </row>
    <row r="664" spans="1:11" x14ac:dyDescent="0.2">
      <c r="A664" s="3">
        <v>663</v>
      </c>
      <c r="B664" t="s">
        <v>719</v>
      </c>
      <c r="C664" t="s">
        <v>512</v>
      </c>
      <c r="D664" s="1">
        <v>34729</v>
      </c>
      <c r="E664" t="s">
        <v>1218</v>
      </c>
      <c r="F664">
        <v>1</v>
      </c>
      <c r="G664" t="s">
        <v>1252</v>
      </c>
      <c r="H664" s="2">
        <v>672</v>
      </c>
      <c r="I664" t="s">
        <v>1224</v>
      </c>
      <c r="J664" s="2">
        <f>INDEX(Positions!$A:$A,MATCH(E664,Positions!$B:$B,0))</f>
        <v>9</v>
      </c>
      <c r="K664" s="2">
        <f>INDEX(Locations!$A:$A,MATCH(I664,Locations!$B:$B,0))</f>
        <v>9</v>
      </c>
    </row>
    <row r="665" spans="1:11" x14ac:dyDescent="0.2">
      <c r="A665" s="3">
        <v>664</v>
      </c>
      <c r="B665" t="s">
        <v>110</v>
      </c>
      <c r="C665" t="s">
        <v>543</v>
      </c>
      <c r="D665" s="1">
        <v>35349</v>
      </c>
      <c r="E665" t="s">
        <v>1250</v>
      </c>
      <c r="F665">
        <v>5</v>
      </c>
      <c r="G665" t="s">
        <v>1253</v>
      </c>
      <c r="H665" s="2">
        <v>659</v>
      </c>
      <c r="I665" t="s">
        <v>89</v>
      </c>
      <c r="J665" s="2">
        <f>INDEX(Positions!$A:$A,MATCH(E665,Positions!$B:$B,0))</f>
        <v>78</v>
      </c>
      <c r="K665" s="2">
        <f>INDEX(Locations!$A:$A,MATCH(I665,Locations!$B:$B,0))</f>
        <v>8</v>
      </c>
    </row>
    <row r="666" spans="1:11" x14ac:dyDescent="0.2">
      <c r="A666" s="3">
        <v>665</v>
      </c>
      <c r="B666" t="s">
        <v>284</v>
      </c>
      <c r="C666" t="s">
        <v>305</v>
      </c>
      <c r="D666" s="1">
        <v>37487</v>
      </c>
      <c r="E666" t="s">
        <v>1216</v>
      </c>
      <c r="F666">
        <v>2</v>
      </c>
      <c r="G666" t="s">
        <v>1254</v>
      </c>
      <c r="H666" s="2">
        <v>672</v>
      </c>
      <c r="I666" t="s">
        <v>1224</v>
      </c>
      <c r="J666" s="2">
        <f>INDEX(Positions!$A:$A,MATCH(E666,Positions!$B:$B,0))</f>
        <v>14</v>
      </c>
      <c r="K666" s="2">
        <f>INDEX(Locations!$A:$A,MATCH(I666,Locations!$B:$B,0))</f>
        <v>9</v>
      </c>
    </row>
    <row r="667" spans="1:11" x14ac:dyDescent="0.2">
      <c r="A667" s="3">
        <v>666</v>
      </c>
      <c r="B667" t="s">
        <v>259</v>
      </c>
      <c r="C667" t="s">
        <v>363</v>
      </c>
      <c r="D667" s="1">
        <v>34169</v>
      </c>
      <c r="E667" t="s">
        <v>1250</v>
      </c>
      <c r="F667">
        <v>5</v>
      </c>
      <c r="G667" t="s">
        <v>1255</v>
      </c>
      <c r="H667" s="2">
        <v>659</v>
      </c>
      <c r="I667" t="s">
        <v>233</v>
      </c>
      <c r="J667" s="2">
        <f>INDEX(Positions!$A:$A,MATCH(E667,Positions!$B:$B,0))</f>
        <v>78</v>
      </c>
      <c r="K667" s="2">
        <f>INDEX(Locations!$A:$A,MATCH(I667,Locations!$B:$B,0))</f>
        <v>11</v>
      </c>
    </row>
    <row r="668" spans="1:11" x14ac:dyDescent="0.2">
      <c r="A668" s="3">
        <v>667</v>
      </c>
      <c r="B668" t="s">
        <v>156</v>
      </c>
      <c r="C668" t="s">
        <v>474</v>
      </c>
      <c r="D668" s="1">
        <v>38584</v>
      </c>
      <c r="E668" t="s">
        <v>1218</v>
      </c>
      <c r="F668">
        <v>1</v>
      </c>
      <c r="G668" t="s">
        <v>1256</v>
      </c>
      <c r="H668" s="2">
        <v>664</v>
      </c>
      <c r="I668" t="s">
        <v>89</v>
      </c>
      <c r="J668" s="2">
        <f>INDEX(Positions!$A:$A,MATCH(E668,Positions!$B:$B,0))</f>
        <v>9</v>
      </c>
      <c r="K668" s="2">
        <f>INDEX(Locations!$A:$A,MATCH(I668,Locations!$B:$B,0))</f>
        <v>8</v>
      </c>
    </row>
    <row r="669" spans="1:11" x14ac:dyDescent="0.2">
      <c r="A669" s="3">
        <v>668</v>
      </c>
      <c r="B669" t="s">
        <v>530</v>
      </c>
      <c r="C669" t="s">
        <v>273</v>
      </c>
      <c r="D669" s="1">
        <v>38263</v>
      </c>
      <c r="E669" t="s">
        <v>1216</v>
      </c>
      <c r="F669">
        <v>2</v>
      </c>
      <c r="G669" t="s">
        <v>1257</v>
      </c>
      <c r="H669" s="2">
        <v>664</v>
      </c>
      <c r="I669" t="s">
        <v>89</v>
      </c>
      <c r="J669" s="2">
        <f>INDEX(Positions!$A:$A,MATCH(E669,Positions!$B:$B,0))</f>
        <v>14</v>
      </c>
      <c r="K669" s="2">
        <f>INDEX(Locations!$A:$A,MATCH(I669,Locations!$B:$B,0))</f>
        <v>8</v>
      </c>
    </row>
    <row r="670" spans="1:11" x14ac:dyDescent="0.2">
      <c r="A670" s="3">
        <v>669</v>
      </c>
      <c r="B670" t="s">
        <v>285</v>
      </c>
      <c r="C670" t="s">
        <v>192</v>
      </c>
      <c r="D670" s="1">
        <v>35119</v>
      </c>
      <c r="E670" t="s">
        <v>1225</v>
      </c>
      <c r="F670">
        <v>3</v>
      </c>
      <c r="G670" t="s">
        <v>1258</v>
      </c>
      <c r="H670" s="2">
        <v>672</v>
      </c>
      <c r="I670" t="s">
        <v>1224</v>
      </c>
      <c r="J670" s="2">
        <f>INDEX(Positions!$A:$A,MATCH(E670,Positions!$B:$B,0))</f>
        <v>50</v>
      </c>
      <c r="K670" s="2">
        <f>INDEX(Locations!$A:$A,MATCH(I670,Locations!$B:$B,0))</f>
        <v>9</v>
      </c>
    </row>
    <row r="671" spans="1:11" x14ac:dyDescent="0.2">
      <c r="A671" s="3">
        <v>670</v>
      </c>
      <c r="B671" t="s">
        <v>273</v>
      </c>
      <c r="C671" t="s">
        <v>175</v>
      </c>
      <c r="D671" s="1">
        <v>33135</v>
      </c>
      <c r="E671" t="s">
        <v>1225</v>
      </c>
      <c r="F671">
        <v>3</v>
      </c>
      <c r="G671" t="s">
        <v>1259</v>
      </c>
      <c r="H671" s="2">
        <v>662</v>
      </c>
      <c r="I671" t="s">
        <v>233</v>
      </c>
      <c r="J671" s="2">
        <f>INDEX(Positions!$A:$A,MATCH(E671,Positions!$B:$B,0))</f>
        <v>50</v>
      </c>
      <c r="K671" s="2">
        <f>INDEX(Locations!$A:$A,MATCH(I671,Locations!$B:$B,0))</f>
        <v>11</v>
      </c>
    </row>
    <row r="672" spans="1:11" x14ac:dyDescent="0.2">
      <c r="A672" s="3">
        <v>671</v>
      </c>
      <c r="B672" t="s">
        <v>67</v>
      </c>
      <c r="C672" t="s">
        <v>254</v>
      </c>
      <c r="D672" s="1">
        <v>34997</v>
      </c>
      <c r="E672" t="s">
        <v>1216</v>
      </c>
      <c r="F672">
        <v>2</v>
      </c>
      <c r="G672" t="s">
        <v>1260</v>
      </c>
      <c r="H672" s="2">
        <v>672</v>
      </c>
      <c r="I672" t="s">
        <v>92</v>
      </c>
      <c r="J672" s="2">
        <f>INDEX(Positions!$A:$A,MATCH(E672,Positions!$B:$B,0))</f>
        <v>14</v>
      </c>
      <c r="K672" s="2">
        <f>INDEX(Locations!$A:$A,MATCH(I672,Locations!$B:$B,0))</f>
        <v>6</v>
      </c>
    </row>
    <row r="673" spans="1:11" x14ac:dyDescent="0.2">
      <c r="A673" s="3">
        <v>672</v>
      </c>
      <c r="B673" t="s">
        <v>461</v>
      </c>
      <c r="C673" t="s">
        <v>556</v>
      </c>
      <c r="D673" s="1">
        <v>32231</v>
      </c>
      <c r="E673" t="s">
        <v>1250</v>
      </c>
      <c r="F673">
        <v>5</v>
      </c>
      <c r="G673" t="s">
        <v>1261</v>
      </c>
      <c r="H673" s="2">
        <v>660</v>
      </c>
      <c r="I673" t="s">
        <v>1224</v>
      </c>
      <c r="J673" s="2">
        <f>INDEX(Positions!$A:$A,MATCH(E673,Positions!$B:$B,0))</f>
        <v>78</v>
      </c>
      <c r="K673" s="2">
        <f>INDEX(Locations!$A:$A,MATCH(I673,Locations!$B:$B,0))</f>
        <v>9</v>
      </c>
    </row>
    <row r="674" spans="1:11" x14ac:dyDescent="0.2">
      <c r="A674" s="3">
        <v>673</v>
      </c>
      <c r="B674" t="s">
        <v>475</v>
      </c>
      <c r="C674" t="s">
        <v>103</v>
      </c>
      <c r="D674" s="1">
        <v>34067</v>
      </c>
      <c r="E674" t="s">
        <v>1262</v>
      </c>
      <c r="F674">
        <v>4</v>
      </c>
      <c r="G674" t="s">
        <v>1263</v>
      </c>
      <c r="H674" s="2">
        <v>672</v>
      </c>
      <c r="I674" t="s">
        <v>1224</v>
      </c>
      <c r="J674" s="2">
        <f>INDEX(Positions!$A:$A,MATCH(E674,Positions!$B:$B,0))</f>
        <v>59</v>
      </c>
      <c r="K674" s="2">
        <f>INDEX(Locations!$A:$A,MATCH(I674,Locations!$B:$B,0))</f>
        <v>9</v>
      </c>
    </row>
    <row r="675" spans="1:11" x14ac:dyDescent="0.2">
      <c r="A675" s="3">
        <v>674</v>
      </c>
      <c r="B675" t="s">
        <v>397</v>
      </c>
      <c r="C675" t="s">
        <v>542</v>
      </c>
      <c r="D675" s="1">
        <v>35198</v>
      </c>
      <c r="E675" t="s">
        <v>1225</v>
      </c>
      <c r="F675">
        <v>3</v>
      </c>
      <c r="G675" t="s">
        <v>1264</v>
      </c>
      <c r="H675" s="2">
        <v>664</v>
      </c>
      <c r="I675" t="s">
        <v>89</v>
      </c>
      <c r="J675" s="2">
        <f>INDEX(Positions!$A:$A,MATCH(E675,Positions!$B:$B,0))</f>
        <v>50</v>
      </c>
      <c r="K675" s="2">
        <f>INDEX(Locations!$A:$A,MATCH(I675,Locations!$B:$B,0))</f>
        <v>8</v>
      </c>
    </row>
    <row r="676" spans="1:11" x14ac:dyDescent="0.2">
      <c r="A676" s="3">
        <v>675</v>
      </c>
      <c r="B676" t="s">
        <v>385</v>
      </c>
      <c r="C676" t="s">
        <v>324</v>
      </c>
      <c r="D676" s="1">
        <v>30972</v>
      </c>
      <c r="E676" t="s">
        <v>1216</v>
      </c>
      <c r="F676">
        <v>2</v>
      </c>
      <c r="G676" t="s">
        <v>1265</v>
      </c>
      <c r="H676" s="2">
        <v>662</v>
      </c>
      <c r="I676" t="s">
        <v>233</v>
      </c>
      <c r="J676" s="2">
        <f>INDEX(Positions!$A:$A,MATCH(E676,Positions!$B:$B,0))</f>
        <v>14</v>
      </c>
      <c r="K676" s="2">
        <f>INDEX(Locations!$A:$A,MATCH(I676,Locations!$B:$B,0))</f>
        <v>11</v>
      </c>
    </row>
    <row r="677" spans="1:11" x14ac:dyDescent="0.2">
      <c r="A677" s="3">
        <v>676</v>
      </c>
      <c r="B677" t="s">
        <v>207</v>
      </c>
      <c r="C677" t="s">
        <v>429</v>
      </c>
      <c r="D677" s="1">
        <v>33340</v>
      </c>
      <c r="E677" t="s">
        <v>1216</v>
      </c>
      <c r="F677">
        <v>2</v>
      </c>
      <c r="G677" t="s">
        <v>1266</v>
      </c>
      <c r="H677" s="2">
        <v>664</v>
      </c>
      <c r="I677" t="s">
        <v>89</v>
      </c>
      <c r="J677" s="2">
        <f>INDEX(Positions!$A:$A,MATCH(E677,Positions!$B:$B,0))</f>
        <v>14</v>
      </c>
      <c r="K677" s="2">
        <f>INDEX(Locations!$A:$A,MATCH(I677,Locations!$B:$B,0))</f>
        <v>8</v>
      </c>
    </row>
    <row r="678" spans="1:11" x14ac:dyDescent="0.2">
      <c r="A678" s="3">
        <v>677</v>
      </c>
      <c r="B678" t="s">
        <v>417</v>
      </c>
      <c r="C678" t="s">
        <v>395</v>
      </c>
      <c r="D678" s="1">
        <v>32322</v>
      </c>
      <c r="E678" t="s">
        <v>1225</v>
      </c>
      <c r="F678">
        <v>3</v>
      </c>
      <c r="G678" t="s">
        <v>1267</v>
      </c>
      <c r="H678" s="2">
        <v>662</v>
      </c>
      <c r="I678" t="s">
        <v>233</v>
      </c>
      <c r="J678" s="2">
        <f>INDEX(Positions!$A:$A,MATCH(E678,Positions!$B:$B,0))</f>
        <v>50</v>
      </c>
      <c r="K678" s="2">
        <f>INDEX(Locations!$A:$A,MATCH(I678,Locations!$B:$B,0))</f>
        <v>11</v>
      </c>
    </row>
    <row r="679" spans="1:11" x14ac:dyDescent="0.2">
      <c r="A679" s="3">
        <v>678</v>
      </c>
      <c r="B679" t="s">
        <v>216</v>
      </c>
      <c r="C679" t="s">
        <v>407</v>
      </c>
      <c r="D679" s="1">
        <v>35224</v>
      </c>
      <c r="E679" t="s">
        <v>1218</v>
      </c>
      <c r="F679">
        <v>1</v>
      </c>
      <c r="G679" t="s">
        <v>1268</v>
      </c>
      <c r="H679" s="2">
        <v>672</v>
      </c>
      <c r="I679" t="s">
        <v>1224</v>
      </c>
      <c r="J679" s="2">
        <f>INDEX(Positions!$A:$A,MATCH(E679,Positions!$B:$B,0))</f>
        <v>9</v>
      </c>
      <c r="K679" s="2">
        <f>INDEX(Locations!$A:$A,MATCH(I679,Locations!$B:$B,0))</f>
        <v>9</v>
      </c>
    </row>
    <row r="680" spans="1:11" x14ac:dyDescent="0.2">
      <c r="A680" s="3">
        <v>679</v>
      </c>
      <c r="B680" t="s">
        <v>230</v>
      </c>
      <c r="C680" t="s">
        <v>451</v>
      </c>
      <c r="D680" s="1">
        <v>30703</v>
      </c>
      <c r="E680" t="s">
        <v>1250</v>
      </c>
      <c r="F680">
        <v>5</v>
      </c>
      <c r="G680" t="s">
        <v>1269</v>
      </c>
      <c r="H680" s="2">
        <v>659</v>
      </c>
      <c r="I680" t="s">
        <v>233</v>
      </c>
      <c r="J680" s="2">
        <f>INDEX(Positions!$A:$A,MATCH(E680,Positions!$B:$B,0))</f>
        <v>78</v>
      </c>
      <c r="K680" s="2">
        <f>INDEX(Locations!$A:$A,MATCH(I680,Locations!$B:$B,0))</f>
        <v>11</v>
      </c>
    </row>
    <row r="681" spans="1:11" x14ac:dyDescent="0.2">
      <c r="A681" s="3">
        <v>680</v>
      </c>
      <c r="B681" t="s">
        <v>170</v>
      </c>
      <c r="C681" t="s">
        <v>108</v>
      </c>
      <c r="D681" s="1">
        <v>34209</v>
      </c>
      <c r="E681" t="s">
        <v>1262</v>
      </c>
      <c r="F681">
        <v>4</v>
      </c>
      <c r="G681" t="s">
        <v>1270</v>
      </c>
      <c r="H681" s="2">
        <v>664</v>
      </c>
      <c r="I681" t="s">
        <v>89</v>
      </c>
      <c r="J681" s="2">
        <f>INDEX(Positions!$A:$A,MATCH(E681,Positions!$B:$B,0))</f>
        <v>59</v>
      </c>
      <c r="K681" s="2">
        <f>INDEX(Locations!$A:$A,MATCH(I681,Locations!$B:$B,0))</f>
        <v>8</v>
      </c>
    </row>
    <row r="682" spans="1:11" x14ac:dyDescent="0.2">
      <c r="A682" s="3">
        <v>681</v>
      </c>
      <c r="B682" t="s">
        <v>330</v>
      </c>
      <c r="C682" t="s">
        <v>91</v>
      </c>
      <c r="D682" s="1">
        <v>38137</v>
      </c>
      <c r="E682" t="s">
        <v>1216</v>
      </c>
      <c r="F682">
        <v>2</v>
      </c>
      <c r="G682" t="s">
        <v>548</v>
      </c>
      <c r="H682" s="2">
        <v>679</v>
      </c>
      <c r="I682" t="s">
        <v>92</v>
      </c>
      <c r="J682" s="2">
        <f>INDEX(Positions!$A:$A,MATCH(E682,Positions!$B:$B,0))</f>
        <v>14</v>
      </c>
      <c r="K682" s="2">
        <f>INDEX(Locations!$A:$A,MATCH(I682,Locations!$B:$B,0))</f>
        <v>6</v>
      </c>
    </row>
    <row r="683" spans="1:11" x14ac:dyDescent="0.2">
      <c r="A683" s="3">
        <v>682</v>
      </c>
      <c r="B683" t="s">
        <v>211</v>
      </c>
      <c r="C683" t="s">
        <v>341</v>
      </c>
      <c r="D683" s="1">
        <v>33737</v>
      </c>
      <c r="E683" t="s">
        <v>1216</v>
      </c>
      <c r="F683">
        <v>2</v>
      </c>
      <c r="G683" t="s">
        <v>1271</v>
      </c>
      <c r="H683" s="2">
        <v>679</v>
      </c>
      <c r="I683" t="s">
        <v>233</v>
      </c>
      <c r="J683" s="2">
        <f>INDEX(Positions!$A:$A,MATCH(E683,Positions!$B:$B,0))</f>
        <v>14</v>
      </c>
      <c r="K683" s="2">
        <f>INDEX(Locations!$A:$A,MATCH(I683,Locations!$B:$B,0))</f>
        <v>11</v>
      </c>
    </row>
    <row r="684" spans="1:11" x14ac:dyDescent="0.2">
      <c r="A684" s="3">
        <v>683</v>
      </c>
      <c r="B684" t="s">
        <v>947</v>
      </c>
      <c r="C684" t="s">
        <v>260</v>
      </c>
      <c r="D684" s="1">
        <v>35637</v>
      </c>
      <c r="E684" t="s">
        <v>1216</v>
      </c>
      <c r="F684">
        <v>2</v>
      </c>
      <c r="G684" t="s">
        <v>1272</v>
      </c>
      <c r="H684" s="2">
        <v>672</v>
      </c>
      <c r="I684" t="s">
        <v>1224</v>
      </c>
      <c r="J684" s="2">
        <f>INDEX(Positions!$A:$A,MATCH(E684,Positions!$B:$B,0))</f>
        <v>14</v>
      </c>
      <c r="K684" s="2">
        <f>INDEX(Locations!$A:$A,MATCH(I684,Locations!$B:$B,0))</f>
        <v>9</v>
      </c>
    </row>
    <row r="685" spans="1:11" x14ac:dyDescent="0.2">
      <c r="A685" s="3">
        <v>684</v>
      </c>
      <c r="B685" t="s">
        <v>127</v>
      </c>
      <c r="C685" t="s">
        <v>145</v>
      </c>
      <c r="D685" s="1">
        <v>36519</v>
      </c>
      <c r="E685" t="s">
        <v>1218</v>
      </c>
      <c r="F685">
        <v>1</v>
      </c>
      <c r="G685" t="s">
        <v>1273</v>
      </c>
      <c r="H685" s="2">
        <v>662</v>
      </c>
      <c r="I685" t="s">
        <v>233</v>
      </c>
      <c r="J685" s="2">
        <f>INDEX(Positions!$A:$A,MATCH(E685,Positions!$B:$B,0))</f>
        <v>9</v>
      </c>
      <c r="K685" s="2">
        <f>INDEX(Locations!$A:$A,MATCH(I685,Locations!$B:$B,0))</f>
        <v>11</v>
      </c>
    </row>
    <row r="686" spans="1:11" x14ac:dyDescent="0.2">
      <c r="A686" s="3">
        <v>685</v>
      </c>
      <c r="B686" t="s">
        <v>320</v>
      </c>
      <c r="C686" t="s">
        <v>512</v>
      </c>
      <c r="D686" s="1">
        <v>35177</v>
      </c>
      <c r="E686" t="s">
        <v>1216</v>
      </c>
      <c r="F686">
        <v>2</v>
      </c>
      <c r="G686" t="s">
        <v>1274</v>
      </c>
      <c r="H686" s="2">
        <v>666</v>
      </c>
      <c r="I686" t="s">
        <v>233</v>
      </c>
      <c r="J686" s="2">
        <f>INDEX(Positions!$A:$A,MATCH(E686,Positions!$B:$B,0))</f>
        <v>14</v>
      </c>
      <c r="K686" s="2">
        <f>INDEX(Locations!$A:$A,MATCH(I686,Locations!$B:$B,0))</f>
        <v>11</v>
      </c>
    </row>
    <row r="687" spans="1:11" x14ac:dyDescent="0.2">
      <c r="A687" s="3">
        <v>686</v>
      </c>
      <c r="B687" t="s">
        <v>248</v>
      </c>
      <c r="C687" t="s">
        <v>342</v>
      </c>
      <c r="D687" s="1">
        <v>33641</v>
      </c>
      <c r="E687" t="s">
        <v>1225</v>
      </c>
      <c r="F687">
        <v>3</v>
      </c>
      <c r="G687" t="s">
        <v>1275</v>
      </c>
      <c r="H687" s="2">
        <v>666</v>
      </c>
      <c r="I687" t="s">
        <v>233</v>
      </c>
      <c r="J687" s="2">
        <f>INDEX(Positions!$A:$A,MATCH(E687,Positions!$B:$B,0))</f>
        <v>50</v>
      </c>
      <c r="K687" s="2">
        <f>INDEX(Locations!$A:$A,MATCH(I687,Locations!$B:$B,0))</f>
        <v>11</v>
      </c>
    </row>
    <row r="688" spans="1:11" x14ac:dyDescent="0.2">
      <c r="A688" s="3">
        <v>687</v>
      </c>
      <c r="B688" t="s">
        <v>139</v>
      </c>
      <c r="C688" t="s">
        <v>123</v>
      </c>
      <c r="D688" s="1">
        <v>34106</v>
      </c>
      <c r="E688" t="s">
        <v>1216</v>
      </c>
      <c r="F688">
        <v>2</v>
      </c>
      <c r="G688" t="s">
        <v>1276</v>
      </c>
      <c r="H688" s="2">
        <v>679</v>
      </c>
      <c r="I688" t="s">
        <v>233</v>
      </c>
      <c r="J688" s="2">
        <f>INDEX(Positions!$A:$A,MATCH(E688,Positions!$B:$B,0))</f>
        <v>14</v>
      </c>
      <c r="K688" s="2">
        <f>INDEX(Locations!$A:$A,MATCH(I688,Locations!$B:$B,0))</f>
        <v>11</v>
      </c>
    </row>
    <row r="689" spans="1:11" x14ac:dyDescent="0.2">
      <c r="A689" s="3">
        <v>688</v>
      </c>
      <c r="B689" t="s">
        <v>298</v>
      </c>
      <c r="C689" t="s">
        <v>126</v>
      </c>
      <c r="D689" s="1">
        <v>36221</v>
      </c>
      <c r="E689" t="s">
        <v>1216</v>
      </c>
      <c r="F689">
        <v>2</v>
      </c>
      <c r="G689" t="s">
        <v>1277</v>
      </c>
      <c r="H689" s="2">
        <v>666</v>
      </c>
      <c r="I689" t="s">
        <v>233</v>
      </c>
      <c r="J689" s="2">
        <f>INDEX(Positions!$A:$A,MATCH(E689,Positions!$B:$B,0))</f>
        <v>14</v>
      </c>
      <c r="K689" s="2">
        <f>INDEX(Locations!$A:$A,MATCH(I689,Locations!$B:$B,0))</f>
        <v>11</v>
      </c>
    </row>
    <row r="690" spans="1:11" x14ac:dyDescent="0.2">
      <c r="A690" s="3">
        <v>689</v>
      </c>
      <c r="B690" t="s">
        <v>528</v>
      </c>
      <c r="C690" t="s">
        <v>286</v>
      </c>
      <c r="D690" s="1">
        <v>38102</v>
      </c>
      <c r="E690" t="s">
        <v>1216</v>
      </c>
      <c r="F690">
        <v>2</v>
      </c>
      <c r="G690" t="s">
        <v>1278</v>
      </c>
      <c r="H690" s="2">
        <v>664</v>
      </c>
      <c r="I690" t="s">
        <v>89</v>
      </c>
      <c r="J690" s="2">
        <f>INDEX(Positions!$A:$A,MATCH(E690,Positions!$B:$B,0))</f>
        <v>14</v>
      </c>
      <c r="K690" s="2">
        <f>INDEX(Locations!$A:$A,MATCH(I690,Locations!$B:$B,0))</f>
        <v>8</v>
      </c>
    </row>
    <row r="691" spans="1:11" x14ac:dyDescent="0.2">
      <c r="A691" s="3">
        <v>690</v>
      </c>
      <c r="B691" t="s">
        <v>498</v>
      </c>
      <c r="C691" t="s">
        <v>262</v>
      </c>
      <c r="D691" s="1">
        <v>34522</v>
      </c>
      <c r="E691" t="s">
        <v>1218</v>
      </c>
      <c r="F691">
        <v>1</v>
      </c>
      <c r="G691" t="s">
        <v>1279</v>
      </c>
      <c r="H691" s="2">
        <v>662</v>
      </c>
      <c r="I691" t="s">
        <v>233</v>
      </c>
      <c r="J691" s="2">
        <f>INDEX(Positions!$A:$A,MATCH(E691,Positions!$B:$B,0))</f>
        <v>9</v>
      </c>
      <c r="K691" s="2">
        <f>INDEX(Locations!$A:$A,MATCH(I691,Locations!$B:$B,0))</f>
        <v>11</v>
      </c>
    </row>
    <row r="692" spans="1:11" x14ac:dyDescent="0.2">
      <c r="A692" s="3">
        <v>691</v>
      </c>
      <c r="B692" t="s">
        <v>426</v>
      </c>
      <c r="C692" t="s">
        <v>532</v>
      </c>
      <c r="D692" s="1">
        <v>35382</v>
      </c>
      <c r="E692" t="s">
        <v>1218</v>
      </c>
      <c r="F692">
        <v>1</v>
      </c>
      <c r="G692" t="s">
        <v>1280</v>
      </c>
      <c r="H692" s="2">
        <v>664</v>
      </c>
      <c r="I692" t="s">
        <v>89</v>
      </c>
      <c r="J692" s="2">
        <f>INDEX(Positions!$A:$A,MATCH(E692,Positions!$B:$B,0))</f>
        <v>9</v>
      </c>
      <c r="K692" s="2">
        <f>INDEX(Locations!$A:$A,MATCH(I692,Locations!$B:$B,0))</f>
        <v>8</v>
      </c>
    </row>
    <row r="693" spans="1:11" x14ac:dyDescent="0.2">
      <c r="A693" s="3">
        <v>692</v>
      </c>
      <c r="B693" t="s">
        <v>273</v>
      </c>
      <c r="C693" t="s">
        <v>582</v>
      </c>
      <c r="D693" s="1">
        <v>36621</v>
      </c>
      <c r="E693" t="s">
        <v>1218</v>
      </c>
      <c r="F693">
        <v>1</v>
      </c>
      <c r="G693" t="s">
        <v>1281</v>
      </c>
      <c r="H693" s="2">
        <v>664</v>
      </c>
      <c r="I693" t="s">
        <v>89</v>
      </c>
      <c r="J693" s="2">
        <f>INDEX(Positions!$A:$A,MATCH(E693,Positions!$B:$B,0))</f>
        <v>9</v>
      </c>
      <c r="K693" s="2">
        <f>INDEX(Locations!$A:$A,MATCH(I693,Locations!$B:$B,0))</f>
        <v>8</v>
      </c>
    </row>
    <row r="694" spans="1:11" x14ac:dyDescent="0.2">
      <c r="A694" s="3">
        <v>693</v>
      </c>
      <c r="B694" t="s">
        <v>319</v>
      </c>
      <c r="C694" t="s">
        <v>372</v>
      </c>
      <c r="D694" s="1">
        <v>38742</v>
      </c>
      <c r="E694" t="s">
        <v>1218</v>
      </c>
      <c r="F694">
        <v>1</v>
      </c>
      <c r="G694" t="s">
        <v>1282</v>
      </c>
      <c r="H694" s="2">
        <v>679</v>
      </c>
      <c r="I694" t="s">
        <v>233</v>
      </c>
      <c r="J694" s="2">
        <f>INDEX(Positions!$A:$A,MATCH(E694,Positions!$B:$B,0))</f>
        <v>9</v>
      </c>
      <c r="K694" s="2">
        <f>INDEX(Locations!$A:$A,MATCH(I694,Locations!$B:$B,0))</f>
        <v>11</v>
      </c>
    </row>
    <row r="695" spans="1:11" x14ac:dyDescent="0.2">
      <c r="A695" s="3">
        <v>694</v>
      </c>
      <c r="B695" t="s">
        <v>447</v>
      </c>
      <c r="C695" t="s">
        <v>286</v>
      </c>
      <c r="D695" s="1">
        <v>34801</v>
      </c>
      <c r="E695" t="s">
        <v>1216</v>
      </c>
      <c r="F695">
        <v>2</v>
      </c>
      <c r="G695" t="s">
        <v>1283</v>
      </c>
      <c r="H695" s="2">
        <v>666</v>
      </c>
      <c r="I695" t="s">
        <v>233</v>
      </c>
      <c r="J695" s="2">
        <f>INDEX(Positions!$A:$A,MATCH(E695,Positions!$B:$B,0))</f>
        <v>14</v>
      </c>
      <c r="K695" s="2">
        <f>INDEX(Locations!$A:$A,MATCH(I695,Locations!$B:$B,0))</f>
        <v>11</v>
      </c>
    </row>
    <row r="696" spans="1:11" x14ac:dyDescent="0.2">
      <c r="A696" s="3">
        <v>695</v>
      </c>
      <c r="B696" t="s">
        <v>323</v>
      </c>
      <c r="C696" t="s">
        <v>340</v>
      </c>
      <c r="D696" s="1">
        <v>36075</v>
      </c>
      <c r="E696" t="s">
        <v>1262</v>
      </c>
      <c r="F696">
        <v>4</v>
      </c>
      <c r="G696" t="s">
        <v>1284</v>
      </c>
      <c r="H696" s="2">
        <v>666</v>
      </c>
      <c r="I696" t="s">
        <v>233</v>
      </c>
      <c r="J696" s="2">
        <f>INDEX(Positions!$A:$A,MATCH(E696,Positions!$B:$B,0))</f>
        <v>59</v>
      </c>
      <c r="K696" s="2">
        <f>INDEX(Locations!$A:$A,MATCH(I696,Locations!$B:$B,0))</f>
        <v>11</v>
      </c>
    </row>
    <row r="697" spans="1:11" x14ac:dyDescent="0.2">
      <c r="A697" s="3">
        <v>696</v>
      </c>
      <c r="B697" t="s">
        <v>404</v>
      </c>
      <c r="C697" t="s">
        <v>304</v>
      </c>
      <c r="D697" s="1">
        <v>38809</v>
      </c>
      <c r="E697" t="s">
        <v>1218</v>
      </c>
      <c r="F697">
        <v>1</v>
      </c>
      <c r="G697" t="s">
        <v>1285</v>
      </c>
      <c r="H697" s="2">
        <v>672</v>
      </c>
      <c r="I697" t="s">
        <v>1224</v>
      </c>
      <c r="J697" s="2">
        <f>INDEX(Positions!$A:$A,MATCH(E697,Positions!$B:$B,0))</f>
        <v>9</v>
      </c>
      <c r="K697" s="2">
        <f>INDEX(Locations!$A:$A,MATCH(I697,Locations!$B:$B,0))</f>
        <v>9</v>
      </c>
    </row>
    <row r="698" spans="1:11" x14ac:dyDescent="0.2">
      <c r="A698" s="3">
        <v>697</v>
      </c>
      <c r="B698" t="s">
        <v>176</v>
      </c>
      <c r="C698" t="s">
        <v>113</v>
      </c>
      <c r="D698" s="1">
        <v>37795</v>
      </c>
      <c r="E698" t="s">
        <v>1225</v>
      </c>
      <c r="F698">
        <v>3</v>
      </c>
      <c r="G698" t="s">
        <v>1286</v>
      </c>
      <c r="H698" s="2">
        <v>672</v>
      </c>
      <c r="I698" t="s">
        <v>92</v>
      </c>
      <c r="J698" s="2">
        <f>INDEX(Positions!$A:$A,MATCH(E698,Positions!$B:$B,0))</f>
        <v>50</v>
      </c>
      <c r="K698" s="2">
        <f>INDEX(Locations!$A:$A,MATCH(I698,Locations!$B:$B,0))</f>
        <v>6</v>
      </c>
    </row>
    <row r="699" spans="1:11" x14ac:dyDescent="0.2">
      <c r="A699" s="3">
        <v>698</v>
      </c>
      <c r="B699" t="s">
        <v>383</v>
      </c>
      <c r="C699" t="s">
        <v>438</v>
      </c>
      <c r="D699" s="1">
        <v>38881</v>
      </c>
      <c r="E699" t="s">
        <v>1218</v>
      </c>
      <c r="F699">
        <v>1</v>
      </c>
      <c r="G699" t="s">
        <v>1287</v>
      </c>
      <c r="H699" s="2">
        <v>679</v>
      </c>
      <c r="I699" t="s">
        <v>233</v>
      </c>
      <c r="J699" s="2">
        <f>INDEX(Positions!$A:$A,MATCH(E699,Positions!$B:$B,0))</f>
        <v>9</v>
      </c>
      <c r="K699" s="2">
        <f>INDEX(Locations!$A:$A,MATCH(I699,Locations!$B:$B,0))</f>
        <v>11</v>
      </c>
    </row>
    <row r="700" spans="1:11" x14ac:dyDescent="0.2">
      <c r="A700" s="3">
        <v>699</v>
      </c>
      <c r="B700" t="s">
        <v>320</v>
      </c>
      <c r="C700" t="s">
        <v>1012</v>
      </c>
      <c r="D700" s="1">
        <v>37187</v>
      </c>
      <c r="E700" t="s">
        <v>1218</v>
      </c>
      <c r="F700">
        <v>1</v>
      </c>
      <c r="G700" t="s">
        <v>1288</v>
      </c>
      <c r="H700" s="2">
        <v>679</v>
      </c>
      <c r="I700" t="s">
        <v>233</v>
      </c>
      <c r="J700" s="2">
        <f>INDEX(Positions!$A:$A,MATCH(E700,Positions!$B:$B,0))</f>
        <v>9</v>
      </c>
      <c r="K700" s="2">
        <f>INDEX(Locations!$A:$A,MATCH(I700,Locations!$B:$B,0))</f>
        <v>11</v>
      </c>
    </row>
    <row r="701" spans="1:11" x14ac:dyDescent="0.2">
      <c r="A701" s="3">
        <v>700</v>
      </c>
      <c r="B701" t="s">
        <v>370</v>
      </c>
      <c r="C701" t="s">
        <v>177</v>
      </c>
      <c r="D701" s="1">
        <v>33552</v>
      </c>
      <c r="E701" t="s">
        <v>1216</v>
      </c>
      <c r="F701">
        <v>2</v>
      </c>
      <c r="G701" t="s">
        <v>1289</v>
      </c>
      <c r="H701" s="2">
        <v>662</v>
      </c>
      <c r="I701" t="s">
        <v>233</v>
      </c>
      <c r="J701" s="2">
        <f>INDEX(Positions!$A:$A,MATCH(E701,Positions!$B:$B,0))</f>
        <v>14</v>
      </c>
      <c r="K701" s="2">
        <f>INDEX(Locations!$A:$A,MATCH(I701,Locations!$B:$B,0))</f>
        <v>11</v>
      </c>
    </row>
    <row r="702" spans="1:11" x14ac:dyDescent="0.2">
      <c r="A702" s="3">
        <v>701</v>
      </c>
      <c r="B702" t="s">
        <v>461</v>
      </c>
      <c r="C702" t="s">
        <v>64</v>
      </c>
      <c r="D702" s="1">
        <v>31326</v>
      </c>
      <c r="E702" t="s">
        <v>1216</v>
      </c>
      <c r="F702">
        <v>2</v>
      </c>
      <c r="G702" t="s">
        <v>1290</v>
      </c>
      <c r="H702" s="2">
        <v>666</v>
      </c>
      <c r="I702" t="s">
        <v>233</v>
      </c>
      <c r="J702" s="2">
        <f>INDEX(Positions!$A:$A,MATCH(E702,Positions!$B:$B,0))</f>
        <v>14</v>
      </c>
      <c r="K702" s="2">
        <f>INDEX(Locations!$A:$A,MATCH(I702,Locations!$B:$B,0))</f>
        <v>11</v>
      </c>
    </row>
    <row r="703" spans="1:11" x14ac:dyDescent="0.2">
      <c r="A703" s="3">
        <v>702</v>
      </c>
      <c r="B703" t="s">
        <v>337</v>
      </c>
      <c r="C703" t="s">
        <v>304</v>
      </c>
      <c r="D703" s="1">
        <v>27440</v>
      </c>
      <c r="E703" t="s">
        <v>1250</v>
      </c>
      <c r="F703">
        <v>5</v>
      </c>
      <c r="G703" t="s">
        <v>1291</v>
      </c>
      <c r="H703" s="2">
        <v>660</v>
      </c>
      <c r="I703" t="s">
        <v>1224</v>
      </c>
      <c r="J703" s="2">
        <f>INDEX(Positions!$A:$A,MATCH(E703,Positions!$B:$B,0))</f>
        <v>78</v>
      </c>
      <c r="K703" s="2">
        <f>INDEX(Locations!$A:$A,MATCH(I703,Locations!$B:$B,0))</f>
        <v>9</v>
      </c>
    </row>
    <row r="704" spans="1:11" x14ac:dyDescent="0.2">
      <c r="A704" s="3">
        <v>703</v>
      </c>
      <c r="B704" t="s">
        <v>150</v>
      </c>
      <c r="C704" t="s">
        <v>321</v>
      </c>
      <c r="D704" s="1">
        <v>35964</v>
      </c>
      <c r="E704" t="s">
        <v>1225</v>
      </c>
      <c r="F704">
        <v>3</v>
      </c>
      <c r="G704" t="s">
        <v>1292</v>
      </c>
      <c r="H704" s="2">
        <v>664</v>
      </c>
      <c r="I704" t="s">
        <v>89</v>
      </c>
      <c r="J704" s="2">
        <f>INDEX(Positions!$A:$A,MATCH(E704,Positions!$B:$B,0))</f>
        <v>50</v>
      </c>
      <c r="K704" s="2">
        <f>INDEX(Locations!$A:$A,MATCH(I704,Locations!$B:$B,0))</f>
        <v>8</v>
      </c>
    </row>
    <row r="705" spans="1:11" x14ac:dyDescent="0.2">
      <c r="A705" s="3">
        <v>704</v>
      </c>
      <c r="B705" t="s">
        <v>401</v>
      </c>
      <c r="C705" t="s">
        <v>280</v>
      </c>
      <c r="D705" s="1">
        <v>36903</v>
      </c>
      <c r="E705" t="s">
        <v>1218</v>
      </c>
      <c r="F705">
        <v>1</v>
      </c>
      <c r="G705" t="s">
        <v>1293</v>
      </c>
      <c r="H705" s="2">
        <v>666</v>
      </c>
      <c r="I705" t="s">
        <v>233</v>
      </c>
      <c r="J705" s="2">
        <f>INDEX(Positions!$A:$A,MATCH(E705,Positions!$B:$B,0))</f>
        <v>9</v>
      </c>
      <c r="K705" s="2">
        <f>INDEX(Locations!$A:$A,MATCH(I705,Locations!$B:$B,0))</f>
        <v>11</v>
      </c>
    </row>
    <row r="706" spans="1:11" x14ac:dyDescent="0.2">
      <c r="A706" s="3">
        <v>705</v>
      </c>
      <c r="B706" t="s">
        <v>376</v>
      </c>
      <c r="C706" t="s">
        <v>320</v>
      </c>
      <c r="D706" s="1">
        <v>33557</v>
      </c>
      <c r="E706" t="s">
        <v>1262</v>
      </c>
      <c r="F706">
        <v>4</v>
      </c>
      <c r="G706" t="s">
        <v>1294</v>
      </c>
      <c r="H706" s="2">
        <v>702</v>
      </c>
      <c r="I706" t="s">
        <v>1224</v>
      </c>
      <c r="J706" s="2">
        <f>INDEX(Positions!$A:$A,MATCH(E706,Positions!$B:$B,0))</f>
        <v>59</v>
      </c>
      <c r="K706" s="2">
        <f>INDEX(Locations!$A:$A,MATCH(I706,Locations!$B:$B,0))</f>
        <v>9</v>
      </c>
    </row>
    <row r="707" spans="1:11" x14ac:dyDescent="0.2">
      <c r="A707" s="3">
        <v>706</v>
      </c>
      <c r="B707" t="s">
        <v>533</v>
      </c>
      <c r="C707" t="s">
        <v>120</v>
      </c>
      <c r="D707" s="1">
        <v>39039</v>
      </c>
      <c r="E707" t="s">
        <v>1218</v>
      </c>
      <c r="F707">
        <v>1</v>
      </c>
      <c r="G707" t="s">
        <v>1295</v>
      </c>
      <c r="H707" s="2">
        <v>679</v>
      </c>
      <c r="I707" t="s">
        <v>92</v>
      </c>
      <c r="J707" s="2">
        <f>INDEX(Positions!$A:$A,MATCH(E707,Positions!$B:$B,0))</f>
        <v>9</v>
      </c>
      <c r="K707" s="2">
        <f>INDEX(Locations!$A:$A,MATCH(I707,Locations!$B:$B,0))</f>
        <v>6</v>
      </c>
    </row>
    <row r="708" spans="1:11" x14ac:dyDescent="0.2">
      <c r="A708" s="3">
        <v>707</v>
      </c>
      <c r="B708" t="s">
        <v>475</v>
      </c>
      <c r="C708" t="s">
        <v>382</v>
      </c>
      <c r="D708" s="1">
        <v>35751</v>
      </c>
      <c r="E708" t="s">
        <v>1218</v>
      </c>
      <c r="F708">
        <v>1</v>
      </c>
      <c r="G708" t="s">
        <v>1296</v>
      </c>
      <c r="H708" s="2">
        <v>702</v>
      </c>
      <c r="I708" t="s">
        <v>1224</v>
      </c>
      <c r="J708" s="2">
        <f>INDEX(Positions!$A:$A,MATCH(E708,Positions!$B:$B,0))</f>
        <v>9</v>
      </c>
      <c r="K708" s="2">
        <f>INDEX(Locations!$A:$A,MATCH(I708,Locations!$B:$B,0))</f>
        <v>9</v>
      </c>
    </row>
    <row r="709" spans="1:11" x14ac:dyDescent="0.2">
      <c r="A709" s="3">
        <v>708</v>
      </c>
      <c r="B709" t="s">
        <v>349</v>
      </c>
      <c r="C709" t="s">
        <v>481</v>
      </c>
      <c r="D709" s="1">
        <v>34321</v>
      </c>
      <c r="E709" t="s">
        <v>1218</v>
      </c>
      <c r="F709">
        <v>1</v>
      </c>
      <c r="G709" t="s">
        <v>1297</v>
      </c>
      <c r="H709" s="2">
        <v>702</v>
      </c>
      <c r="I709" t="s">
        <v>1224</v>
      </c>
      <c r="J709" s="2">
        <f>INDEX(Positions!$A:$A,MATCH(E709,Positions!$B:$B,0))</f>
        <v>9</v>
      </c>
      <c r="K709" s="2">
        <f>INDEX(Locations!$A:$A,MATCH(I709,Locations!$B:$B,0))</f>
        <v>9</v>
      </c>
    </row>
    <row r="710" spans="1:11" x14ac:dyDescent="0.2">
      <c r="A710" s="3">
        <v>709</v>
      </c>
      <c r="B710" t="s">
        <v>189</v>
      </c>
      <c r="C710" t="s">
        <v>225</v>
      </c>
      <c r="D710" s="1">
        <v>32673</v>
      </c>
      <c r="E710" t="s">
        <v>1216</v>
      </c>
      <c r="F710">
        <v>2</v>
      </c>
      <c r="G710" t="s">
        <v>226</v>
      </c>
      <c r="H710" s="2">
        <v>679</v>
      </c>
      <c r="I710" t="s">
        <v>233</v>
      </c>
      <c r="J710" s="2">
        <f>INDEX(Positions!$A:$A,MATCH(E710,Positions!$B:$B,0))</f>
        <v>14</v>
      </c>
      <c r="K710" s="2">
        <f>INDEX(Locations!$A:$A,MATCH(I710,Locations!$B:$B,0))</f>
        <v>11</v>
      </c>
    </row>
    <row r="711" spans="1:11" x14ac:dyDescent="0.2">
      <c r="A711" s="3">
        <v>710</v>
      </c>
      <c r="B711" t="s">
        <v>519</v>
      </c>
      <c r="C711" t="s">
        <v>493</v>
      </c>
      <c r="D711" s="1">
        <v>37513</v>
      </c>
      <c r="E711" t="s">
        <v>1218</v>
      </c>
      <c r="F711">
        <v>1</v>
      </c>
      <c r="G711" t="s">
        <v>1298</v>
      </c>
      <c r="H711" s="2">
        <v>666</v>
      </c>
      <c r="I711" t="s">
        <v>233</v>
      </c>
      <c r="J711" s="2">
        <f>INDEX(Positions!$A:$A,MATCH(E711,Positions!$B:$B,0))</f>
        <v>9</v>
      </c>
      <c r="K711" s="2">
        <f>INDEX(Locations!$A:$A,MATCH(I711,Locations!$B:$B,0))</f>
        <v>11</v>
      </c>
    </row>
    <row r="712" spans="1:11" x14ac:dyDescent="0.2">
      <c r="A712" s="3">
        <v>711</v>
      </c>
      <c r="B712" t="s">
        <v>263</v>
      </c>
      <c r="C712" t="s">
        <v>507</v>
      </c>
      <c r="D712" s="1">
        <v>35532</v>
      </c>
      <c r="E712" t="s">
        <v>1216</v>
      </c>
      <c r="F712">
        <v>2</v>
      </c>
      <c r="G712" t="s">
        <v>1299</v>
      </c>
      <c r="H712" s="2">
        <v>702</v>
      </c>
      <c r="I712" t="s">
        <v>1224</v>
      </c>
      <c r="J712" s="2">
        <f>INDEX(Positions!$A:$A,MATCH(E712,Positions!$B:$B,0))</f>
        <v>14</v>
      </c>
      <c r="K712" s="2">
        <f>INDEX(Locations!$A:$A,MATCH(I712,Locations!$B:$B,0))</f>
        <v>9</v>
      </c>
    </row>
    <row r="713" spans="1:11" x14ac:dyDescent="0.2">
      <c r="A713" s="3">
        <v>712</v>
      </c>
      <c r="B713" t="s">
        <v>483</v>
      </c>
      <c r="C713" t="s">
        <v>444</v>
      </c>
      <c r="D713" s="1">
        <v>36730</v>
      </c>
      <c r="E713" t="s">
        <v>1218</v>
      </c>
      <c r="F713">
        <v>1</v>
      </c>
      <c r="G713" t="s">
        <v>1300</v>
      </c>
      <c r="H713" s="2">
        <v>664</v>
      </c>
      <c r="I713" t="s">
        <v>89</v>
      </c>
      <c r="J713" s="2">
        <f>INDEX(Positions!$A:$A,MATCH(E713,Positions!$B:$B,0))</f>
        <v>9</v>
      </c>
      <c r="K713" s="2">
        <f>INDEX(Locations!$A:$A,MATCH(I713,Locations!$B:$B,0))</f>
        <v>8</v>
      </c>
    </row>
    <row r="714" spans="1:11" x14ac:dyDescent="0.2">
      <c r="A714" s="3">
        <v>713</v>
      </c>
      <c r="B714" t="s">
        <v>381</v>
      </c>
      <c r="C714" t="s">
        <v>512</v>
      </c>
      <c r="D714" s="1">
        <v>39227</v>
      </c>
      <c r="E714" t="s">
        <v>1218</v>
      </c>
      <c r="F714">
        <v>1</v>
      </c>
      <c r="G714" t="s">
        <v>1301</v>
      </c>
      <c r="H714" s="2">
        <v>679</v>
      </c>
      <c r="I714" t="s">
        <v>233</v>
      </c>
      <c r="J714" s="2">
        <f>INDEX(Positions!$A:$A,MATCH(E714,Positions!$B:$B,0))</f>
        <v>9</v>
      </c>
      <c r="K714" s="2">
        <f>INDEX(Locations!$A:$A,MATCH(I714,Locations!$B:$B,0))</f>
        <v>11</v>
      </c>
    </row>
    <row r="715" spans="1:11" x14ac:dyDescent="0.2">
      <c r="A715" s="3">
        <v>714</v>
      </c>
      <c r="B715" t="s">
        <v>186</v>
      </c>
      <c r="C715" t="s">
        <v>386</v>
      </c>
      <c r="D715" s="1">
        <v>35876</v>
      </c>
      <c r="E715" t="s">
        <v>1216</v>
      </c>
      <c r="F715">
        <v>2</v>
      </c>
      <c r="G715" t="s">
        <v>1302</v>
      </c>
      <c r="H715" s="2">
        <v>702</v>
      </c>
      <c r="I715" t="s">
        <v>1224</v>
      </c>
      <c r="J715" s="2">
        <f>INDEX(Positions!$A:$A,MATCH(E715,Positions!$B:$B,0))</f>
        <v>14</v>
      </c>
      <c r="K715" s="2">
        <f>INDEX(Locations!$A:$A,MATCH(I715,Locations!$B:$B,0))</f>
        <v>9</v>
      </c>
    </row>
    <row r="716" spans="1:11" x14ac:dyDescent="0.2">
      <c r="A716" s="3">
        <v>715</v>
      </c>
      <c r="B716" t="s">
        <v>573</v>
      </c>
      <c r="C716" t="s">
        <v>222</v>
      </c>
      <c r="D716" s="1">
        <v>35504</v>
      </c>
      <c r="E716" t="s">
        <v>1218</v>
      </c>
      <c r="F716">
        <v>1</v>
      </c>
      <c r="G716" t="s">
        <v>1303</v>
      </c>
      <c r="H716" s="2">
        <v>662</v>
      </c>
      <c r="I716" t="s">
        <v>233</v>
      </c>
      <c r="J716" s="2">
        <f>INDEX(Positions!$A:$A,MATCH(E716,Positions!$B:$B,0))</f>
        <v>9</v>
      </c>
      <c r="K716" s="2">
        <f>INDEX(Locations!$A:$A,MATCH(I716,Locations!$B:$B,0))</f>
        <v>11</v>
      </c>
    </row>
    <row r="717" spans="1:11" x14ac:dyDescent="0.2">
      <c r="A717" s="3">
        <v>716</v>
      </c>
      <c r="B717" t="s">
        <v>397</v>
      </c>
      <c r="C717" t="s">
        <v>536</v>
      </c>
      <c r="D717" s="1">
        <v>34593</v>
      </c>
      <c r="E717" t="s">
        <v>1218</v>
      </c>
      <c r="F717">
        <v>1</v>
      </c>
      <c r="G717" t="s">
        <v>1304</v>
      </c>
      <c r="H717" s="2">
        <v>702</v>
      </c>
      <c r="I717" t="s">
        <v>1224</v>
      </c>
      <c r="J717" s="2">
        <f>INDEX(Positions!$A:$A,MATCH(E717,Positions!$B:$B,0))</f>
        <v>9</v>
      </c>
      <c r="K717" s="2">
        <f>INDEX(Locations!$A:$A,MATCH(I717,Locations!$B:$B,0))</f>
        <v>9</v>
      </c>
    </row>
    <row r="718" spans="1:11" x14ac:dyDescent="0.2">
      <c r="A718" s="3">
        <v>717</v>
      </c>
      <c r="B718" t="s">
        <v>156</v>
      </c>
      <c r="C718" t="s">
        <v>295</v>
      </c>
      <c r="D718" s="1">
        <v>32379</v>
      </c>
      <c r="E718" t="s">
        <v>1218</v>
      </c>
      <c r="F718">
        <v>1</v>
      </c>
      <c r="G718" t="s">
        <v>1305</v>
      </c>
      <c r="H718" s="2">
        <v>702</v>
      </c>
      <c r="I718" t="s">
        <v>1224</v>
      </c>
      <c r="J718" s="2">
        <f>INDEX(Positions!$A:$A,MATCH(E718,Positions!$B:$B,0))</f>
        <v>9</v>
      </c>
      <c r="K718" s="2">
        <f>INDEX(Locations!$A:$A,MATCH(I718,Locations!$B:$B,0))</f>
        <v>9</v>
      </c>
    </row>
    <row r="719" spans="1:11" x14ac:dyDescent="0.2">
      <c r="A719" s="3">
        <v>718</v>
      </c>
      <c r="B719" t="s">
        <v>235</v>
      </c>
      <c r="C719" t="s">
        <v>260</v>
      </c>
      <c r="D719" s="1">
        <v>36042</v>
      </c>
      <c r="E719" t="s">
        <v>1218</v>
      </c>
      <c r="F719">
        <v>1</v>
      </c>
      <c r="G719" t="s">
        <v>1306</v>
      </c>
      <c r="H719" s="2">
        <v>662</v>
      </c>
      <c r="I719" t="s">
        <v>233</v>
      </c>
      <c r="J719" s="2">
        <f>INDEX(Positions!$A:$A,MATCH(E719,Positions!$B:$B,0))</f>
        <v>9</v>
      </c>
      <c r="K719" s="2">
        <f>INDEX(Locations!$A:$A,MATCH(I719,Locations!$B:$B,0))</f>
        <v>11</v>
      </c>
    </row>
    <row r="720" spans="1:11" x14ac:dyDescent="0.2">
      <c r="A720" s="3">
        <v>719</v>
      </c>
      <c r="B720" t="s">
        <v>216</v>
      </c>
      <c r="C720" t="s">
        <v>350</v>
      </c>
      <c r="D720" s="1">
        <v>38505</v>
      </c>
      <c r="E720" t="s">
        <v>1218</v>
      </c>
      <c r="F720">
        <v>1</v>
      </c>
      <c r="G720" t="s">
        <v>1307</v>
      </c>
      <c r="H720" s="2">
        <v>666</v>
      </c>
      <c r="I720" t="s">
        <v>233</v>
      </c>
      <c r="J720" s="2">
        <f>INDEX(Positions!$A:$A,MATCH(E720,Positions!$B:$B,0))</f>
        <v>9</v>
      </c>
      <c r="K720" s="2">
        <f>INDEX(Locations!$A:$A,MATCH(I720,Locations!$B:$B,0))</f>
        <v>11</v>
      </c>
    </row>
    <row r="721" spans="1:11" x14ac:dyDescent="0.2">
      <c r="A721" s="3">
        <v>720</v>
      </c>
      <c r="B721" t="s">
        <v>75</v>
      </c>
      <c r="C721" t="s">
        <v>1055</v>
      </c>
      <c r="D721" s="1">
        <v>36163</v>
      </c>
      <c r="E721" t="s">
        <v>1262</v>
      </c>
      <c r="F721">
        <v>4</v>
      </c>
      <c r="G721" t="s">
        <v>1308</v>
      </c>
      <c r="H721" s="2">
        <v>679</v>
      </c>
      <c r="I721" t="s">
        <v>233</v>
      </c>
      <c r="J721" s="2">
        <f>INDEX(Positions!$A:$A,MATCH(E721,Positions!$B:$B,0))</f>
        <v>59</v>
      </c>
      <c r="K721" s="2">
        <f>INDEX(Locations!$A:$A,MATCH(I721,Locations!$B:$B,0))</f>
        <v>11</v>
      </c>
    </row>
    <row r="722" spans="1:11" x14ac:dyDescent="0.2">
      <c r="A722" s="3">
        <v>721</v>
      </c>
      <c r="B722" t="s">
        <v>421</v>
      </c>
      <c r="C722" t="s">
        <v>716</v>
      </c>
      <c r="D722" s="1">
        <v>37917</v>
      </c>
      <c r="E722" t="s">
        <v>1218</v>
      </c>
      <c r="F722">
        <v>1</v>
      </c>
      <c r="G722" t="s">
        <v>1309</v>
      </c>
      <c r="H722" s="2">
        <v>679</v>
      </c>
      <c r="I722" t="s">
        <v>233</v>
      </c>
      <c r="J722" s="2">
        <f>INDEX(Positions!$A:$A,MATCH(E722,Positions!$B:$B,0))</f>
        <v>9</v>
      </c>
      <c r="K722" s="2">
        <f>INDEX(Locations!$A:$A,MATCH(I722,Locations!$B:$B,0))</f>
        <v>11</v>
      </c>
    </row>
    <row r="723" spans="1:11" x14ac:dyDescent="0.2">
      <c r="A723" s="3">
        <v>722</v>
      </c>
      <c r="B723" t="s">
        <v>46</v>
      </c>
      <c r="C723" t="s">
        <v>299</v>
      </c>
      <c r="D723" s="1">
        <v>38504</v>
      </c>
      <c r="E723" t="s">
        <v>1218</v>
      </c>
      <c r="F723">
        <v>1</v>
      </c>
      <c r="G723" t="s">
        <v>1310</v>
      </c>
      <c r="H723" s="2">
        <v>664</v>
      </c>
      <c r="I723" t="s">
        <v>89</v>
      </c>
      <c r="J723" s="2">
        <f>INDEX(Positions!$A:$A,MATCH(E723,Positions!$B:$B,0))</f>
        <v>9</v>
      </c>
      <c r="K723" s="2">
        <f>INDEX(Locations!$A:$A,MATCH(I723,Locations!$B:$B,0))</f>
        <v>8</v>
      </c>
    </row>
    <row r="724" spans="1:11" x14ac:dyDescent="0.2">
      <c r="A724" s="3">
        <v>723</v>
      </c>
      <c r="B724" t="s">
        <v>506</v>
      </c>
      <c r="C724" t="s">
        <v>457</v>
      </c>
      <c r="D724" s="1">
        <v>37481</v>
      </c>
      <c r="E724" t="s">
        <v>1218</v>
      </c>
      <c r="F724">
        <v>1</v>
      </c>
      <c r="G724" t="s">
        <v>1311</v>
      </c>
      <c r="H724" s="2">
        <v>672</v>
      </c>
      <c r="I724" t="s">
        <v>1224</v>
      </c>
      <c r="J724" s="2">
        <f>INDEX(Positions!$A:$A,MATCH(E724,Positions!$B:$B,0))</f>
        <v>9</v>
      </c>
      <c r="K724" s="2">
        <f>INDEX(Locations!$A:$A,MATCH(I724,Locations!$B:$B,0))</f>
        <v>9</v>
      </c>
    </row>
    <row r="725" spans="1:11" x14ac:dyDescent="0.2">
      <c r="A725" s="3">
        <v>724</v>
      </c>
      <c r="B725" t="s">
        <v>319</v>
      </c>
      <c r="C725" t="s">
        <v>353</v>
      </c>
      <c r="D725" s="1">
        <v>34817</v>
      </c>
      <c r="E725" t="s">
        <v>1225</v>
      </c>
      <c r="F725">
        <v>3</v>
      </c>
      <c r="G725" t="s">
        <v>1312</v>
      </c>
      <c r="H725" s="2">
        <v>702</v>
      </c>
      <c r="I725" t="s">
        <v>1224</v>
      </c>
      <c r="J725" s="2">
        <f>INDEX(Positions!$A:$A,MATCH(E725,Positions!$B:$B,0))</f>
        <v>50</v>
      </c>
      <c r="K725" s="2">
        <f>INDEX(Locations!$A:$A,MATCH(I725,Locations!$B:$B,0))</f>
        <v>9</v>
      </c>
    </row>
    <row r="726" spans="1:11" x14ac:dyDescent="0.2">
      <c r="A726" s="3">
        <v>725</v>
      </c>
      <c r="B726" t="s">
        <v>311</v>
      </c>
      <c r="C726" t="s">
        <v>451</v>
      </c>
      <c r="D726" s="1">
        <v>36700</v>
      </c>
      <c r="E726" t="s">
        <v>1218</v>
      </c>
      <c r="F726">
        <v>1</v>
      </c>
      <c r="G726" t="s">
        <v>1313</v>
      </c>
      <c r="H726" s="2">
        <v>666</v>
      </c>
      <c r="I726" t="s">
        <v>233</v>
      </c>
      <c r="J726" s="2">
        <f>INDEX(Positions!$A:$A,MATCH(E726,Positions!$B:$B,0))</f>
        <v>9</v>
      </c>
      <c r="K726" s="2">
        <f>INDEX(Locations!$A:$A,MATCH(I726,Locations!$B:$B,0))</f>
        <v>11</v>
      </c>
    </row>
    <row r="727" spans="1:11" x14ac:dyDescent="0.2">
      <c r="A727" s="3">
        <v>726</v>
      </c>
      <c r="B727" t="s">
        <v>216</v>
      </c>
      <c r="C727" t="s">
        <v>508</v>
      </c>
      <c r="D727" s="1">
        <v>35755</v>
      </c>
      <c r="E727" t="s">
        <v>1218</v>
      </c>
      <c r="F727">
        <v>1</v>
      </c>
      <c r="G727" t="s">
        <v>1314</v>
      </c>
      <c r="H727" s="2">
        <v>679</v>
      </c>
      <c r="I727" t="s">
        <v>233</v>
      </c>
      <c r="J727" s="2">
        <f>INDEX(Positions!$A:$A,MATCH(E727,Positions!$B:$B,0))</f>
        <v>9</v>
      </c>
      <c r="K727" s="2">
        <f>INDEX(Locations!$A:$A,MATCH(I727,Locations!$B:$B,0))</f>
        <v>11</v>
      </c>
    </row>
    <row r="728" spans="1:11" x14ac:dyDescent="0.2">
      <c r="A728" s="3">
        <v>727</v>
      </c>
      <c r="B728" t="s">
        <v>315</v>
      </c>
      <c r="C728" t="s">
        <v>451</v>
      </c>
      <c r="D728" s="1">
        <v>29965</v>
      </c>
      <c r="E728" t="s">
        <v>1246</v>
      </c>
      <c r="F728">
        <v>6</v>
      </c>
      <c r="G728" t="s">
        <v>1315</v>
      </c>
      <c r="H728" s="2">
        <v>636</v>
      </c>
      <c r="I728" t="s">
        <v>1224</v>
      </c>
      <c r="J728" s="2">
        <f>INDEX(Positions!$A:$A,MATCH(E728,Positions!$B:$B,0))</f>
        <v>86</v>
      </c>
      <c r="K728" s="2">
        <f>INDEX(Locations!$A:$A,MATCH(I728,Locations!$B:$B,0))</f>
        <v>9</v>
      </c>
    </row>
    <row r="729" spans="1:11" x14ac:dyDescent="0.2">
      <c r="A729" s="3">
        <v>728</v>
      </c>
      <c r="B729" t="s">
        <v>83</v>
      </c>
      <c r="C729" t="s">
        <v>282</v>
      </c>
      <c r="D729" s="1">
        <v>39366</v>
      </c>
      <c r="E729" t="s">
        <v>1218</v>
      </c>
      <c r="F729">
        <v>1</v>
      </c>
      <c r="G729" t="s">
        <v>1316</v>
      </c>
      <c r="H729" s="2">
        <v>672</v>
      </c>
      <c r="I729" t="s">
        <v>1224</v>
      </c>
      <c r="J729" s="2">
        <f>INDEX(Positions!$A:$A,MATCH(E729,Positions!$B:$B,0))</f>
        <v>9</v>
      </c>
      <c r="K729" s="2">
        <f>INDEX(Locations!$A:$A,MATCH(I729,Locations!$B:$B,0))</f>
        <v>9</v>
      </c>
    </row>
    <row r="730" spans="1:11" x14ac:dyDescent="0.2">
      <c r="A730" s="3">
        <v>729</v>
      </c>
      <c r="B730" t="s">
        <v>924</v>
      </c>
      <c r="C730" t="s">
        <v>162</v>
      </c>
      <c r="D730" s="1">
        <v>38075</v>
      </c>
      <c r="E730" t="s">
        <v>1216</v>
      </c>
      <c r="F730">
        <v>2</v>
      </c>
      <c r="G730" t="s">
        <v>1317</v>
      </c>
      <c r="H730" s="2">
        <v>664</v>
      </c>
      <c r="I730" t="s">
        <v>89</v>
      </c>
      <c r="J730" s="2">
        <f>INDEX(Positions!$A:$A,MATCH(E730,Positions!$B:$B,0))</f>
        <v>14</v>
      </c>
      <c r="K730" s="2">
        <f>INDEX(Locations!$A:$A,MATCH(I730,Locations!$B:$B,0))</f>
        <v>8</v>
      </c>
    </row>
    <row r="731" spans="1:11" x14ac:dyDescent="0.2">
      <c r="A731" s="3">
        <v>730</v>
      </c>
      <c r="B731" t="s">
        <v>46</v>
      </c>
      <c r="C731" t="s">
        <v>288</v>
      </c>
      <c r="D731" s="1">
        <v>36996</v>
      </c>
      <c r="E731" t="s">
        <v>1225</v>
      </c>
      <c r="F731">
        <v>3</v>
      </c>
      <c r="G731" t="s">
        <v>1318</v>
      </c>
      <c r="H731" s="2">
        <v>679</v>
      </c>
      <c r="I731" t="s">
        <v>233</v>
      </c>
      <c r="J731" s="2">
        <f>INDEX(Positions!$A:$A,MATCH(E731,Positions!$B:$B,0))</f>
        <v>50</v>
      </c>
      <c r="K731" s="2">
        <f>INDEX(Locations!$A:$A,MATCH(I731,Locations!$B:$B,0))</f>
        <v>11</v>
      </c>
    </row>
    <row r="732" spans="1:11" x14ac:dyDescent="0.2">
      <c r="A732" s="3">
        <v>731</v>
      </c>
      <c r="B732" t="s">
        <v>491</v>
      </c>
      <c r="C732" t="s">
        <v>555</v>
      </c>
      <c r="D732" s="1">
        <v>37013</v>
      </c>
      <c r="E732" t="s">
        <v>1218</v>
      </c>
      <c r="F732">
        <v>1</v>
      </c>
      <c r="G732" t="s">
        <v>1319</v>
      </c>
      <c r="H732" s="2">
        <v>702</v>
      </c>
      <c r="I732" t="s">
        <v>1224</v>
      </c>
      <c r="J732" s="2">
        <f>INDEX(Positions!$A:$A,MATCH(E732,Positions!$B:$B,0))</f>
        <v>9</v>
      </c>
      <c r="K732" s="2">
        <f>INDEX(Locations!$A:$A,MATCH(I732,Locations!$B:$B,0))</f>
        <v>9</v>
      </c>
    </row>
    <row r="733" spans="1:11" x14ac:dyDescent="0.2">
      <c r="A733" s="3">
        <v>732</v>
      </c>
      <c r="B733" t="s">
        <v>418</v>
      </c>
      <c r="C733" t="s">
        <v>162</v>
      </c>
      <c r="D733" s="1">
        <v>35203</v>
      </c>
      <c r="E733" t="s">
        <v>1218</v>
      </c>
      <c r="F733">
        <v>1</v>
      </c>
      <c r="G733" t="s">
        <v>1320</v>
      </c>
      <c r="H733" s="2">
        <v>672</v>
      </c>
      <c r="I733" t="s">
        <v>1224</v>
      </c>
      <c r="J733" s="2">
        <f>INDEX(Positions!$A:$A,MATCH(E733,Positions!$B:$B,0))</f>
        <v>9</v>
      </c>
      <c r="K733" s="2">
        <f>INDEX(Locations!$A:$A,MATCH(I733,Locations!$B:$B,0))</f>
        <v>9</v>
      </c>
    </row>
    <row r="734" spans="1:11" x14ac:dyDescent="0.2">
      <c r="A734" s="3">
        <v>733</v>
      </c>
      <c r="B734" t="s">
        <v>477</v>
      </c>
      <c r="C734" t="s">
        <v>299</v>
      </c>
      <c r="D734" s="1">
        <v>39347</v>
      </c>
      <c r="E734" t="s">
        <v>1218</v>
      </c>
      <c r="F734">
        <v>1</v>
      </c>
      <c r="G734" t="s">
        <v>1321</v>
      </c>
      <c r="H734" s="2">
        <v>672</v>
      </c>
      <c r="I734" t="s">
        <v>1224</v>
      </c>
      <c r="J734" s="2">
        <f>INDEX(Positions!$A:$A,MATCH(E734,Positions!$B:$B,0))</f>
        <v>9</v>
      </c>
      <c r="K734" s="2">
        <f>INDEX(Locations!$A:$A,MATCH(I734,Locations!$B:$B,0))</f>
        <v>9</v>
      </c>
    </row>
    <row r="735" spans="1:11" x14ac:dyDescent="0.2">
      <c r="A735" s="3">
        <v>734</v>
      </c>
      <c r="B735" t="s">
        <v>437</v>
      </c>
      <c r="C735" t="s">
        <v>192</v>
      </c>
      <c r="D735" s="1">
        <v>36564</v>
      </c>
      <c r="E735" t="s">
        <v>1216</v>
      </c>
      <c r="F735">
        <v>2</v>
      </c>
      <c r="G735" t="s">
        <v>1322</v>
      </c>
      <c r="H735" s="2">
        <v>672</v>
      </c>
      <c r="I735" t="s">
        <v>1224</v>
      </c>
      <c r="J735" s="2">
        <f>INDEX(Positions!$A:$A,MATCH(E735,Positions!$B:$B,0))</f>
        <v>14</v>
      </c>
      <c r="K735" s="2">
        <f>INDEX(Locations!$A:$A,MATCH(I735,Locations!$B:$B,0))</f>
        <v>9</v>
      </c>
    </row>
    <row r="736" spans="1:11" x14ac:dyDescent="0.2">
      <c r="A736" s="3">
        <v>735</v>
      </c>
      <c r="B736" t="s">
        <v>537</v>
      </c>
      <c r="C736" t="s">
        <v>388</v>
      </c>
      <c r="D736" s="1">
        <v>36991</v>
      </c>
      <c r="E736" t="s">
        <v>1216</v>
      </c>
      <c r="F736">
        <v>2</v>
      </c>
      <c r="G736" t="s">
        <v>1323</v>
      </c>
      <c r="H736" s="2">
        <v>672</v>
      </c>
      <c r="I736" t="s">
        <v>1224</v>
      </c>
      <c r="J736" s="2">
        <f>INDEX(Positions!$A:$A,MATCH(E736,Positions!$B:$B,0))</f>
        <v>14</v>
      </c>
      <c r="K736" s="2">
        <f>INDEX(Locations!$A:$A,MATCH(I736,Locations!$B:$B,0))</f>
        <v>9</v>
      </c>
    </row>
    <row r="737" spans="1:11" x14ac:dyDescent="0.2">
      <c r="A737" s="3">
        <v>736</v>
      </c>
      <c r="B737" t="s">
        <v>165</v>
      </c>
      <c r="C737" t="s">
        <v>193</v>
      </c>
      <c r="D737" s="1">
        <v>34021</v>
      </c>
      <c r="E737" t="s">
        <v>1250</v>
      </c>
      <c r="F737">
        <v>5</v>
      </c>
      <c r="G737" t="s">
        <v>1324</v>
      </c>
      <c r="H737" s="2">
        <v>727</v>
      </c>
      <c r="I737" t="s">
        <v>1224</v>
      </c>
      <c r="J737" s="2">
        <f>INDEX(Positions!$A:$A,MATCH(E737,Positions!$B:$B,0))</f>
        <v>78</v>
      </c>
      <c r="K737" s="2">
        <f>INDEX(Locations!$A:$A,MATCH(I737,Locations!$B:$B,0))</f>
        <v>9</v>
      </c>
    </row>
    <row r="738" spans="1:11" x14ac:dyDescent="0.2">
      <c r="A738" s="3">
        <v>737</v>
      </c>
      <c r="B738" t="s">
        <v>200</v>
      </c>
      <c r="C738" t="s">
        <v>198</v>
      </c>
      <c r="D738" s="1">
        <v>39365</v>
      </c>
      <c r="E738" t="s">
        <v>1218</v>
      </c>
      <c r="F738">
        <v>1</v>
      </c>
      <c r="G738" t="s">
        <v>1325</v>
      </c>
      <c r="H738" s="2">
        <v>736</v>
      </c>
      <c r="I738" t="s">
        <v>1224</v>
      </c>
      <c r="J738" s="2">
        <f>INDEX(Positions!$A:$A,MATCH(E738,Positions!$B:$B,0))</f>
        <v>9</v>
      </c>
      <c r="K738" s="2">
        <f>INDEX(Locations!$A:$A,MATCH(I738,Locations!$B:$B,0))</f>
        <v>9</v>
      </c>
    </row>
    <row r="739" spans="1:11" x14ac:dyDescent="0.2">
      <c r="A739" s="3">
        <v>738</v>
      </c>
      <c r="B739" t="s">
        <v>244</v>
      </c>
      <c r="C739" t="s">
        <v>439</v>
      </c>
      <c r="D739" s="1">
        <v>37697</v>
      </c>
      <c r="E739" t="s">
        <v>1218</v>
      </c>
      <c r="F739">
        <v>1</v>
      </c>
      <c r="G739" t="s">
        <v>1326</v>
      </c>
      <c r="H739" s="2">
        <v>736</v>
      </c>
      <c r="I739" t="s">
        <v>1224</v>
      </c>
      <c r="J739" s="2">
        <f>INDEX(Positions!$A:$A,MATCH(E739,Positions!$B:$B,0))</f>
        <v>9</v>
      </c>
      <c r="K739" s="2">
        <f>INDEX(Locations!$A:$A,MATCH(I739,Locations!$B:$B,0))</f>
        <v>9</v>
      </c>
    </row>
    <row r="740" spans="1:11" x14ac:dyDescent="0.2">
      <c r="A740" s="3">
        <v>739</v>
      </c>
      <c r="B740" t="s">
        <v>478</v>
      </c>
      <c r="C740" t="s">
        <v>294</v>
      </c>
      <c r="D740" s="1">
        <v>30993</v>
      </c>
      <c r="E740" t="s">
        <v>1246</v>
      </c>
      <c r="F740">
        <v>6</v>
      </c>
      <c r="G740" t="s">
        <v>1327</v>
      </c>
      <c r="H740" s="2">
        <v>636</v>
      </c>
      <c r="I740" t="s">
        <v>92</v>
      </c>
      <c r="J740" s="2">
        <f>INDEX(Positions!$A:$A,MATCH(E740,Positions!$B:$B,0))</f>
        <v>86</v>
      </c>
      <c r="K740" s="2">
        <f>INDEX(Locations!$A:$A,MATCH(I740,Locations!$B:$B,0))</f>
        <v>6</v>
      </c>
    </row>
    <row r="741" spans="1:11" x14ac:dyDescent="0.2">
      <c r="A741" s="3">
        <v>740</v>
      </c>
      <c r="B741" t="s">
        <v>265</v>
      </c>
      <c r="C741" t="s">
        <v>487</v>
      </c>
      <c r="D741" s="1">
        <v>37209</v>
      </c>
      <c r="E741" t="s">
        <v>1216</v>
      </c>
      <c r="F741">
        <v>2</v>
      </c>
      <c r="G741" t="s">
        <v>1328</v>
      </c>
      <c r="H741" s="2">
        <v>702</v>
      </c>
      <c r="I741" t="s">
        <v>1224</v>
      </c>
      <c r="J741" s="2">
        <f>INDEX(Positions!$A:$A,MATCH(E741,Positions!$B:$B,0))</f>
        <v>14</v>
      </c>
      <c r="K741" s="2">
        <f>INDEX(Locations!$A:$A,MATCH(I741,Locations!$B:$B,0))</f>
        <v>9</v>
      </c>
    </row>
    <row r="742" spans="1:11" x14ac:dyDescent="0.2">
      <c r="A742" s="3">
        <v>741</v>
      </c>
      <c r="B742" t="s">
        <v>327</v>
      </c>
      <c r="C742" t="s">
        <v>128</v>
      </c>
      <c r="D742" s="1">
        <v>34010</v>
      </c>
      <c r="E742" t="s">
        <v>1225</v>
      </c>
      <c r="F742">
        <v>3</v>
      </c>
      <c r="G742" t="s">
        <v>1329</v>
      </c>
      <c r="H742" s="2">
        <v>736</v>
      </c>
      <c r="I742" t="s">
        <v>1224</v>
      </c>
      <c r="J742" s="2">
        <f>INDEX(Positions!$A:$A,MATCH(E742,Positions!$B:$B,0))</f>
        <v>50</v>
      </c>
      <c r="K742" s="2">
        <f>INDEX(Locations!$A:$A,MATCH(I742,Locations!$B:$B,0))</f>
        <v>9</v>
      </c>
    </row>
    <row r="743" spans="1:11" x14ac:dyDescent="0.2">
      <c r="A743" s="3">
        <v>742</v>
      </c>
      <c r="B743" t="s">
        <v>291</v>
      </c>
      <c r="C743" t="s">
        <v>198</v>
      </c>
      <c r="D743" s="1">
        <v>36138</v>
      </c>
      <c r="E743" t="s">
        <v>1262</v>
      </c>
      <c r="F743">
        <v>4</v>
      </c>
      <c r="G743" t="s">
        <v>1330</v>
      </c>
      <c r="H743" s="2">
        <v>672</v>
      </c>
      <c r="I743" t="s">
        <v>1224</v>
      </c>
      <c r="J743" s="2">
        <f>INDEX(Positions!$A:$A,MATCH(E743,Positions!$B:$B,0))</f>
        <v>59</v>
      </c>
      <c r="K743" s="2">
        <f>INDEX(Locations!$A:$A,MATCH(I743,Locations!$B:$B,0))</f>
        <v>9</v>
      </c>
    </row>
    <row r="744" spans="1:11" x14ac:dyDescent="0.2">
      <c r="A744" s="3">
        <v>743</v>
      </c>
      <c r="B744" t="s">
        <v>179</v>
      </c>
      <c r="C744" t="s">
        <v>496</v>
      </c>
      <c r="D744" s="1">
        <v>34846</v>
      </c>
      <c r="E744" t="s">
        <v>1250</v>
      </c>
      <c r="F744">
        <v>5</v>
      </c>
      <c r="G744" t="s">
        <v>1331</v>
      </c>
      <c r="H744" s="2">
        <v>727</v>
      </c>
      <c r="I744" t="s">
        <v>1224</v>
      </c>
      <c r="J744" s="2">
        <f>INDEX(Positions!$A:$A,MATCH(E744,Positions!$B:$B,0))</f>
        <v>78</v>
      </c>
      <c r="K744" s="2">
        <f>INDEX(Locations!$A:$A,MATCH(I744,Locations!$B:$B,0))</f>
        <v>9</v>
      </c>
    </row>
    <row r="745" spans="1:11" x14ac:dyDescent="0.2">
      <c r="A745" s="3">
        <v>744</v>
      </c>
      <c r="B745" t="s">
        <v>185</v>
      </c>
      <c r="C745" t="s">
        <v>175</v>
      </c>
      <c r="D745" s="1">
        <v>39369</v>
      </c>
      <c r="E745" t="s">
        <v>1218</v>
      </c>
      <c r="F745">
        <v>1</v>
      </c>
      <c r="G745" t="s">
        <v>1332</v>
      </c>
      <c r="H745" s="2">
        <v>664</v>
      </c>
      <c r="I745" t="s">
        <v>89</v>
      </c>
      <c r="J745" s="2">
        <f>INDEX(Positions!$A:$A,MATCH(E745,Positions!$B:$B,0))</f>
        <v>9</v>
      </c>
      <c r="K745" s="2">
        <f>INDEX(Locations!$A:$A,MATCH(I745,Locations!$B:$B,0))</f>
        <v>8</v>
      </c>
    </row>
    <row r="746" spans="1:11" x14ac:dyDescent="0.2">
      <c r="A746" s="3">
        <v>745</v>
      </c>
      <c r="B746" t="s">
        <v>491</v>
      </c>
      <c r="C746" t="s">
        <v>403</v>
      </c>
      <c r="D746" s="1">
        <v>38126</v>
      </c>
      <c r="E746" t="s">
        <v>1218</v>
      </c>
      <c r="F746">
        <v>1</v>
      </c>
      <c r="G746" t="s">
        <v>1333</v>
      </c>
      <c r="H746" s="2">
        <v>743</v>
      </c>
      <c r="I746" t="s">
        <v>1224</v>
      </c>
      <c r="J746" s="2">
        <f>INDEX(Positions!$A:$A,MATCH(E746,Positions!$B:$B,0))</f>
        <v>9</v>
      </c>
      <c r="K746" s="2">
        <f>INDEX(Locations!$A:$A,MATCH(I746,Locations!$B:$B,0))</f>
        <v>9</v>
      </c>
    </row>
    <row r="747" spans="1:11" x14ac:dyDescent="0.2">
      <c r="A747" s="3">
        <v>746</v>
      </c>
      <c r="B747" t="s">
        <v>579</v>
      </c>
      <c r="C747" t="s">
        <v>130</v>
      </c>
      <c r="D747" s="1">
        <v>38542</v>
      </c>
      <c r="E747" t="s">
        <v>1216</v>
      </c>
      <c r="F747">
        <v>2</v>
      </c>
      <c r="G747" t="s">
        <v>1334</v>
      </c>
      <c r="H747" s="2">
        <v>736</v>
      </c>
      <c r="I747" t="s">
        <v>1224</v>
      </c>
      <c r="J747" s="2">
        <f>INDEX(Positions!$A:$A,MATCH(E747,Positions!$B:$B,0))</f>
        <v>14</v>
      </c>
      <c r="K747" s="2">
        <f>INDEX(Locations!$A:$A,MATCH(I747,Locations!$B:$B,0))</f>
        <v>9</v>
      </c>
    </row>
    <row r="748" spans="1:11" x14ac:dyDescent="0.2">
      <c r="A748" s="3">
        <v>747</v>
      </c>
      <c r="B748" t="s">
        <v>452</v>
      </c>
      <c r="C748" t="s">
        <v>470</v>
      </c>
      <c r="D748" s="1">
        <v>35282</v>
      </c>
      <c r="E748" t="s">
        <v>1218</v>
      </c>
      <c r="F748">
        <v>1</v>
      </c>
      <c r="G748" t="s">
        <v>1335</v>
      </c>
      <c r="H748" s="2">
        <v>736</v>
      </c>
      <c r="I748" t="s">
        <v>1224</v>
      </c>
      <c r="J748" s="2">
        <f>INDEX(Positions!$A:$A,MATCH(E748,Positions!$B:$B,0))</f>
        <v>9</v>
      </c>
      <c r="K748" s="2">
        <f>INDEX(Locations!$A:$A,MATCH(I748,Locations!$B:$B,0))</f>
        <v>9</v>
      </c>
    </row>
    <row r="749" spans="1:11" x14ac:dyDescent="0.2">
      <c r="A749" s="3">
        <v>748</v>
      </c>
      <c r="B749" t="s">
        <v>291</v>
      </c>
      <c r="C749" t="s">
        <v>108</v>
      </c>
      <c r="D749" s="1">
        <v>32883</v>
      </c>
      <c r="E749" t="s">
        <v>1225</v>
      </c>
      <c r="F749">
        <v>3</v>
      </c>
      <c r="G749" t="s">
        <v>1336</v>
      </c>
      <c r="H749" s="2">
        <v>743</v>
      </c>
      <c r="I749" t="s">
        <v>1224</v>
      </c>
      <c r="J749" s="2">
        <f>INDEX(Positions!$A:$A,MATCH(E749,Positions!$B:$B,0))</f>
        <v>50</v>
      </c>
      <c r="K749" s="2">
        <f>INDEX(Locations!$A:$A,MATCH(I749,Locations!$B:$B,0))</f>
        <v>9</v>
      </c>
    </row>
    <row r="750" spans="1:11" x14ac:dyDescent="0.2">
      <c r="A750" s="3">
        <v>749</v>
      </c>
      <c r="B750" t="s">
        <v>243</v>
      </c>
      <c r="C750" t="s">
        <v>998</v>
      </c>
      <c r="D750" s="1">
        <v>39549</v>
      </c>
      <c r="E750" t="s">
        <v>1218</v>
      </c>
      <c r="F750">
        <v>1</v>
      </c>
      <c r="G750" t="s">
        <v>1337</v>
      </c>
      <c r="H750" s="2">
        <v>743</v>
      </c>
      <c r="I750" t="s">
        <v>1224</v>
      </c>
      <c r="J750" s="2">
        <f>INDEX(Positions!$A:$A,MATCH(E750,Positions!$B:$B,0))</f>
        <v>9</v>
      </c>
      <c r="K750" s="2">
        <f>INDEX(Locations!$A:$A,MATCH(I750,Locations!$B:$B,0))</f>
        <v>9</v>
      </c>
    </row>
    <row r="751" spans="1:11" x14ac:dyDescent="0.2">
      <c r="A751" s="3">
        <v>750</v>
      </c>
      <c r="B751" t="s">
        <v>387</v>
      </c>
      <c r="C751" t="s">
        <v>514</v>
      </c>
      <c r="D751" s="1">
        <v>37194</v>
      </c>
      <c r="E751" t="s">
        <v>1218</v>
      </c>
      <c r="F751">
        <v>1</v>
      </c>
      <c r="G751" t="s">
        <v>1338</v>
      </c>
      <c r="H751" s="2">
        <v>743</v>
      </c>
      <c r="I751" t="s">
        <v>1224</v>
      </c>
      <c r="J751" s="2">
        <f>INDEX(Positions!$A:$A,MATCH(E751,Positions!$B:$B,0))</f>
        <v>9</v>
      </c>
      <c r="K751" s="2">
        <f>INDEX(Locations!$A:$A,MATCH(I751,Locations!$B:$B,0))</f>
        <v>9</v>
      </c>
    </row>
    <row r="752" spans="1:11" x14ac:dyDescent="0.2">
      <c r="A752" s="3">
        <v>751</v>
      </c>
      <c r="B752" t="s">
        <v>75</v>
      </c>
      <c r="C752" t="s">
        <v>554</v>
      </c>
      <c r="D752" s="1">
        <v>34045</v>
      </c>
      <c r="E752" t="s">
        <v>1225</v>
      </c>
      <c r="F752">
        <v>3</v>
      </c>
      <c r="G752" t="s">
        <v>1339</v>
      </c>
      <c r="H752" s="2">
        <v>743</v>
      </c>
      <c r="I752" t="s">
        <v>1224</v>
      </c>
      <c r="J752" s="2">
        <f>INDEX(Positions!$A:$A,MATCH(E752,Positions!$B:$B,0))</f>
        <v>50</v>
      </c>
      <c r="K752" s="2">
        <f>INDEX(Locations!$A:$A,MATCH(I752,Locations!$B:$B,0))</f>
        <v>9</v>
      </c>
    </row>
    <row r="753" spans="1:11" x14ac:dyDescent="0.2">
      <c r="A753" s="3">
        <v>752</v>
      </c>
      <c r="B753" t="s">
        <v>537</v>
      </c>
      <c r="C753" t="s">
        <v>316</v>
      </c>
      <c r="D753" s="1">
        <v>35808</v>
      </c>
      <c r="E753" t="s">
        <v>1216</v>
      </c>
      <c r="F753">
        <v>2</v>
      </c>
      <c r="G753" t="s">
        <v>1340</v>
      </c>
      <c r="H753" s="2">
        <v>736</v>
      </c>
      <c r="I753" t="s">
        <v>1224</v>
      </c>
      <c r="J753" s="2">
        <f>INDEX(Positions!$A:$A,MATCH(E753,Positions!$B:$B,0))</f>
        <v>14</v>
      </c>
      <c r="K753" s="2">
        <f>INDEX(Locations!$A:$A,MATCH(I753,Locations!$B:$B,0))</f>
        <v>9</v>
      </c>
    </row>
    <row r="754" spans="1:11" x14ac:dyDescent="0.2">
      <c r="A754" s="3">
        <v>753</v>
      </c>
      <c r="B754" t="s">
        <v>573</v>
      </c>
      <c r="C754" t="s">
        <v>508</v>
      </c>
      <c r="D754" s="1">
        <v>35376</v>
      </c>
      <c r="E754" t="s">
        <v>1216</v>
      </c>
      <c r="F754">
        <v>2</v>
      </c>
      <c r="G754" t="s">
        <v>1341</v>
      </c>
      <c r="H754" s="2">
        <v>743</v>
      </c>
      <c r="I754" t="s">
        <v>1224</v>
      </c>
      <c r="J754" s="2">
        <f>INDEX(Positions!$A:$A,MATCH(E754,Positions!$B:$B,0))</f>
        <v>14</v>
      </c>
      <c r="K754" s="2">
        <f>INDEX(Locations!$A:$A,MATCH(I754,Locations!$B:$B,0))</f>
        <v>9</v>
      </c>
    </row>
    <row r="755" spans="1:11" x14ac:dyDescent="0.2">
      <c r="A755" s="3">
        <v>754</v>
      </c>
      <c r="B755" t="s">
        <v>107</v>
      </c>
      <c r="C755" t="s">
        <v>536</v>
      </c>
      <c r="D755" s="1">
        <v>36596</v>
      </c>
      <c r="E755" t="s">
        <v>1218</v>
      </c>
      <c r="F755">
        <v>1</v>
      </c>
      <c r="G755" t="s">
        <v>1342</v>
      </c>
      <c r="H755" s="2">
        <v>743</v>
      </c>
      <c r="I755" t="s">
        <v>1224</v>
      </c>
      <c r="J755" s="2">
        <f>INDEX(Positions!$A:$A,MATCH(E755,Positions!$B:$B,0))</f>
        <v>9</v>
      </c>
      <c r="K755" s="2">
        <f>INDEX(Locations!$A:$A,MATCH(I755,Locations!$B:$B,0))</f>
        <v>9</v>
      </c>
    </row>
    <row r="756" spans="1:11" x14ac:dyDescent="0.2">
      <c r="A756" s="3">
        <v>755</v>
      </c>
      <c r="B756" t="s">
        <v>300</v>
      </c>
      <c r="C756" t="s">
        <v>554</v>
      </c>
      <c r="D756" s="1">
        <v>36379</v>
      </c>
      <c r="E756" t="s">
        <v>1218</v>
      </c>
      <c r="F756">
        <v>1</v>
      </c>
      <c r="G756" t="s">
        <v>1343</v>
      </c>
      <c r="H756" s="2">
        <v>736</v>
      </c>
      <c r="I756" t="s">
        <v>1224</v>
      </c>
      <c r="J756" s="2">
        <f>INDEX(Positions!$A:$A,MATCH(E756,Positions!$B:$B,0))</f>
        <v>9</v>
      </c>
      <c r="K756" s="2">
        <f>INDEX(Locations!$A:$A,MATCH(I756,Locations!$B:$B,0))</f>
        <v>9</v>
      </c>
    </row>
    <row r="757" spans="1:11" x14ac:dyDescent="0.2">
      <c r="A757" s="3">
        <v>756</v>
      </c>
      <c r="B757" t="s">
        <v>527</v>
      </c>
      <c r="C757" t="s">
        <v>508</v>
      </c>
      <c r="D757" s="1">
        <v>35819</v>
      </c>
      <c r="E757" t="s">
        <v>1216</v>
      </c>
      <c r="F757">
        <v>2</v>
      </c>
      <c r="G757" t="s">
        <v>1344</v>
      </c>
      <c r="H757" s="2">
        <v>743</v>
      </c>
      <c r="I757" t="s">
        <v>1224</v>
      </c>
      <c r="J757" s="2">
        <f>INDEX(Positions!$A:$A,MATCH(E757,Positions!$B:$B,0))</f>
        <v>14</v>
      </c>
      <c r="K757" s="2">
        <f>INDEX(Locations!$A:$A,MATCH(I757,Locations!$B:$B,0))</f>
        <v>9</v>
      </c>
    </row>
    <row r="758" spans="1:11" x14ac:dyDescent="0.2">
      <c r="A758" s="3">
        <v>757</v>
      </c>
      <c r="B758" t="s">
        <v>216</v>
      </c>
      <c r="C758" t="s">
        <v>363</v>
      </c>
      <c r="D758" s="1">
        <v>32378</v>
      </c>
      <c r="E758" t="s">
        <v>1250</v>
      </c>
      <c r="F758">
        <v>5</v>
      </c>
      <c r="G758" t="s">
        <v>1345</v>
      </c>
      <c r="H758" s="2">
        <v>739</v>
      </c>
      <c r="I758" t="s">
        <v>92</v>
      </c>
      <c r="J758" s="2">
        <f>INDEX(Positions!$A:$A,MATCH(E758,Positions!$B:$B,0))</f>
        <v>78</v>
      </c>
      <c r="K758" s="2">
        <f>INDEX(Locations!$A:$A,MATCH(I758,Locations!$B:$B,0))</f>
        <v>6</v>
      </c>
    </row>
    <row r="759" spans="1:11" x14ac:dyDescent="0.2">
      <c r="A759" s="3">
        <v>758</v>
      </c>
      <c r="B759" t="s">
        <v>546</v>
      </c>
      <c r="C759" t="s">
        <v>549</v>
      </c>
      <c r="D759" s="1">
        <v>37692</v>
      </c>
      <c r="E759" t="s">
        <v>1225</v>
      </c>
      <c r="F759">
        <v>3</v>
      </c>
      <c r="G759" t="s">
        <v>1346</v>
      </c>
      <c r="H759" s="2">
        <v>672</v>
      </c>
      <c r="I759" t="s">
        <v>1224</v>
      </c>
      <c r="J759" s="2">
        <f>INDEX(Positions!$A:$A,MATCH(E759,Positions!$B:$B,0))</f>
        <v>50</v>
      </c>
      <c r="K759" s="2">
        <f>INDEX(Locations!$A:$A,MATCH(I759,Locations!$B:$B,0))</f>
        <v>9</v>
      </c>
    </row>
    <row r="760" spans="1:11" x14ac:dyDescent="0.2">
      <c r="A760" s="3">
        <v>759</v>
      </c>
      <c r="B760" t="s">
        <v>484</v>
      </c>
      <c r="C760" t="s">
        <v>420</v>
      </c>
      <c r="D760" s="1">
        <v>30968</v>
      </c>
      <c r="E760" t="s">
        <v>1262</v>
      </c>
      <c r="F760">
        <v>4</v>
      </c>
      <c r="G760" t="s">
        <v>1347</v>
      </c>
      <c r="H760" s="2">
        <v>757</v>
      </c>
      <c r="I760" t="s">
        <v>92</v>
      </c>
      <c r="J760" s="2">
        <f>INDEX(Positions!$A:$A,MATCH(E760,Positions!$B:$B,0))</f>
        <v>59</v>
      </c>
      <c r="K760" s="2">
        <f>INDEX(Locations!$A:$A,MATCH(I760,Locations!$B:$B,0))</f>
        <v>6</v>
      </c>
    </row>
    <row r="761" spans="1:11" x14ac:dyDescent="0.2">
      <c r="A761" s="3">
        <v>760</v>
      </c>
      <c r="B761" t="s">
        <v>102</v>
      </c>
      <c r="C761" t="s">
        <v>438</v>
      </c>
      <c r="D761" s="1">
        <v>36516</v>
      </c>
      <c r="E761" t="s">
        <v>1218</v>
      </c>
      <c r="F761">
        <v>1</v>
      </c>
      <c r="G761" t="s">
        <v>1348</v>
      </c>
      <c r="H761" s="2">
        <v>757</v>
      </c>
      <c r="I761" t="s">
        <v>92</v>
      </c>
      <c r="J761" s="2">
        <f>INDEX(Positions!$A:$A,MATCH(E761,Positions!$B:$B,0))</f>
        <v>9</v>
      </c>
      <c r="K761" s="2">
        <f>INDEX(Locations!$A:$A,MATCH(I761,Locations!$B:$B,0))</f>
        <v>6</v>
      </c>
    </row>
    <row r="762" spans="1:11" x14ac:dyDescent="0.2">
      <c r="A762" s="3">
        <v>761</v>
      </c>
      <c r="B762" t="s">
        <v>296</v>
      </c>
      <c r="C762" t="s">
        <v>292</v>
      </c>
      <c r="D762" s="1">
        <v>31516</v>
      </c>
      <c r="E762" t="s">
        <v>1250</v>
      </c>
      <c r="F762">
        <v>5</v>
      </c>
      <c r="G762" t="s">
        <v>1349</v>
      </c>
      <c r="H762" s="2">
        <v>739</v>
      </c>
      <c r="I762" t="s">
        <v>92</v>
      </c>
      <c r="J762" s="2">
        <f>INDEX(Positions!$A:$A,MATCH(E762,Positions!$B:$B,0))</f>
        <v>78</v>
      </c>
      <c r="K762" s="2">
        <f>INDEX(Locations!$A:$A,MATCH(I762,Locations!$B:$B,0))</f>
        <v>6</v>
      </c>
    </row>
    <row r="763" spans="1:11" x14ac:dyDescent="0.2">
      <c r="A763" s="3">
        <v>762</v>
      </c>
      <c r="B763" t="s">
        <v>287</v>
      </c>
      <c r="C763" t="s">
        <v>503</v>
      </c>
      <c r="D763" s="1">
        <v>38103</v>
      </c>
      <c r="E763" t="s">
        <v>1216</v>
      </c>
      <c r="F763">
        <v>2</v>
      </c>
      <c r="G763" t="s">
        <v>1350</v>
      </c>
      <c r="H763" s="2">
        <v>757</v>
      </c>
      <c r="I763" t="s">
        <v>92</v>
      </c>
      <c r="J763" s="2">
        <f>INDEX(Positions!$A:$A,MATCH(E763,Positions!$B:$B,0))</f>
        <v>14</v>
      </c>
      <c r="K763" s="2">
        <f>INDEX(Locations!$A:$A,MATCH(I763,Locations!$B:$B,0))</f>
        <v>6</v>
      </c>
    </row>
    <row r="764" spans="1:11" x14ac:dyDescent="0.2">
      <c r="A764" s="3">
        <v>763</v>
      </c>
      <c r="B764" t="s">
        <v>444</v>
      </c>
      <c r="C764" t="s">
        <v>237</v>
      </c>
      <c r="D764" s="1">
        <v>39393</v>
      </c>
      <c r="E764" t="s">
        <v>1218</v>
      </c>
      <c r="F764">
        <v>1</v>
      </c>
      <c r="G764" t="s">
        <v>1351</v>
      </c>
      <c r="H764" s="2">
        <v>761</v>
      </c>
      <c r="I764" t="s">
        <v>92</v>
      </c>
      <c r="J764" s="2">
        <f>INDEX(Positions!$A:$A,MATCH(E764,Positions!$B:$B,0))</f>
        <v>9</v>
      </c>
      <c r="K764" s="2">
        <f>INDEX(Locations!$A:$A,MATCH(I764,Locations!$B:$B,0))</f>
        <v>6</v>
      </c>
    </row>
    <row r="765" spans="1:11" x14ac:dyDescent="0.2">
      <c r="A765" s="3">
        <v>764</v>
      </c>
      <c r="B765" t="s">
        <v>78</v>
      </c>
      <c r="C765" t="s">
        <v>173</v>
      </c>
      <c r="D765" s="1">
        <v>34822</v>
      </c>
      <c r="E765" t="s">
        <v>1262</v>
      </c>
      <c r="F765">
        <v>4</v>
      </c>
      <c r="G765" t="s">
        <v>1352</v>
      </c>
      <c r="H765" s="2">
        <v>736</v>
      </c>
      <c r="I765" t="s">
        <v>1224</v>
      </c>
      <c r="J765" s="2">
        <f>INDEX(Positions!$A:$A,MATCH(E765,Positions!$B:$B,0))</f>
        <v>59</v>
      </c>
      <c r="K765" s="2">
        <f>INDEX(Locations!$A:$A,MATCH(I765,Locations!$B:$B,0))</f>
        <v>9</v>
      </c>
    </row>
    <row r="766" spans="1:11" x14ac:dyDescent="0.2">
      <c r="A766" s="3">
        <v>765</v>
      </c>
      <c r="B766" t="s">
        <v>527</v>
      </c>
      <c r="C766" t="s">
        <v>500</v>
      </c>
      <c r="D766" s="1">
        <v>39594</v>
      </c>
      <c r="E766" t="s">
        <v>1218</v>
      </c>
      <c r="F766">
        <v>1</v>
      </c>
      <c r="G766" t="s">
        <v>1353</v>
      </c>
      <c r="H766" s="2">
        <v>761</v>
      </c>
      <c r="I766" t="s">
        <v>92</v>
      </c>
      <c r="J766" s="2">
        <f>INDEX(Positions!$A:$A,MATCH(E766,Positions!$B:$B,0))</f>
        <v>9</v>
      </c>
      <c r="K766" s="2">
        <f>INDEX(Locations!$A:$A,MATCH(I766,Locations!$B:$B,0))</f>
        <v>6</v>
      </c>
    </row>
    <row r="767" spans="1:11" x14ac:dyDescent="0.2">
      <c r="A767" s="3">
        <v>766</v>
      </c>
      <c r="B767" t="s">
        <v>285</v>
      </c>
      <c r="C767" t="s">
        <v>368</v>
      </c>
      <c r="D767" s="1">
        <v>38970</v>
      </c>
      <c r="E767" t="s">
        <v>1218</v>
      </c>
      <c r="F767">
        <v>1</v>
      </c>
      <c r="G767" t="s">
        <v>1354</v>
      </c>
      <c r="H767" s="2">
        <v>757</v>
      </c>
      <c r="I767" t="s">
        <v>92</v>
      </c>
      <c r="J767" s="2">
        <f>INDEX(Positions!$A:$A,MATCH(E767,Positions!$B:$B,0))</f>
        <v>9</v>
      </c>
      <c r="K767" s="2">
        <f>INDEX(Locations!$A:$A,MATCH(I767,Locations!$B:$B,0))</f>
        <v>6</v>
      </c>
    </row>
    <row r="768" spans="1:11" x14ac:dyDescent="0.2">
      <c r="A768" s="3">
        <v>767</v>
      </c>
      <c r="B768" t="s">
        <v>284</v>
      </c>
      <c r="C768" t="s">
        <v>521</v>
      </c>
      <c r="D768" s="1">
        <v>39425</v>
      </c>
      <c r="E768" t="s">
        <v>1218</v>
      </c>
      <c r="F768">
        <v>1</v>
      </c>
      <c r="G768" t="s">
        <v>1355</v>
      </c>
      <c r="H768" s="2">
        <v>757</v>
      </c>
      <c r="I768" t="s">
        <v>92</v>
      </c>
      <c r="J768" s="2">
        <f>INDEX(Positions!$A:$A,MATCH(E768,Positions!$B:$B,0))</f>
        <v>9</v>
      </c>
      <c r="K768" s="2">
        <f>INDEX(Locations!$A:$A,MATCH(I768,Locations!$B:$B,0))</f>
        <v>6</v>
      </c>
    </row>
    <row r="769" spans="1:11" x14ac:dyDescent="0.2">
      <c r="A769" s="3">
        <v>768</v>
      </c>
      <c r="B769" t="s">
        <v>257</v>
      </c>
      <c r="C769" t="s">
        <v>505</v>
      </c>
      <c r="D769" s="1">
        <v>33379</v>
      </c>
      <c r="E769" t="s">
        <v>1216</v>
      </c>
      <c r="F769">
        <v>2</v>
      </c>
      <c r="G769" t="s">
        <v>1356</v>
      </c>
      <c r="H769" s="2">
        <v>761</v>
      </c>
      <c r="I769" t="s">
        <v>92</v>
      </c>
      <c r="J769" s="2">
        <f>INDEX(Positions!$A:$A,MATCH(E769,Positions!$B:$B,0))</f>
        <v>14</v>
      </c>
      <c r="K769" s="2">
        <f>INDEX(Locations!$A:$A,MATCH(I769,Locations!$B:$B,0))</f>
        <v>6</v>
      </c>
    </row>
    <row r="770" spans="1:11" x14ac:dyDescent="0.2">
      <c r="A770" s="3">
        <v>769</v>
      </c>
      <c r="B770" t="s">
        <v>345</v>
      </c>
      <c r="C770" t="s">
        <v>340</v>
      </c>
      <c r="D770" s="1">
        <v>33645</v>
      </c>
      <c r="E770" t="s">
        <v>1216</v>
      </c>
      <c r="F770">
        <v>2</v>
      </c>
      <c r="G770" t="s">
        <v>1357</v>
      </c>
      <c r="H770" s="2">
        <v>757</v>
      </c>
      <c r="I770" t="s">
        <v>92</v>
      </c>
      <c r="J770" s="2">
        <f>INDEX(Positions!$A:$A,MATCH(E770,Positions!$B:$B,0))</f>
        <v>14</v>
      </c>
      <c r="K770" s="2">
        <f>INDEX(Locations!$A:$A,MATCH(I770,Locations!$B:$B,0))</f>
        <v>6</v>
      </c>
    </row>
    <row r="771" spans="1:11" x14ac:dyDescent="0.2">
      <c r="A771" s="3">
        <v>770</v>
      </c>
      <c r="B771" t="s">
        <v>391</v>
      </c>
      <c r="C771" t="s">
        <v>141</v>
      </c>
      <c r="D771" s="1">
        <v>35500</v>
      </c>
      <c r="E771" t="s">
        <v>1216</v>
      </c>
      <c r="F771">
        <v>2</v>
      </c>
      <c r="G771" t="s">
        <v>1358</v>
      </c>
      <c r="H771" s="2">
        <v>761</v>
      </c>
      <c r="I771" t="s">
        <v>92</v>
      </c>
      <c r="J771" s="2">
        <f>INDEX(Positions!$A:$A,MATCH(E771,Positions!$B:$B,0))</f>
        <v>14</v>
      </c>
      <c r="K771" s="2">
        <f>INDEX(Locations!$A:$A,MATCH(I771,Locations!$B:$B,0))</f>
        <v>6</v>
      </c>
    </row>
    <row r="772" spans="1:11" x14ac:dyDescent="0.2">
      <c r="A772" s="3">
        <v>771</v>
      </c>
      <c r="B772" t="s">
        <v>291</v>
      </c>
      <c r="C772" t="s">
        <v>190</v>
      </c>
      <c r="D772" s="1">
        <v>37616</v>
      </c>
      <c r="E772" t="s">
        <v>1216</v>
      </c>
      <c r="F772">
        <v>2</v>
      </c>
      <c r="G772" t="s">
        <v>1359</v>
      </c>
      <c r="H772" s="2">
        <v>736</v>
      </c>
      <c r="I772" t="s">
        <v>1224</v>
      </c>
      <c r="J772" s="2">
        <f>INDEX(Positions!$A:$A,MATCH(E772,Positions!$B:$B,0))</f>
        <v>14</v>
      </c>
      <c r="K772" s="2">
        <f>INDEX(Locations!$A:$A,MATCH(I772,Locations!$B:$B,0))</f>
        <v>9</v>
      </c>
    </row>
    <row r="773" spans="1:11" x14ac:dyDescent="0.2">
      <c r="A773" s="3">
        <v>772</v>
      </c>
      <c r="B773" t="s">
        <v>156</v>
      </c>
      <c r="C773" t="s">
        <v>254</v>
      </c>
      <c r="D773" s="1">
        <v>31631</v>
      </c>
      <c r="E773" t="s">
        <v>1262</v>
      </c>
      <c r="F773">
        <v>4</v>
      </c>
      <c r="G773" t="s">
        <v>1360</v>
      </c>
      <c r="H773" s="2">
        <v>761</v>
      </c>
      <c r="I773" t="s">
        <v>92</v>
      </c>
      <c r="J773" s="2">
        <f>INDEX(Positions!$A:$A,MATCH(E773,Positions!$B:$B,0))</f>
        <v>59</v>
      </c>
      <c r="K773" s="2">
        <f>INDEX(Locations!$A:$A,MATCH(I773,Locations!$B:$B,0))</f>
        <v>6</v>
      </c>
    </row>
    <row r="774" spans="1:11" x14ac:dyDescent="0.2">
      <c r="A774" s="3">
        <v>773</v>
      </c>
      <c r="B774" t="s">
        <v>311</v>
      </c>
      <c r="C774" t="s">
        <v>130</v>
      </c>
      <c r="D774" s="1">
        <v>38509</v>
      </c>
      <c r="E774" t="s">
        <v>1218</v>
      </c>
      <c r="F774">
        <v>1</v>
      </c>
      <c r="G774" t="s">
        <v>1361</v>
      </c>
      <c r="H774" s="2">
        <v>761</v>
      </c>
      <c r="I774" t="s">
        <v>92</v>
      </c>
      <c r="J774" s="2">
        <f>INDEX(Positions!$A:$A,MATCH(E774,Positions!$B:$B,0))</f>
        <v>9</v>
      </c>
      <c r="K774" s="2">
        <f>INDEX(Locations!$A:$A,MATCH(I774,Locations!$B:$B,0))</f>
        <v>6</v>
      </c>
    </row>
    <row r="775" spans="1:11" x14ac:dyDescent="0.2">
      <c r="A775" s="3">
        <v>774</v>
      </c>
      <c r="B775" t="s">
        <v>330</v>
      </c>
      <c r="C775" t="s">
        <v>154</v>
      </c>
      <c r="D775" s="1">
        <v>36493</v>
      </c>
      <c r="E775" t="s">
        <v>1225</v>
      </c>
      <c r="F775">
        <v>3</v>
      </c>
      <c r="G775" t="s">
        <v>1362</v>
      </c>
      <c r="H775" s="2">
        <v>757</v>
      </c>
      <c r="I775" t="s">
        <v>92</v>
      </c>
      <c r="J775" s="2">
        <f>INDEX(Positions!$A:$A,MATCH(E775,Positions!$B:$B,0))</f>
        <v>50</v>
      </c>
      <c r="K775" s="2">
        <f>INDEX(Locations!$A:$A,MATCH(I775,Locations!$B:$B,0))</f>
        <v>6</v>
      </c>
    </row>
    <row r="776" spans="1:11" x14ac:dyDescent="0.2">
      <c r="A776" s="3">
        <v>775</v>
      </c>
      <c r="B776" t="s">
        <v>170</v>
      </c>
      <c r="C776" t="s">
        <v>96</v>
      </c>
      <c r="D776" s="1">
        <v>38891</v>
      </c>
      <c r="E776" t="s">
        <v>1218</v>
      </c>
      <c r="F776">
        <v>1</v>
      </c>
      <c r="G776" t="s">
        <v>1363</v>
      </c>
      <c r="H776" s="2">
        <v>757</v>
      </c>
      <c r="I776" t="s">
        <v>92</v>
      </c>
      <c r="J776" s="2">
        <f>INDEX(Positions!$A:$A,MATCH(E776,Positions!$B:$B,0))</f>
        <v>9</v>
      </c>
      <c r="K776" s="2">
        <f>INDEX(Locations!$A:$A,MATCH(I776,Locations!$B:$B,0))</f>
        <v>6</v>
      </c>
    </row>
    <row r="777" spans="1:11" x14ac:dyDescent="0.2">
      <c r="A777" s="3">
        <v>776</v>
      </c>
      <c r="B777" t="s">
        <v>328</v>
      </c>
      <c r="C777" t="s">
        <v>357</v>
      </c>
      <c r="D777" s="1">
        <v>36556</v>
      </c>
      <c r="E777" t="s">
        <v>1218</v>
      </c>
      <c r="F777">
        <v>1</v>
      </c>
      <c r="G777" t="s">
        <v>1364</v>
      </c>
      <c r="H777" s="2">
        <v>761</v>
      </c>
      <c r="I777" t="s">
        <v>92</v>
      </c>
      <c r="J777" s="2">
        <f>INDEX(Positions!$A:$A,MATCH(E777,Positions!$B:$B,0))</f>
        <v>9</v>
      </c>
      <c r="K777" s="2">
        <f>INDEX(Locations!$A:$A,MATCH(I777,Locations!$B:$B,0))</f>
        <v>6</v>
      </c>
    </row>
    <row r="778" spans="1:11" x14ac:dyDescent="0.2">
      <c r="A778" s="3">
        <v>777</v>
      </c>
      <c r="B778" t="s">
        <v>455</v>
      </c>
      <c r="C778" t="s">
        <v>120</v>
      </c>
      <c r="D778" s="1">
        <v>38323</v>
      </c>
      <c r="E778" t="s">
        <v>1216</v>
      </c>
      <c r="F778">
        <v>2</v>
      </c>
      <c r="G778" t="s">
        <v>1365</v>
      </c>
      <c r="H778" s="2">
        <v>757</v>
      </c>
      <c r="I778" t="s">
        <v>92</v>
      </c>
      <c r="J778" s="2">
        <f>INDEX(Positions!$A:$A,MATCH(E778,Positions!$B:$B,0))</f>
        <v>14</v>
      </c>
      <c r="K778" s="2">
        <f>INDEX(Locations!$A:$A,MATCH(I778,Locations!$B:$B,0))</f>
        <v>6</v>
      </c>
    </row>
    <row r="779" spans="1:11" x14ac:dyDescent="0.2">
      <c r="A779" s="3">
        <v>778</v>
      </c>
      <c r="B779" t="s">
        <v>381</v>
      </c>
      <c r="C779" t="s">
        <v>199</v>
      </c>
      <c r="D779" s="1">
        <v>36384</v>
      </c>
      <c r="E779" t="s">
        <v>1225</v>
      </c>
      <c r="F779">
        <v>3</v>
      </c>
      <c r="G779" t="s">
        <v>1366</v>
      </c>
      <c r="H779" s="2">
        <v>743</v>
      </c>
      <c r="I779" t="s">
        <v>1224</v>
      </c>
      <c r="J779" s="2">
        <f>INDEX(Positions!$A:$A,MATCH(E779,Positions!$B:$B,0))</f>
        <v>50</v>
      </c>
      <c r="K779" s="2">
        <f>INDEX(Locations!$A:$A,MATCH(I779,Locations!$B:$B,0))</f>
        <v>9</v>
      </c>
    </row>
    <row r="780" spans="1:11" x14ac:dyDescent="0.2">
      <c r="A780" s="3">
        <v>779</v>
      </c>
      <c r="B780" t="s">
        <v>296</v>
      </c>
      <c r="C780" t="s">
        <v>386</v>
      </c>
      <c r="D780" s="1">
        <v>36051</v>
      </c>
      <c r="E780" t="s">
        <v>1225</v>
      </c>
      <c r="F780">
        <v>3</v>
      </c>
      <c r="G780" t="s">
        <v>1367</v>
      </c>
      <c r="H780" s="2">
        <v>761</v>
      </c>
      <c r="I780" t="s">
        <v>92</v>
      </c>
      <c r="J780" s="2">
        <f>INDEX(Positions!$A:$A,MATCH(E780,Positions!$B:$B,0))</f>
        <v>50</v>
      </c>
      <c r="K780" s="2">
        <f>INDEX(Locations!$A:$A,MATCH(I780,Locations!$B:$B,0))</f>
        <v>6</v>
      </c>
    </row>
    <row r="781" spans="1:11" x14ac:dyDescent="0.2">
      <c r="A781" s="3">
        <v>780</v>
      </c>
      <c r="B781" t="s">
        <v>698</v>
      </c>
      <c r="C781" t="s">
        <v>414</v>
      </c>
      <c r="D781" s="1">
        <v>34604</v>
      </c>
      <c r="E781" t="s">
        <v>1225</v>
      </c>
      <c r="F781">
        <v>3</v>
      </c>
      <c r="G781" t="s">
        <v>1368</v>
      </c>
      <c r="H781" s="2">
        <v>761</v>
      </c>
      <c r="I781" t="s">
        <v>92</v>
      </c>
      <c r="J781" s="2">
        <f>INDEX(Positions!$A:$A,MATCH(E781,Positions!$B:$B,0))</f>
        <v>50</v>
      </c>
      <c r="K781" s="2">
        <f>INDEX(Locations!$A:$A,MATCH(I781,Locations!$B:$B,0))</f>
        <v>6</v>
      </c>
    </row>
    <row r="782" spans="1:11" x14ac:dyDescent="0.2">
      <c r="A782" s="3">
        <v>781</v>
      </c>
      <c r="B782" t="s">
        <v>341</v>
      </c>
      <c r="C782" t="s">
        <v>514</v>
      </c>
      <c r="D782" s="1">
        <v>38573</v>
      </c>
      <c r="E782" t="s">
        <v>1218</v>
      </c>
      <c r="F782">
        <v>1</v>
      </c>
      <c r="G782" t="s">
        <v>1369</v>
      </c>
      <c r="H782" s="2">
        <v>757</v>
      </c>
      <c r="I782" t="s">
        <v>92</v>
      </c>
      <c r="J782" s="2">
        <f>INDEX(Positions!$A:$A,MATCH(E782,Positions!$B:$B,0))</f>
        <v>9</v>
      </c>
      <c r="K782" s="2">
        <f>INDEX(Locations!$A:$A,MATCH(I782,Locations!$B:$B,0))</f>
        <v>6</v>
      </c>
    </row>
    <row r="783" spans="1:11" x14ac:dyDescent="0.2">
      <c r="A783" s="3">
        <v>782</v>
      </c>
      <c r="B783" t="s">
        <v>310</v>
      </c>
      <c r="C783" t="s">
        <v>236</v>
      </c>
      <c r="D783" s="1">
        <v>37794</v>
      </c>
      <c r="E783" t="s">
        <v>1216</v>
      </c>
      <c r="F783">
        <v>2</v>
      </c>
      <c r="G783" t="s">
        <v>1370</v>
      </c>
      <c r="H783" s="2">
        <v>761</v>
      </c>
      <c r="I783" t="s">
        <v>92</v>
      </c>
      <c r="J783" s="2">
        <f>INDEX(Positions!$A:$A,MATCH(E783,Positions!$B:$B,0))</f>
        <v>14</v>
      </c>
      <c r="K783" s="2">
        <f>INDEX(Locations!$A:$A,MATCH(I783,Locations!$B:$B,0))</f>
        <v>6</v>
      </c>
    </row>
    <row r="784" spans="1:11" x14ac:dyDescent="0.2">
      <c r="A784" s="3">
        <v>783</v>
      </c>
      <c r="B784" t="s">
        <v>1010</v>
      </c>
      <c r="C784" t="s">
        <v>169</v>
      </c>
      <c r="D784" s="1">
        <v>29331</v>
      </c>
      <c r="E784" t="s">
        <v>1371</v>
      </c>
      <c r="F784">
        <v>8</v>
      </c>
      <c r="G784" t="s">
        <v>1372</v>
      </c>
      <c r="H784" s="2">
        <v>6</v>
      </c>
      <c r="I784" t="s">
        <v>50</v>
      </c>
      <c r="J784" s="2">
        <f>INDEX(Positions!$A:$A,MATCH(E784,Positions!$B:$B,0))</f>
        <v>111</v>
      </c>
      <c r="K784" s="2">
        <f>INDEX(Locations!$A:$A,MATCH(I784,Locations!$B:$B,0))</f>
        <v>1</v>
      </c>
    </row>
    <row r="785" spans="1:11" x14ac:dyDescent="0.2">
      <c r="A785" s="3">
        <v>784</v>
      </c>
      <c r="B785" t="s">
        <v>186</v>
      </c>
      <c r="C785" t="s">
        <v>184</v>
      </c>
      <c r="D785" s="1">
        <v>35364</v>
      </c>
      <c r="E785" t="s">
        <v>1373</v>
      </c>
      <c r="F785">
        <v>2</v>
      </c>
      <c r="G785" t="s">
        <v>1374</v>
      </c>
      <c r="H785" s="2">
        <v>783</v>
      </c>
      <c r="I785" t="s">
        <v>1375</v>
      </c>
      <c r="J785" s="2">
        <f>INDEX(Positions!$A:$A,MATCH(E785,Positions!$B:$B,0))</f>
        <v>23</v>
      </c>
      <c r="K785" s="2">
        <f>INDEX(Locations!$A:$A,MATCH(I785,Locations!$B:$B,0))</f>
        <v>12</v>
      </c>
    </row>
    <row r="786" spans="1:11" x14ac:dyDescent="0.2">
      <c r="A786" s="3">
        <v>785</v>
      </c>
      <c r="B786" t="s">
        <v>455</v>
      </c>
      <c r="C786" t="s">
        <v>489</v>
      </c>
      <c r="D786" s="1">
        <v>34089</v>
      </c>
      <c r="E786" t="s">
        <v>1376</v>
      </c>
      <c r="F786">
        <v>3</v>
      </c>
      <c r="G786" t="s">
        <v>1377</v>
      </c>
      <c r="H786" s="2">
        <v>783</v>
      </c>
      <c r="I786" t="s">
        <v>1378</v>
      </c>
      <c r="J786" s="2">
        <f>INDEX(Positions!$A:$A,MATCH(E786,Positions!$B:$B,0))</f>
        <v>26</v>
      </c>
      <c r="K786" s="2">
        <f>INDEX(Locations!$A:$A,MATCH(I786,Locations!$B:$B,0))</f>
        <v>4</v>
      </c>
    </row>
    <row r="787" spans="1:11" x14ac:dyDescent="0.2">
      <c r="A787" s="3">
        <v>786</v>
      </c>
      <c r="B787" t="s">
        <v>349</v>
      </c>
      <c r="C787" t="s">
        <v>395</v>
      </c>
      <c r="D787" s="1">
        <v>29200</v>
      </c>
      <c r="E787" t="s">
        <v>1379</v>
      </c>
      <c r="F787">
        <v>4</v>
      </c>
      <c r="G787" t="s">
        <v>1380</v>
      </c>
      <c r="H787" s="2">
        <v>783</v>
      </c>
      <c r="I787" t="s">
        <v>1378</v>
      </c>
      <c r="J787" s="2">
        <f>INDEX(Positions!$A:$A,MATCH(E787,Positions!$B:$B,0))</f>
        <v>61</v>
      </c>
      <c r="K787" s="2">
        <f>INDEX(Locations!$A:$A,MATCH(I787,Locations!$B:$B,0))</f>
        <v>4</v>
      </c>
    </row>
    <row r="788" spans="1:11" x14ac:dyDescent="0.2">
      <c r="A788" s="3">
        <v>787</v>
      </c>
      <c r="B788" t="s">
        <v>205</v>
      </c>
      <c r="C788" t="s">
        <v>802</v>
      </c>
      <c r="D788" s="1">
        <v>35641</v>
      </c>
      <c r="E788" t="s">
        <v>1376</v>
      </c>
      <c r="F788">
        <v>3</v>
      </c>
      <c r="G788" t="s">
        <v>1381</v>
      </c>
      <c r="H788" s="2">
        <v>783</v>
      </c>
      <c r="I788" t="s">
        <v>1375</v>
      </c>
      <c r="J788" s="2">
        <f>INDEX(Positions!$A:$A,MATCH(E788,Positions!$B:$B,0))</f>
        <v>26</v>
      </c>
      <c r="K788" s="2">
        <f>INDEX(Locations!$A:$A,MATCH(I788,Locations!$B:$B,0))</f>
        <v>12</v>
      </c>
    </row>
    <row r="789" spans="1:11" x14ac:dyDescent="0.2">
      <c r="A789" s="3">
        <v>788</v>
      </c>
      <c r="B789" t="s">
        <v>328</v>
      </c>
      <c r="C789" t="s">
        <v>237</v>
      </c>
      <c r="D789" s="1">
        <v>37388</v>
      </c>
      <c r="E789" t="s">
        <v>1382</v>
      </c>
      <c r="F789">
        <v>1</v>
      </c>
      <c r="G789" t="s">
        <v>1383</v>
      </c>
      <c r="H789" s="2">
        <v>807</v>
      </c>
      <c r="I789" t="s">
        <v>1384</v>
      </c>
      <c r="J789" s="2">
        <f>INDEX(Positions!$A:$A,MATCH(E789,Positions!$B:$B,0))</f>
        <v>5</v>
      </c>
      <c r="K789" s="2">
        <f>INDEX(Locations!$A:$A,MATCH(I789,Locations!$B:$B,0))</f>
        <v>2</v>
      </c>
    </row>
    <row r="790" spans="1:11" x14ac:dyDescent="0.2">
      <c r="A790" s="3">
        <v>789</v>
      </c>
      <c r="B790" t="s">
        <v>367</v>
      </c>
      <c r="C790" t="s">
        <v>162</v>
      </c>
      <c r="D790" s="1">
        <v>36959</v>
      </c>
      <c r="E790" t="s">
        <v>1373</v>
      </c>
      <c r="F790">
        <v>2</v>
      </c>
      <c r="G790" t="s">
        <v>1385</v>
      </c>
      <c r="H790" s="2">
        <v>783</v>
      </c>
      <c r="I790" t="s">
        <v>1386</v>
      </c>
      <c r="J790" s="2">
        <f>INDEX(Positions!$A:$A,MATCH(E790,Positions!$B:$B,0))</f>
        <v>23</v>
      </c>
      <c r="K790" s="2">
        <f>INDEX(Locations!$A:$A,MATCH(I790,Locations!$B:$B,0))</f>
        <v>5</v>
      </c>
    </row>
    <row r="791" spans="1:11" x14ac:dyDescent="0.2">
      <c r="A791" s="3">
        <v>790</v>
      </c>
      <c r="B791" t="s">
        <v>129</v>
      </c>
      <c r="C791" t="s">
        <v>87</v>
      </c>
      <c r="D791" s="1">
        <v>32826</v>
      </c>
      <c r="E791" t="s">
        <v>1373</v>
      </c>
      <c r="F791">
        <v>2</v>
      </c>
      <c r="G791" t="s">
        <v>1387</v>
      </c>
      <c r="H791" s="2">
        <v>783</v>
      </c>
      <c r="I791" t="s">
        <v>1384</v>
      </c>
      <c r="J791" s="2">
        <f>INDEX(Positions!$A:$A,MATCH(E791,Positions!$B:$B,0))</f>
        <v>23</v>
      </c>
      <c r="K791" s="2">
        <f>INDEX(Locations!$A:$A,MATCH(I791,Locations!$B:$B,0))</f>
        <v>2</v>
      </c>
    </row>
    <row r="792" spans="1:11" x14ac:dyDescent="0.2">
      <c r="A792" s="3">
        <v>791</v>
      </c>
      <c r="B792" t="s">
        <v>650</v>
      </c>
      <c r="C792" t="s">
        <v>216</v>
      </c>
      <c r="D792" s="1">
        <v>30243</v>
      </c>
      <c r="E792" t="s">
        <v>1376</v>
      </c>
      <c r="F792">
        <v>3</v>
      </c>
      <c r="G792" t="s">
        <v>1388</v>
      </c>
      <c r="H792" s="2">
        <v>783</v>
      </c>
      <c r="I792" t="s">
        <v>1389</v>
      </c>
      <c r="J792" s="2">
        <f>INDEX(Positions!$A:$A,MATCH(E792,Positions!$B:$B,0))</f>
        <v>26</v>
      </c>
      <c r="K792" s="2">
        <f>INDEX(Locations!$A:$A,MATCH(I792,Locations!$B:$B,0))</f>
        <v>7</v>
      </c>
    </row>
    <row r="793" spans="1:11" x14ac:dyDescent="0.2">
      <c r="A793" s="3">
        <v>792</v>
      </c>
      <c r="B793" t="s">
        <v>412</v>
      </c>
      <c r="C793" t="s">
        <v>380</v>
      </c>
      <c r="D793" s="1">
        <v>32936</v>
      </c>
      <c r="E793" t="s">
        <v>1379</v>
      </c>
      <c r="F793">
        <v>4</v>
      </c>
      <c r="G793" t="s">
        <v>1390</v>
      </c>
      <c r="H793" s="2">
        <v>783</v>
      </c>
      <c r="I793" t="s">
        <v>50</v>
      </c>
      <c r="J793" s="2">
        <f>INDEX(Positions!$A:$A,MATCH(E793,Positions!$B:$B,0))</f>
        <v>61</v>
      </c>
      <c r="K793" s="2">
        <f>INDEX(Locations!$A:$A,MATCH(I793,Locations!$B:$B,0))</f>
        <v>1</v>
      </c>
    </row>
    <row r="794" spans="1:11" x14ac:dyDescent="0.2">
      <c r="A794" s="3">
        <v>793</v>
      </c>
      <c r="B794" t="s">
        <v>360</v>
      </c>
      <c r="C794" t="s">
        <v>155</v>
      </c>
      <c r="D794" s="1">
        <v>36275</v>
      </c>
      <c r="E794" t="s">
        <v>1376</v>
      </c>
      <c r="F794">
        <v>3</v>
      </c>
      <c r="G794" t="s">
        <v>1391</v>
      </c>
      <c r="H794" s="2">
        <v>783</v>
      </c>
      <c r="I794" t="s">
        <v>50</v>
      </c>
      <c r="J794" s="2">
        <f>INDEX(Positions!$A:$A,MATCH(E794,Positions!$B:$B,0))</f>
        <v>26</v>
      </c>
      <c r="K794" s="2">
        <f>INDEX(Locations!$A:$A,MATCH(I794,Locations!$B:$B,0))</f>
        <v>1</v>
      </c>
    </row>
    <row r="795" spans="1:11" x14ac:dyDescent="0.2">
      <c r="A795" s="3">
        <v>794</v>
      </c>
      <c r="B795" t="s">
        <v>287</v>
      </c>
      <c r="C795" t="s">
        <v>238</v>
      </c>
      <c r="D795" s="1">
        <v>33634</v>
      </c>
      <c r="E795" t="s">
        <v>1373</v>
      </c>
      <c r="F795">
        <v>2</v>
      </c>
      <c r="G795" t="s">
        <v>1392</v>
      </c>
      <c r="H795" s="2">
        <v>783</v>
      </c>
      <c r="I795" t="s">
        <v>1375</v>
      </c>
      <c r="J795" s="2">
        <f>INDEX(Positions!$A:$A,MATCH(E795,Positions!$B:$B,0))</f>
        <v>23</v>
      </c>
      <c r="K795" s="2">
        <f>INDEX(Locations!$A:$A,MATCH(I795,Locations!$B:$B,0))</f>
        <v>12</v>
      </c>
    </row>
    <row r="796" spans="1:11" x14ac:dyDescent="0.2">
      <c r="A796" s="3">
        <v>795</v>
      </c>
      <c r="B796" t="s">
        <v>279</v>
      </c>
      <c r="C796" t="s">
        <v>201</v>
      </c>
      <c r="D796" s="1">
        <v>33966</v>
      </c>
      <c r="E796" t="s">
        <v>1379</v>
      </c>
      <c r="F796">
        <v>4</v>
      </c>
      <c r="G796" t="s">
        <v>1393</v>
      </c>
      <c r="H796" s="2">
        <v>783</v>
      </c>
      <c r="I796" t="s">
        <v>1375</v>
      </c>
      <c r="J796" s="2">
        <f>INDEX(Positions!$A:$A,MATCH(E796,Positions!$B:$B,0))</f>
        <v>61</v>
      </c>
      <c r="K796" s="2">
        <f>INDEX(Locations!$A:$A,MATCH(I796,Locations!$B:$B,0))</f>
        <v>12</v>
      </c>
    </row>
    <row r="797" spans="1:11" x14ac:dyDescent="0.2">
      <c r="A797" s="3">
        <v>796</v>
      </c>
      <c r="B797" t="s">
        <v>322</v>
      </c>
      <c r="C797" t="s">
        <v>552</v>
      </c>
      <c r="D797" s="1">
        <v>33983</v>
      </c>
      <c r="E797" t="s">
        <v>1394</v>
      </c>
      <c r="F797">
        <v>3</v>
      </c>
      <c r="G797" t="s">
        <v>1395</v>
      </c>
      <c r="H797" s="2">
        <v>807</v>
      </c>
      <c r="I797" t="s">
        <v>50</v>
      </c>
      <c r="J797" s="2">
        <f>INDEX(Positions!$A:$A,MATCH(E797,Positions!$B:$B,0))</f>
        <v>49</v>
      </c>
      <c r="K797" s="2">
        <f>INDEX(Locations!$A:$A,MATCH(I797,Locations!$B:$B,0))</f>
        <v>1</v>
      </c>
    </row>
    <row r="798" spans="1:11" x14ac:dyDescent="0.2">
      <c r="A798" s="3">
        <v>797</v>
      </c>
      <c r="B798" t="s">
        <v>579</v>
      </c>
      <c r="C798" t="s">
        <v>96</v>
      </c>
      <c r="D798" s="1">
        <v>36002</v>
      </c>
      <c r="E798" t="s">
        <v>1373</v>
      </c>
      <c r="F798">
        <v>2</v>
      </c>
      <c r="G798" t="s">
        <v>1396</v>
      </c>
      <c r="H798" s="2">
        <v>783</v>
      </c>
      <c r="I798" t="s">
        <v>50</v>
      </c>
      <c r="J798" s="2">
        <f>INDEX(Positions!$A:$A,MATCH(E798,Positions!$B:$B,0))</f>
        <v>23</v>
      </c>
      <c r="K798" s="2">
        <f>INDEX(Locations!$A:$A,MATCH(I798,Locations!$B:$B,0))</f>
        <v>1</v>
      </c>
    </row>
    <row r="799" spans="1:11" x14ac:dyDescent="0.2">
      <c r="A799" s="3">
        <v>798</v>
      </c>
      <c r="B799" t="s">
        <v>371</v>
      </c>
      <c r="C799" t="s">
        <v>382</v>
      </c>
      <c r="D799" s="1">
        <v>33424</v>
      </c>
      <c r="E799" t="s">
        <v>1373</v>
      </c>
      <c r="F799">
        <v>2</v>
      </c>
      <c r="G799" t="s">
        <v>1397</v>
      </c>
      <c r="H799" s="2">
        <v>783</v>
      </c>
      <c r="I799" t="s">
        <v>1378</v>
      </c>
      <c r="J799" s="2">
        <f>INDEX(Positions!$A:$A,MATCH(E799,Positions!$B:$B,0))</f>
        <v>23</v>
      </c>
      <c r="K799" s="2">
        <f>INDEX(Locations!$A:$A,MATCH(I799,Locations!$B:$B,0))</f>
        <v>4</v>
      </c>
    </row>
    <row r="800" spans="1:11" x14ac:dyDescent="0.2">
      <c r="A800" s="3">
        <v>799</v>
      </c>
      <c r="B800" t="s">
        <v>444</v>
      </c>
      <c r="C800" t="s">
        <v>554</v>
      </c>
      <c r="D800" s="1">
        <v>36598</v>
      </c>
      <c r="E800" t="s">
        <v>1382</v>
      </c>
      <c r="F800">
        <v>1</v>
      </c>
      <c r="G800" t="s">
        <v>1398</v>
      </c>
      <c r="H800" s="2">
        <v>783</v>
      </c>
      <c r="I800" t="s">
        <v>1378</v>
      </c>
      <c r="J800" s="2">
        <f>INDEX(Positions!$A:$A,MATCH(E800,Positions!$B:$B,0))</f>
        <v>5</v>
      </c>
      <c r="K800" s="2">
        <f>INDEX(Locations!$A:$A,MATCH(I800,Locations!$B:$B,0))</f>
        <v>4</v>
      </c>
    </row>
    <row r="801" spans="1:11" x14ac:dyDescent="0.2">
      <c r="A801" s="3">
        <v>800</v>
      </c>
      <c r="B801" t="s">
        <v>176</v>
      </c>
      <c r="C801" t="s">
        <v>347</v>
      </c>
      <c r="D801" s="1">
        <v>30021</v>
      </c>
      <c r="E801" t="s">
        <v>1399</v>
      </c>
      <c r="F801">
        <v>7</v>
      </c>
      <c r="G801" t="s">
        <v>1400</v>
      </c>
      <c r="H801" s="2">
        <v>783</v>
      </c>
      <c r="I801" t="s">
        <v>50</v>
      </c>
      <c r="J801" s="2">
        <f>INDEX(Positions!$A:$A,MATCH(E801,Positions!$B:$B,0))</f>
        <v>105</v>
      </c>
      <c r="K801" s="2">
        <f>INDEX(Locations!$A:$A,MATCH(I801,Locations!$B:$B,0))</f>
        <v>1</v>
      </c>
    </row>
    <row r="802" spans="1:11" x14ac:dyDescent="0.2">
      <c r="A802" s="3">
        <v>801</v>
      </c>
      <c r="B802" t="s">
        <v>444</v>
      </c>
      <c r="C802" t="s">
        <v>238</v>
      </c>
      <c r="D802" s="1">
        <v>36342</v>
      </c>
      <c r="E802" t="s">
        <v>1382</v>
      </c>
      <c r="F802">
        <v>1</v>
      </c>
      <c r="G802" t="s">
        <v>1401</v>
      </c>
      <c r="H802" s="2">
        <v>807</v>
      </c>
      <c r="I802" t="s">
        <v>50</v>
      </c>
      <c r="J802" s="2">
        <f>INDEX(Positions!$A:$A,MATCH(E802,Positions!$B:$B,0))</f>
        <v>5</v>
      </c>
      <c r="K802" s="2">
        <f>INDEX(Locations!$A:$A,MATCH(I802,Locations!$B:$B,0))</f>
        <v>1</v>
      </c>
    </row>
    <row r="803" spans="1:11" x14ac:dyDescent="0.2">
      <c r="A803" s="3">
        <v>802</v>
      </c>
      <c r="B803" t="s">
        <v>150</v>
      </c>
      <c r="C803" t="s">
        <v>392</v>
      </c>
      <c r="D803" s="1">
        <v>31857</v>
      </c>
      <c r="E803" t="s">
        <v>1376</v>
      </c>
      <c r="F803">
        <v>3</v>
      </c>
      <c r="G803" t="s">
        <v>1402</v>
      </c>
      <c r="H803" s="2">
        <v>807</v>
      </c>
      <c r="I803" t="s">
        <v>1386</v>
      </c>
      <c r="J803" s="2">
        <f>INDEX(Positions!$A:$A,MATCH(E803,Positions!$B:$B,0))</f>
        <v>26</v>
      </c>
      <c r="K803" s="2">
        <f>INDEX(Locations!$A:$A,MATCH(I803,Locations!$B:$B,0))</f>
        <v>5</v>
      </c>
    </row>
    <row r="804" spans="1:11" x14ac:dyDescent="0.2">
      <c r="A804" s="3">
        <v>803</v>
      </c>
      <c r="B804" t="s">
        <v>374</v>
      </c>
      <c r="C804" t="s">
        <v>344</v>
      </c>
      <c r="D804" s="1">
        <v>36929</v>
      </c>
      <c r="E804" t="s">
        <v>1382</v>
      </c>
      <c r="F804">
        <v>1</v>
      </c>
      <c r="G804" t="s">
        <v>1403</v>
      </c>
      <c r="H804" s="2">
        <v>815</v>
      </c>
      <c r="I804" t="s">
        <v>1375</v>
      </c>
      <c r="J804" s="2">
        <f>INDEX(Positions!$A:$A,MATCH(E804,Positions!$B:$B,0))</f>
        <v>5</v>
      </c>
      <c r="K804" s="2">
        <f>INDEX(Locations!$A:$A,MATCH(I804,Locations!$B:$B,0))</f>
        <v>12</v>
      </c>
    </row>
    <row r="805" spans="1:11" x14ac:dyDescent="0.2">
      <c r="A805" s="3">
        <v>804</v>
      </c>
      <c r="B805" t="s">
        <v>194</v>
      </c>
      <c r="C805" t="s">
        <v>395</v>
      </c>
      <c r="D805" s="1">
        <v>36591</v>
      </c>
      <c r="E805" t="s">
        <v>1376</v>
      </c>
      <c r="F805">
        <v>3</v>
      </c>
      <c r="G805" t="s">
        <v>1404</v>
      </c>
      <c r="H805" s="2">
        <v>783</v>
      </c>
      <c r="I805" t="s">
        <v>1384</v>
      </c>
      <c r="J805" s="2">
        <f>INDEX(Positions!$A:$A,MATCH(E805,Positions!$B:$B,0))</f>
        <v>26</v>
      </c>
      <c r="K805" s="2">
        <f>INDEX(Locations!$A:$A,MATCH(I805,Locations!$B:$B,0))</f>
        <v>2</v>
      </c>
    </row>
    <row r="806" spans="1:11" x14ac:dyDescent="0.2">
      <c r="A806" s="3">
        <v>805</v>
      </c>
      <c r="B806" t="s">
        <v>277</v>
      </c>
      <c r="C806" t="s">
        <v>652</v>
      </c>
      <c r="D806" s="1">
        <v>32355</v>
      </c>
      <c r="E806" t="s">
        <v>1376</v>
      </c>
      <c r="F806">
        <v>3</v>
      </c>
      <c r="G806" t="s">
        <v>1405</v>
      </c>
      <c r="H806" s="2">
        <v>815</v>
      </c>
      <c r="I806" t="s">
        <v>1375</v>
      </c>
      <c r="J806" s="2">
        <f>INDEX(Positions!$A:$A,MATCH(E806,Positions!$B:$B,0))</f>
        <v>26</v>
      </c>
      <c r="K806" s="2">
        <f>INDEX(Locations!$A:$A,MATCH(I806,Locations!$B:$B,0))</f>
        <v>12</v>
      </c>
    </row>
    <row r="807" spans="1:11" x14ac:dyDescent="0.2">
      <c r="A807" s="3">
        <v>806</v>
      </c>
      <c r="B807" t="s">
        <v>537</v>
      </c>
      <c r="C807" t="s">
        <v>369</v>
      </c>
      <c r="D807" s="1">
        <v>37107</v>
      </c>
      <c r="E807" t="s">
        <v>1373</v>
      </c>
      <c r="F807">
        <v>2</v>
      </c>
      <c r="G807" t="s">
        <v>1406</v>
      </c>
      <c r="H807" s="2">
        <v>807</v>
      </c>
      <c r="I807" t="s">
        <v>1389</v>
      </c>
      <c r="J807" s="2">
        <f>INDEX(Positions!$A:$A,MATCH(E807,Positions!$B:$B,0))</f>
        <v>23</v>
      </c>
      <c r="K807" s="2">
        <f>INDEX(Locations!$A:$A,MATCH(I807,Locations!$B:$B,0))</f>
        <v>7</v>
      </c>
    </row>
    <row r="808" spans="1:11" x14ac:dyDescent="0.2">
      <c r="A808" s="3">
        <v>807</v>
      </c>
      <c r="B808" t="s">
        <v>533</v>
      </c>
      <c r="C808" t="s">
        <v>262</v>
      </c>
      <c r="D808" s="1">
        <v>35024</v>
      </c>
      <c r="E808" t="s">
        <v>1407</v>
      </c>
      <c r="F808">
        <v>6</v>
      </c>
      <c r="G808" t="s">
        <v>1408</v>
      </c>
      <c r="H808" s="2">
        <v>800</v>
      </c>
      <c r="I808" t="s">
        <v>1389</v>
      </c>
      <c r="J808" s="2">
        <f>INDEX(Positions!$A:$A,MATCH(E808,Positions!$B:$B,0))</f>
        <v>91</v>
      </c>
      <c r="K808" s="2">
        <f>INDEX(Locations!$A:$A,MATCH(I808,Locations!$B:$B,0))</f>
        <v>7</v>
      </c>
    </row>
    <row r="809" spans="1:11" x14ac:dyDescent="0.2">
      <c r="A809" s="3">
        <v>808</v>
      </c>
      <c r="B809" t="s">
        <v>422</v>
      </c>
      <c r="C809" t="s">
        <v>354</v>
      </c>
      <c r="D809" s="1">
        <v>31460</v>
      </c>
      <c r="E809" t="s">
        <v>1379</v>
      </c>
      <c r="F809">
        <v>4</v>
      </c>
      <c r="G809" t="s">
        <v>1409</v>
      </c>
      <c r="H809" s="2">
        <v>807</v>
      </c>
      <c r="I809" t="s">
        <v>1389</v>
      </c>
      <c r="J809" s="2">
        <f>INDEX(Positions!$A:$A,MATCH(E809,Positions!$B:$B,0))</f>
        <v>61</v>
      </c>
      <c r="K809" s="2">
        <f>INDEX(Locations!$A:$A,MATCH(I809,Locations!$B:$B,0))</f>
        <v>7</v>
      </c>
    </row>
    <row r="810" spans="1:11" x14ac:dyDescent="0.2">
      <c r="A810" s="3">
        <v>809</v>
      </c>
      <c r="B810" t="s">
        <v>313</v>
      </c>
      <c r="C810" t="s">
        <v>552</v>
      </c>
      <c r="D810" s="1">
        <v>35245</v>
      </c>
      <c r="E810" t="s">
        <v>1373</v>
      </c>
      <c r="F810">
        <v>2</v>
      </c>
      <c r="G810" t="s">
        <v>1410</v>
      </c>
      <c r="H810" s="2">
        <v>807</v>
      </c>
      <c r="I810" t="s">
        <v>1389</v>
      </c>
      <c r="J810" s="2">
        <f>INDEX(Positions!$A:$A,MATCH(E810,Positions!$B:$B,0))</f>
        <v>23</v>
      </c>
      <c r="K810" s="2">
        <f>INDEX(Locations!$A:$A,MATCH(I810,Locations!$B:$B,0))</f>
        <v>7</v>
      </c>
    </row>
    <row r="811" spans="1:11" x14ac:dyDescent="0.2">
      <c r="A811" s="3">
        <v>810</v>
      </c>
      <c r="B811" t="s">
        <v>374</v>
      </c>
      <c r="C811" t="s">
        <v>542</v>
      </c>
      <c r="D811" s="1">
        <v>37454</v>
      </c>
      <c r="E811" t="s">
        <v>1394</v>
      </c>
      <c r="F811">
        <v>3</v>
      </c>
      <c r="G811" t="s">
        <v>1411</v>
      </c>
      <c r="H811" s="2">
        <v>815</v>
      </c>
      <c r="I811" t="s">
        <v>1375</v>
      </c>
      <c r="J811" s="2">
        <f>INDEX(Positions!$A:$A,MATCH(E811,Positions!$B:$B,0))</f>
        <v>49</v>
      </c>
      <c r="K811" s="2">
        <f>INDEX(Locations!$A:$A,MATCH(I811,Locations!$B:$B,0))</f>
        <v>12</v>
      </c>
    </row>
    <row r="812" spans="1:11" x14ac:dyDescent="0.2">
      <c r="A812" s="3">
        <v>811</v>
      </c>
      <c r="B812" t="s">
        <v>573</v>
      </c>
      <c r="C812" t="s">
        <v>120</v>
      </c>
      <c r="D812" s="1">
        <v>33674</v>
      </c>
      <c r="E812" t="s">
        <v>1376</v>
      </c>
      <c r="F812">
        <v>3</v>
      </c>
      <c r="G812" t="s">
        <v>1412</v>
      </c>
      <c r="H812" s="2">
        <v>807</v>
      </c>
      <c r="I812" t="s">
        <v>1389</v>
      </c>
      <c r="J812" s="2">
        <f>INDEX(Positions!$A:$A,MATCH(E812,Positions!$B:$B,0))</f>
        <v>26</v>
      </c>
      <c r="K812" s="2">
        <f>INDEX(Locations!$A:$A,MATCH(I812,Locations!$B:$B,0))</f>
        <v>7</v>
      </c>
    </row>
    <row r="813" spans="1:11" x14ac:dyDescent="0.2">
      <c r="A813" s="3">
        <v>812</v>
      </c>
      <c r="B813" t="s">
        <v>426</v>
      </c>
      <c r="C813" t="s">
        <v>540</v>
      </c>
      <c r="D813" s="1">
        <v>33761</v>
      </c>
      <c r="E813" t="s">
        <v>1399</v>
      </c>
      <c r="F813">
        <v>7</v>
      </c>
      <c r="G813" t="s">
        <v>1413</v>
      </c>
      <c r="H813" s="2">
        <v>783</v>
      </c>
      <c r="I813" t="s">
        <v>1378</v>
      </c>
      <c r="J813" s="2">
        <f>INDEX(Positions!$A:$A,MATCH(E813,Positions!$B:$B,0))</f>
        <v>105</v>
      </c>
      <c r="K813" s="2">
        <f>INDEX(Locations!$A:$A,MATCH(I813,Locations!$B:$B,0))</f>
        <v>4</v>
      </c>
    </row>
    <row r="814" spans="1:11" x14ac:dyDescent="0.2">
      <c r="A814" s="3">
        <v>813</v>
      </c>
      <c r="B814" t="s">
        <v>67</v>
      </c>
      <c r="C814" t="s">
        <v>214</v>
      </c>
      <c r="D814" s="1">
        <v>28877</v>
      </c>
      <c r="E814" t="s">
        <v>1399</v>
      </c>
      <c r="F814">
        <v>7</v>
      </c>
      <c r="G814" t="s">
        <v>1414</v>
      </c>
      <c r="H814" s="2">
        <v>783</v>
      </c>
      <c r="I814" t="s">
        <v>1375</v>
      </c>
      <c r="J814" s="2">
        <f>INDEX(Positions!$A:$A,MATCH(E814,Positions!$B:$B,0))</f>
        <v>105</v>
      </c>
      <c r="K814" s="2">
        <f>INDEX(Locations!$A:$A,MATCH(I814,Locations!$B:$B,0))</f>
        <v>12</v>
      </c>
    </row>
    <row r="815" spans="1:11" x14ac:dyDescent="0.2">
      <c r="A815" s="3">
        <v>814</v>
      </c>
      <c r="B815" t="s">
        <v>924</v>
      </c>
      <c r="C815" t="s">
        <v>487</v>
      </c>
      <c r="D815" s="1">
        <v>30751</v>
      </c>
      <c r="E815" t="s">
        <v>1407</v>
      </c>
      <c r="F815">
        <v>6</v>
      </c>
      <c r="G815" t="s">
        <v>1415</v>
      </c>
      <c r="H815" s="2">
        <v>800</v>
      </c>
      <c r="I815" t="s">
        <v>50</v>
      </c>
      <c r="J815" s="2">
        <f>INDEX(Positions!$A:$A,MATCH(E815,Positions!$B:$B,0))</f>
        <v>91</v>
      </c>
      <c r="K815" s="2">
        <f>INDEX(Locations!$A:$A,MATCH(I815,Locations!$B:$B,0))</f>
        <v>1</v>
      </c>
    </row>
    <row r="816" spans="1:11" x14ac:dyDescent="0.2">
      <c r="A816" s="3">
        <v>815</v>
      </c>
      <c r="B816" t="s">
        <v>453</v>
      </c>
      <c r="C816" t="s">
        <v>560</v>
      </c>
      <c r="D816" s="1">
        <v>32338</v>
      </c>
      <c r="E816" t="s">
        <v>1407</v>
      </c>
      <c r="F816">
        <v>6</v>
      </c>
      <c r="G816" t="s">
        <v>1416</v>
      </c>
      <c r="H816" s="2">
        <v>813</v>
      </c>
      <c r="I816" t="s">
        <v>1375</v>
      </c>
      <c r="J816" s="2">
        <f>INDEX(Positions!$A:$A,MATCH(E816,Positions!$B:$B,0))</f>
        <v>91</v>
      </c>
      <c r="K816" s="2">
        <f>INDEX(Locations!$A:$A,MATCH(I816,Locations!$B:$B,0))</f>
        <v>12</v>
      </c>
    </row>
    <row r="817" spans="1:11" x14ac:dyDescent="0.2">
      <c r="A817" s="3">
        <v>816</v>
      </c>
      <c r="B817" t="s">
        <v>406</v>
      </c>
      <c r="C817" t="s">
        <v>222</v>
      </c>
      <c r="D817" s="1">
        <v>31464</v>
      </c>
      <c r="E817" t="s">
        <v>1407</v>
      </c>
      <c r="F817">
        <v>6</v>
      </c>
      <c r="G817" t="s">
        <v>1417</v>
      </c>
      <c r="H817" s="2">
        <v>812</v>
      </c>
      <c r="I817" t="s">
        <v>1378</v>
      </c>
      <c r="J817" s="2">
        <f>INDEX(Positions!$A:$A,MATCH(E817,Positions!$B:$B,0))</f>
        <v>91</v>
      </c>
      <c r="K817" s="2">
        <f>INDEX(Locations!$A:$A,MATCH(I817,Locations!$B:$B,0))</f>
        <v>4</v>
      </c>
    </row>
    <row r="818" spans="1:11" x14ac:dyDescent="0.2">
      <c r="A818" s="3">
        <v>817</v>
      </c>
      <c r="B818" t="s">
        <v>376</v>
      </c>
      <c r="C818" t="s">
        <v>545</v>
      </c>
      <c r="D818" s="1">
        <v>34890</v>
      </c>
      <c r="E818" t="s">
        <v>1382</v>
      </c>
      <c r="F818">
        <v>1</v>
      </c>
      <c r="G818" t="s">
        <v>1418</v>
      </c>
      <c r="H818" s="2">
        <v>807</v>
      </c>
      <c r="I818" t="s">
        <v>1389</v>
      </c>
      <c r="J818" s="2">
        <f>INDEX(Positions!$A:$A,MATCH(E818,Positions!$B:$B,0))</f>
        <v>5</v>
      </c>
      <c r="K818" s="2">
        <f>INDEX(Locations!$A:$A,MATCH(I818,Locations!$B:$B,0))</f>
        <v>7</v>
      </c>
    </row>
    <row r="819" spans="1:11" x14ac:dyDescent="0.2">
      <c r="A819" s="3">
        <v>818</v>
      </c>
      <c r="B819" t="s">
        <v>402</v>
      </c>
      <c r="C819" t="s">
        <v>440</v>
      </c>
      <c r="D819" s="1">
        <v>38682</v>
      </c>
      <c r="E819" t="s">
        <v>1382</v>
      </c>
      <c r="F819">
        <v>1</v>
      </c>
      <c r="G819" t="s">
        <v>1419</v>
      </c>
      <c r="H819" s="2">
        <v>815</v>
      </c>
      <c r="I819" t="s">
        <v>1375</v>
      </c>
      <c r="J819" s="2">
        <f>INDEX(Positions!$A:$A,MATCH(E819,Positions!$B:$B,0))</f>
        <v>5</v>
      </c>
      <c r="K819" s="2">
        <f>INDEX(Locations!$A:$A,MATCH(I819,Locations!$B:$B,0))</f>
        <v>12</v>
      </c>
    </row>
    <row r="820" spans="1:11" x14ac:dyDescent="0.2">
      <c r="A820" s="3">
        <v>819</v>
      </c>
      <c r="B820" t="s">
        <v>401</v>
      </c>
      <c r="C820" t="s">
        <v>278</v>
      </c>
      <c r="D820" s="1">
        <v>36746</v>
      </c>
      <c r="E820" t="s">
        <v>1373</v>
      </c>
      <c r="F820">
        <v>2</v>
      </c>
      <c r="G820" t="s">
        <v>1420</v>
      </c>
      <c r="H820" s="2">
        <v>807</v>
      </c>
      <c r="I820" t="s">
        <v>1389</v>
      </c>
      <c r="J820" s="2">
        <f>INDEX(Positions!$A:$A,MATCH(E820,Positions!$B:$B,0))</f>
        <v>23</v>
      </c>
      <c r="K820" s="2">
        <f>INDEX(Locations!$A:$A,MATCH(I820,Locations!$B:$B,0))</f>
        <v>7</v>
      </c>
    </row>
    <row r="821" spans="1:11" x14ac:dyDescent="0.2">
      <c r="A821" s="3">
        <v>820</v>
      </c>
      <c r="B821" t="s">
        <v>367</v>
      </c>
      <c r="C821" t="s">
        <v>247</v>
      </c>
      <c r="D821" s="1">
        <v>35733</v>
      </c>
      <c r="E821" t="s">
        <v>1376</v>
      </c>
      <c r="F821">
        <v>3</v>
      </c>
      <c r="G821" t="s">
        <v>1421</v>
      </c>
      <c r="H821" s="2">
        <v>814</v>
      </c>
      <c r="I821" t="s">
        <v>50</v>
      </c>
      <c r="J821" s="2">
        <f>INDEX(Positions!$A:$A,MATCH(E821,Positions!$B:$B,0))</f>
        <v>26</v>
      </c>
      <c r="K821" s="2">
        <f>INDEX(Locations!$A:$A,MATCH(I821,Locations!$B:$B,0))</f>
        <v>1</v>
      </c>
    </row>
    <row r="822" spans="1:11" x14ac:dyDescent="0.2">
      <c r="A822" s="3">
        <v>821</v>
      </c>
      <c r="B822" t="s">
        <v>213</v>
      </c>
      <c r="C822" t="s">
        <v>555</v>
      </c>
      <c r="D822" s="1">
        <v>36608</v>
      </c>
      <c r="E822" t="s">
        <v>1376</v>
      </c>
      <c r="F822">
        <v>3</v>
      </c>
      <c r="G822" t="s">
        <v>1422</v>
      </c>
      <c r="H822" s="2">
        <v>816</v>
      </c>
      <c r="I822" t="s">
        <v>1378</v>
      </c>
      <c r="J822" s="2">
        <f>INDEX(Positions!$A:$A,MATCH(E822,Positions!$B:$B,0))</f>
        <v>26</v>
      </c>
      <c r="K822" s="2">
        <f>INDEX(Locations!$A:$A,MATCH(I822,Locations!$B:$B,0))</f>
        <v>4</v>
      </c>
    </row>
    <row r="823" spans="1:11" x14ac:dyDescent="0.2">
      <c r="A823" s="3">
        <v>822</v>
      </c>
      <c r="B823" t="s">
        <v>258</v>
      </c>
      <c r="C823" t="s">
        <v>133</v>
      </c>
      <c r="D823" s="1">
        <v>32835</v>
      </c>
      <c r="E823" t="s">
        <v>1379</v>
      </c>
      <c r="F823">
        <v>4</v>
      </c>
      <c r="G823" t="s">
        <v>1423</v>
      </c>
      <c r="H823" s="2">
        <v>815</v>
      </c>
      <c r="I823" t="s">
        <v>1375</v>
      </c>
      <c r="J823" s="2">
        <f>INDEX(Positions!$A:$A,MATCH(E823,Positions!$B:$B,0))</f>
        <v>61</v>
      </c>
      <c r="K823" s="2">
        <f>INDEX(Locations!$A:$A,MATCH(I823,Locations!$B:$B,0))</f>
        <v>12</v>
      </c>
    </row>
    <row r="824" spans="1:11" x14ac:dyDescent="0.2">
      <c r="A824" s="3">
        <v>823</v>
      </c>
      <c r="B824" t="s">
        <v>132</v>
      </c>
      <c r="C824" t="s">
        <v>532</v>
      </c>
      <c r="D824" s="1">
        <v>35171</v>
      </c>
      <c r="E824" t="s">
        <v>1373</v>
      </c>
      <c r="F824">
        <v>2</v>
      </c>
      <c r="G824" t="s">
        <v>1424</v>
      </c>
      <c r="H824" s="2">
        <v>816</v>
      </c>
      <c r="I824" t="s">
        <v>1378</v>
      </c>
      <c r="J824" s="2">
        <f>INDEX(Positions!$A:$A,MATCH(E824,Positions!$B:$B,0))</f>
        <v>23</v>
      </c>
      <c r="K824" s="2">
        <f>INDEX(Locations!$A:$A,MATCH(I824,Locations!$B:$B,0))</f>
        <v>4</v>
      </c>
    </row>
    <row r="825" spans="1:11" x14ac:dyDescent="0.2">
      <c r="A825" s="3">
        <v>824</v>
      </c>
      <c r="B825" t="s">
        <v>475</v>
      </c>
      <c r="C825" t="s">
        <v>294</v>
      </c>
      <c r="D825" s="1">
        <v>34446</v>
      </c>
      <c r="E825" t="s">
        <v>1376</v>
      </c>
      <c r="F825">
        <v>3</v>
      </c>
      <c r="G825" t="s">
        <v>1425</v>
      </c>
      <c r="H825" s="2">
        <v>816</v>
      </c>
      <c r="I825" t="s">
        <v>1378</v>
      </c>
      <c r="J825" s="2">
        <f>INDEX(Positions!$A:$A,MATCH(E825,Positions!$B:$B,0))</f>
        <v>26</v>
      </c>
      <c r="K825" s="2">
        <f>INDEX(Locations!$A:$A,MATCH(I825,Locations!$B:$B,0))</f>
        <v>4</v>
      </c>
    </row>
    <row r="826" spans="1:11" x14ac:dyDescent="0.2">
      <c r="A826" s="3">
        <v>825</v>
      </c>
      <c r="B826" t="s">
        <v>211</v>
      </c>
      <c r="C826" t="s">
        <v>301</v>
      </c>
      <c r="D826" s="1">
        <v>32645</v>
      </c>
      <c r="E826" t="s">
        <v>1379</v>
      </c>
      <c r="F826">
        <v>4</v>
      </c>
      <c r="G826" t="s">
        <v>1426</v>
      </c>
      <c r="H826" s="2">
        <v>807</v>
      </c>
      <c r="I826" t="s">
        <v>1389</v>
      </c>
      <c r="J826" s="2">
        <f>INDEX(Positions!$A:$A,MATCH(E826,Positions!$B:$B,0))</f>
        <v>61</v>
      </c>
      <c r="K826" s="2">
        <f>INDEX(Locations!$A:$A,MATCH(I826,Locations!$B:$B,0))</f>
        <v>7</v>
      </c>
    </row>
    <row r="827" spans="1:11" x14ac:dyDescent="0.2">
      <c r="A827" s="3">
        <v>826</v>
      </c>
      <c r="B827" t="s">
        <v>125</v>
      </c>
      <c r="C827" t="s">
        <v>292</v>
      </c>
      <c r="D827" s="1">
        <v>33910</v>
      </c>
      <c r="E827" t="s">
        <v>1376</v>
      </c>
      <c r="F827">
        <v>3</v>
      </c>
      <c r="G827" t="s">
        <v>1427</v>
      </c>
      <c r="H827" s="2">
        <v>815</v>
      </c>
      <c r="I827" t="s">
        <v>1375</v>
      </c>
      <c r="J827" s="2">
        <f>INDEX(Positions!$A:$A,MATCH(E827,Positions!$B:$B,0))</f>
        <v>26</v>
      </c>
      <c r="K827" s="2">
        <f>INDEX(Locations!$A:$A,MATCH(I827,Locations!$B:$B,0))</f>
        <v>12</v>
      </c>
    </row>
    <row r="828" spans="1:11" x14ac:dyDescent="0.2">
      <c r="A828" s="3">
        <v>827</v>
      </c>
      <c r="B828" t="s">
        <v>573</v>
      </c>
      <c r="C828" t="s">
        <v>339</v>
      </c>
      <c r="D828" s="1">
        <v>38077</v>
      </c>
      <c r="E828" t="s">
        <v>1376</v>
      </c>
      <c r="F828">
        <v>3</v>
      </c>
      <c r="G828" t="s">
        <v>1428</v>
      </c>
      <c r="H828" s="2">
        <v>816</v>
      </c>
      <c r="I828" t="s">
        <v>1378</v>
      </c>
      <c r="J828" s="2">
        <f>INDEX(Positions!$A:$A,MATCH(E828,Positions!$B:$B,0))</f>
        <v>26</v>
      </c>
      <c r="K828" s="2">
        <f>INDEX(Locations!$A:$A,MATCH(I828,Locations!$B:$B,0))</f>
        <v>4</v>
      </c>
    </row>
    <row r="829" spans="1:11" x14ac:dyDescent="0.2">
      <c r="A829" s="3">
        <v>828</v>
      </c>
      <c r="B829" t="s">
        <v>452</v>
      </c>
      <c r="C829" t="s">
        <v>432</v>
      </c>
      <c r="D829" s="1">
        <v>36674</v>
      </c>
      <c r="E829" t="s">
        <v>1376</v>
      </c>
      <c r="F829">
        <v>3</v>
      </c>
      <c r="G829" t="s">
        <v>1429</v>
      </c>
      <c r="H829" s="2">
        <v>815</v>
      </c>
      <c r="I829" t="s">
        <v>1375</v>
      </c>
      <c r="J829" s="2">
        <f>INDEX(Positions!$A:$A,MATCH(E829,Positions!$B:$B,0))</f>
        <v>26</v>
      </c>
      <c r="K829" s="2">
        <f>INDEX(Locations!$A:$A,MATCH(I829,Locations!$B:$B,0))</f>
        <v>12</v>
      </c>
    </row>
    <row r="830" spans="1:11" x14ac:dyDescent="0.2">
      <c r="A830" s="3">
        <v>829</v>
      </c>
      <c r="B830" t="s">
        <v>483</v>
      </c>
      <c r="C830" t="s">
        <v>177</v>
      </c>
      <c r="D830" s="1">
        <v>33241</v>
      </c>
      <c r="E830" t="s">
        <v>1373</v>
      </c>
      <c r="F830">
        <v>2</v>
      </c>
      <c r="G830" t="s">
        <v>1430</v>
      </c>
      <c r="H830" s="2">
        <v>815</v>
      </c>
      <c r="I830" t="s">
        <v>1375</v>
      </c>
      <c r="J830" s="2">
        <f>INDEX(Positions!$A:$A,MATCH(E830,Positions!$B:$B,0))</f>
        <v>23</v>
      </c>
      <c r="K830" s="2">
        <f>INDEX(Locations!$A:$A,MATCH(I830,Locations!$B:$B,0))</f>
        <v>12</v>
      </c>
    </row>
    <row r="831" spans="1:11" x14ac:dyDescent="0.2">
      <c r="A831" s="3">
        <v>830</v>
      </c>
      <c r="B831" t="s">
        <v>1051</v>
      </c>
      <c r="C831" t="s">
        <v>115</v>
      </c>
      <c r="D831" s="1">
        <v>38924</v>
      </c>
      <c r="E831" t="s">
        <v>1373</v>
      </c>
      <c r="F831">
        <v>2</v>
      </c>
      <c r="G831" t="s">
        <v>1431</v>
      </c>
      <c r="H831" s="2">
        <v>815</v>
      </c>
      <c r="I831" t="s">
        <v>1375</v>
      </c>
      <c r="J831" s="2">
        <f>INDEX(Positions!$A:$A,MATCH(E831,Positions!$B:$B,0))</f>
        <v>23</v>
      </c>
      <c r="K831" s="2">
        <f>INDEX(Locations!$A:$A,MATCH(I831,Locations!$B:$B,0))</f>
        <v>12</v>
      </c>
    </row>
    <row r="832" spans="1:11" x14ac:dyDescent="0.2">
      <c r="A832" s="3">
        <v>831</v>
      </c>
      <c r="B832" t="s">
        <v>219</v>
      </c>
      <c r="C832" t="s">
        <v>502</v>
      </c>
      <c r="D832" s="1">
        <v>34601</v>
      </c>
      <c r="E832" t="s">
        <v>1373</v>
      </c>
      <c r="F832">
        <v>2</v>
      </c>
      <c r="G832" t="s">
        <v>1432</v>
      </c>
      <c r="H832" s="2">
        <v>815</v>
      </c>
      <c r="I832" t="s">
        <v>1375</v>
      </c>
      <c r="J832" s="2">
        <f>INDEX(Positions!$A:$A,MATCH(E832,Positions!$B:$B,0))</f>
        <v>23</v>
      </c>
      <c r="K832" s="2">
        <f>INDEX(Locations!$A:$A,MATCH(I832,Locations!$B:$B,0))</f>
        <v>12</v>
      </c>
    </row>
    <row r="833" spans="1:11" x14ac:dyDescent="0.2">
      <c r="A833" s="3">
        <v>832</v>
      </c>
      <c r="B833" t="s">
        <v>441</v>
      </c>
      <c r="C833" t="s">
        <v>641</v>
      </c>
      <c r="D833" s="1">
        <v>39571</v>
      </c>
      <c r="E833" t="s">
        <v>1382</v>
      </c>
      <c r="F833">
        <v>1</v>
      </c>
      <c r="G833" t="s">
        <v>1433</v>
      </c>
      <c r="H833" s="2">
        <v>814</v>
      </c>
      <c r="I833" t="s">
        <v>50</v>
      </c>
      <c r="J833" s="2">
        <f>INDEX(Positions!$A:$A,MATCH(E833,Positions!$B:$B,0))</f>
        <v>5</v>
      </c>
      <c r="K833" s="2">
        <f>INDEX(Locations!$A:$A,MATCH(I833,Locations!$B:$B,0))</f>
        <v>1</v>
      </c>
    </row>
    <row r="834" spans="1:11" x14ac:dyDescent="0.2">
      <c r="A834" s="3">
        <v>833</v>
      </c>
      <c r="B834" t="s">
        <v>533</v>
      </c>
      <c r="C834" t="s">
        <v>130</v>
      </c>
      <c r="D834" s="1">
        <v>36719</v>
      </c>
      <c r="E834" t="s">
        <v>1379</v>
      </c>
      <c r="F834">
        <v>4</v>
      </c>
      <c r="G834" t="s">
        <v>1434</v>
      </c>
      <c r="H834" s="2">
        <v>814</v>
      </c>
      <c r="I834" t="s">
        <v>50</v>
      </c>
      <c r="J834" s="2">
        <f>INDEX(Positions!$A:$A,MATCH(E834,Positions!$B:$B,0))</f>
        <v>61</v>
      </c>
      <c r="K834" s="2">
        <f>INDEX(Locations!$A:$A,MATCH(I834,Locations!$B:$B,0))</f>
        <v>1</v>
      </c>
    </row>
    <row r="835" spans="1:11" x14ac:dyDescent="0.2">
      <c r="A835" s="3">
        <v>834</v>
      </c>
      <c r="B835" t="s">
        <v>533</v>
      </c>
      <c r="C835" t="s">
        <v>320</v>
      </c>
      <c r="D835" s="1">
        <v>37469</v>
      </c>
      <c r="E835" t="s">
        <v>1382</v>
      </c>
      <c r="F835">
        <v>1</v>
      </c>
      <c r="G835" t="s">
        <v>1435</v>
      </c>
      <c r="H835" s="2">
        <v>814</v>
      </c>
      <c r="I835" t="s">
        <v>50</v>
      </c>
      <c r="J835" s="2">
        <f>INDEX(Positions!$A:$A,MATCH(E835,Positions!$B:$B,0))</f>
        <v>5</v>
      </c>
      <c r="K835" s="2">
        <f>INDEX(Locations!$A:$A,MATCH(I835,Locations!$B:$B,0))</f>
        <v>1</v>
      </c>
    </row>
    <row r="836" spans="1:11" x14ac:dyDescent="0.2">
      <c r="A836" s="3">
        <v>835</v>
      </c>
      <c r="B836" t="s">
        <v>170</v>
      </c>
      <c r="C836" t="s">
        <v>290</v>
      </c>
      <c r="D836" s="1">
        <v>38401</v>
      </c>
      <c r="E836" t="s">
        <v>1373</v>
      </c>
      <c r="F836">
        <v>2</v>
      </c>
      <c r="G836" t="s">
        <v>1436</v>
      </c>
      <c r="H836" s="2">
        <v>814</v>
      </c>
      <c r="I836" t="s">
        <v>50</v>
      </c>
      <c r="J836" s="2">
        <f>INDEX(Positions!$A:$A,MATCH(E836,Positions!$B:$B,0))</f>
        <v>23</v>
      </c>
      <c r="K836" s="2">
        <f>INDEX(Locations!$A:$A,MATCH(I836,Locations!$B:$B,0))</f>
        <v>1</v>
      </c>
    </row>
    <row r="837" spans="1:11" x14ac:dyDescent="0.2">
      <c r="A837" s="3">
        <v>836</v>
      </c>
      <c r="B837" t="s">
        <v>442</v>
      </c>
      <c r="C837" t="s">
        <v>182</v>
      </c>
      <c r="D837" s="1">
        <v>34660</v>
      </c>
      <c r="E837" t="s">
        <v>1394</v>
      </c>
      <c r="F837">
        <v>3</v>
      </c>
      <c r="G837" t="s">
        <v>1437</v>
      </c>
      <c r="H837" s="2">
        <v>814</v>
      </c>
      <c r="I837" t="s">
        <v>50</v>
      </c>
      <c r="J837" s="2">
        <f>INDEX(Positions!$A:$A,MATCH(E837,Positions!$B:$B,0))</f>
        <v>49</v>
      </c>
      <c r="K837" s="2">
        <f>INDEX(Locations!$A:$A,MATCH(I837,Locations!$B:$B,0))</f>
        <v>1</v>
      </c>
    </row>
    <row r="838" spans="1:11" x14ac:dyDescent="0.2">
      <c r="A838" s="3">
        <v>837</v>
      </c>
      <c r="B838" t="s">
        <v>411</v>
      </c>
      <c r="C838" t="s">
        <v>375</v>
      </c>
      <c r="D838" s="1">
        <v>29899</v>
      </c>
      <c r="E838" t="s">
        <v>1407</v>
      </c>
      <c r="F838">
        <v>6</v>
      </c>
      <c r="G838" t="s">
        <v>1438</v>
      </c>
      <c r="H838" s="2">
        <v>813</v>
      </c>
      <c r="I838" t="s">
        <v>1375</v>
      </c>
      <c r="J838" s="2">
        <f>INDEX(Positions!$A:$A,MATCH(E838,Positions!$B:$B,0))</f>
        <v>91</v>
      </c>
      <c r="K838" s="2">
        <f>INDEX(Locations!$A:$A,MATCH(I838,Locations!$B:$B,0))</f>
        <v>12</v>
      </c>
    </row>
    <row r="839" spans="1:11" x14ac:dyDescent="0.2">
      <c r="A839" s="3">
        <v>838</v>
      </c>
      <c r="B839" t="s">
        <v>302</v>
      </c>
      <c r="C839" t="s">
        <v>270</v>
      </c>
      <c r="D839" s="1">
        <v>30093</v>
      </c>
      <c r="E839" t="s">
        <v>1407</v>
      </c>
      <c r="F839">
        <v>6</v>
      </c>
      <c r="G839" t="s">
        <v>1439</v>
      </c>
      <c r="H839" s="2">
        <v>812</v>
      </c>
      <c r="I839" t="s">
        <v>1386</v>
      </c>
      <c r="J839" s="2">
        <f>INDEX(Positions!$A:$A,MATCH(E839,Positions!$B:$B,0))</f>
        <v>91</v>
      </c>
      <c r="K839" s="2">
        <f>INDEX(Locations!$A:$A,MATCH(I839,Locations!$B:$B,0))</f>
        <v>5</v>
      </c>
    </row>
    <row r="840" spans="1:11" x14ac:dyDescent="0.2">
      <c r="A840" s="3">
        <v>839</v>
      </c>
      <c r="B840" t="s">
        <v>537</v>
      </c>
      <c r="C840" t="s">
        <v>497</v>
      </c>
      <c r="D840" s="1">
        <v>35790</v>
      </c>
      <c r="E840" t="s">
        <v>1376</v>
      </c>
      <c r="F840">
        <v>3</v>
      </c>
      <c r="G840" t="s">
        <v>1440</v>
      </c>
      <c r="H840" s="2">
        <v>814</v>
      </c>
      <c r="I840" t="s">
        <v>50</v>
      </c>
      <c r="J840" s="2">
        <f>INDEX(Positions!$A:$A,MATCH(E840,Positions!$B:$B,0))</f>
        <v>26</v>
      </c>
      <c r="K840" s="2">
        <f>INDEX(Locations!$A:$A,MATCH(I840,Locations!$B:$B,0))</f>
        <v>1</v>
      </c>
    </row>
    <row r="841" spans="1:11" x14ac:dyDescent="0.2">
      <c r="A841" s="3">
        <v>840</v>
      </c>
      <c r="B841" t="s">
        <v>445</v>
      </c>
      <c r="C841" t="s">
        <v>155</v>
      </c>
      <c r="D841" s="1">
        <v>39308</v>
      </c>
      <c r="E841" t="s">
        <v>1382</v>
      </c>
      <c r="F841">
        <v>1</v>
      </c>
      <c r="G841" t="s">
        <v>1441</v>
      </c>
      <c r="H841" s="2">
        <v>816</v>
      </c>
      <c r="I841" t="s">
        <v>1378</v>
      </c>
      <c r="J841" s="2">
        <f>INDEX(Positions!$A:$A,MATCH(E841,Positions!$B:$B,0))</f>
        <v>5</v>
      </c>
      <c r="K841" s="2">
        <f>INDEX(Locations!$A:$A,MATCH(I841,Locations!$B:$B,0))</f>
        <v>4</v>
      </c>
    </row>
    <row r="842" spans="1:11" x14ac:dyDescent="0.2">
      <c r="A842" s="3">
        <v>841</v>
      </c>
      <c r="B842" t="s">
        <v>698</v>
      </c>
      <c r="C842" t="s">
        <v>317</v>
      </c>
      <c r="D842" s="1">
        <v>36852</v>
      </c>
      <c r="E842" t="s">
        <v>1382</v>
      </c>
      <c r="F842">
        <v>1</v>
      </c>
      <c r="G842" t="s">
        <v>1442</v>
      </c>
      <c r="H842" s="2">
        <v>837</v>
      </c>
      <c r="I842" t="s">
        <v>1375</v>
      </c>
      <c r="J842" s="2">
        <f>INDEX(Positions!$A:$A,MATCH(E842,Positions!$B:$B,0))</f>
        <v>5</v>
      </c>
      <c r="K842" s="2">
        <f>INDEX(Locations!$A:$A,MATCH(I842,Locations!$B:$B,0))</f>
        <v>12</v>
      </c>
    </row>
    <row r="843" spans="1:11" x14ac:dyDescent="0.2">
      <c r="A843" s="3">
        <v>842</v>
      </c>
      <c r="B843" t="s">
        <v>83</v>
      </c>
      <c r="C843" t="s">
        <v>303</v>
      </c>
      <c r="D843" s="1">
        <v>33965</v>
      </c>
      <c r="E843" t="s">
        <v>1379</v>
      </c>
      <c r="F843">
        <v>4</v>
      </c>
      <c r="G843" t="s">
        <v>1443</v>
      </c>
      <c r="H843" s="2">
        <v>837</v>
      </c>
      <c r="I843" t="s">
        <v>1375</v>
      </c>
      <c r="J843" s="2">
        <f>INDEX(Positions!$A:$A,MATCH(E843,Positions!$B:$B,0))</f>
        <v>61</v>
      </c>
      <c r="K843" s="2">
        <f>INDEX(Locations!$A:$A,MATCH(I843,Locations!$B:$B,0))</f>
        <v>12</v>
      </c>
    </row>
    <row r="844" spans="1:11" x14ac:dyDescent="0.2">
      <c r="A844" s="3">
        <v>843</v>
      </c>
      <c r="B844" t="s">
        <v>211</v>
      </c>
      <c r="C844" t="s">
        <v>135</v>
      </c>
      <c r="D844" s="1">
        <v>33268</v>
      </c>
      <c r="E844" t="s">
        <v>1379</v>
      </c>
      <c r="F844">
        <v>4</v>
      </c>
      <c r="G844" t="s">
        <v>1444</v>
      </c>
      <c r="H844" s="2">
        <v>837</v>
      </c>
      <c r="I844" t="s">
        <v>1375</v>
      </c>
      <c r="J844" s="2">
        <f>INDEX(Positions!$A:$A,MATCH(E844,Positions!$B:$B,0))</f>
        <v>61</v>
      </c>
      <c r="K844" s="2">
        <f>INDEX(Locations!$A:$A,MATCH(I844,Locations!$B:$B,0))</f>
        <v>12</v>
      </c>
    </row>
    <row r="845" spans="1:11" x14ac:dyDescent="0.2">
      <c r="A845" s="3">
        <v>844</v>
      </c>
      <c r="B845" t="s">
        <v>277</v>
      </c>
      <c r="C845" t="s">
        <v>403</v>
      </c>
      <c r="D845" s="1">
        <v>38410</v>
      </c>
      <c r="E845" t="s">
        <v>1376</v>
      </c>
      <c r="F845">
        <v>3</v>
      </c>
      <c r="G845" t="s">
        <v>1445</v>
      </c>
      <c r="H845" s="2">
        <v>807</v>
      </c>
      <c r="I845" t="s">
        <v>1389</v>
      </c>
      <c r="J845" s="2">
        <f>INDEX(Positions!$A:$A,MATCH(E845,Positions!$B:$B,0))</f>
        <v>26</v>
      </c>
      <c r="K845" s="2">
        <f>INDEX(Locations!$A:$A,MATCH(I845,Locations!$B:$B,0))</f>
        <v>7</v>
      </c>
    </row>
    <row r="846" spans="1:11" x14ac:dyDescent="0.2">
      <c r="A846" s="3">
        <v>845</v>
      </c>
      <c r="B846" t="s">
        <v>187</v>
      </c>
      <c r="C846" t="s">
        <v>201</v>
      </c>
      <c r="D846" s="1">
        <v>35798</v>
      </c>
      <c r="E846" t="s">
        <v>1376</v>
      </c>
      <c r="F846">
        <v>3</v>
      </c>
      <c r="G846" t="s">
        <v>1446</v>
      </c>
      <c r="H846" s="2">
        <v>837</v>
      </c>
      <c r="I846" t="s">
        <v>1375</v>
      </c>
      <c r="J846" s="2">
        <f>INDEX(Positions!$A:$A,MATCH(E846,Positions!$B:$B,0))</f>
        <v>26</v>
      </c>
      <c r="K846" s="2">
        <f>INDEX(Locations!$A:$A,MATCH(I846,Locations!$B:$B,0))</f>
        <v>12</v>
      </c>
    </row>
    <row r="847" spans="1:11" x14ac:dyDescent="0.2">
      <c r="A847" s="3">
        <v>846</v>
      </c>
      <c r="B847" t="s">
        <v>551</v>
      </c>
      <c r="C847" t="s">
        <v>361</v>
      </c>
      <c r="D847" s="1">
        <v>34068</v>
      </c>
      <c r="E847" t="s">
        <v>1394</v>
      </c>
      <c r="F847">
        <v>3</v>
      </c>
      <c r="G847" t="s">
        <v>1447</v>
      </c>
      <c r="H847" s="2">
        <v>816</v>
      </c>
      <c r="I847" t="s">
        <v>1378</v>
      </c>
      <c r="J847" s="2">
        <f>INDEX(Positions!$A:$A,MATCH(E847,Positions!$B:$B,0))</f>
        <v>49</v>
      </c>
      <c r="K847" s="2">
        <f>INDEX(Locations!$A:$A,MATCH(I847,Locations!$B:$B,0))</f>
        <v>4</v>
      </c>
    </row>
    <row r="848" spans="1:11" x14ac:dyDescent="0.2">
      <c r="A848" s="3">
        <v>847</v>
      </c>
      <c r="B848" t="s">
        <v>211</v>
      </c>
      <c r="C848" t="s">
        <v>732</v>
      </c>
      <c r="D848" s="1">
        <v>36469</v>
      </c>
      <c r="E848" t="s">
        <v>1373</v>
      </c>
      <c r="F848">
        <v>2</v>
      </c>
      <c r="G848" t="s">
        <v>1448</v>
      </c>
      <c r="H848" s="2">
        <v>837</v>
      </c>
      <c r="I848" t="s">
        <v>1375</v>
      </c>
      <c r="J848" s="2">
        <f>INDEX(Positions!$A:$A,MATCH(E848,Positions!$B:$B,0))</f>
        <v>23</v>
      </c>
      <c r="K848" s="2">
        <f>INDEX(Locations!$A:$A,MATCH(I848,Locations!$B:$B,0))</f>
        <v>12</v>
      </c>
    </row>
    <row r="849" spans="1:11" x14ac:dyDescent="0.2">
      <c r="A849" s="3">
        <v>848</v>
      </c>
      <c r="B849" t="s">
        <v>331</v>
      </c>
      <c r="C849" t="s">
        <v>1449</v>
      </c>
      <c r="D849" s="1">
        <v>38286</v>
      </c>
      <c r="E849" t="s">
        <v>1382</v>
      </c>
      <c r="F849">
        <v>1</v>
      </c>
      <c r="G849" t="s">
        <v>1450</v>
      </c>
      <c r="H849" s="2">
        <v>815</v>
      </c>
      <c r="I849" t="s">
        <v>1375</v>
      </c>
      <c r="J849" s="2">
        <f>INDEX(Positions!$A:$A,MATCH(E849,Positions!$B:$B,0))</f>
        <v>5</v>
      </c>
      <c r="K849" s="2">
        <f>INDEX(Locations!$A:$A,MATCH(I849,Locations!$B:$B,0))</f>
        <v>12</v>
      </c>
    </row>
    <row r="850" spans="1:11" x14ac:dyDescent="0.2">
      <c r="A850" s="3">
        <v>849</v>
      </c>
      <c r="B850" t="s">
        <v>343</v>
      </c>
      <c r="C850" t="s">
        <v>327</v>
      </c>
      <c r="D850" s="1">
        <v>34738</v>
      </c>
      <c r="E850" t="s">
        <v>1394</v>
      </c>
      <c r="F850">
        <v>3</v>
      </c>
      <c r="G850" t="s">
        <v>1451</v>
      </c>
      <c r="H850" s="2">
        <v>837</v>
      </c>
      <c r="I850" t="s">
        <v>1375</v>
      </c>
      <c r="J850" s="2">
        <f>INDEX(Positions!$A:$A,MATCH(E850,Positions!$B:$B,0))</f>
        <v>49</v>
      </c>
      <c r="K850" s="2">
        <f>INDEX(Locations!$A:$A,MATCH(I850,Locations!$B:$B,0))</f>
        <v>12</v>
      </c>
    </row>
    <row r="851" spans="1:11" x14ac:dyDescent="0.2">
      <c r="A851" s="3">
        <v>850</v>
      </c>
      <c r="B851" t="s">
        <v>183</v>
      </c>
      <c r="C851" t="s">
        <v>255</v>
      </c>
      <c r="D851" s="1">
        <v>33273</v>
      </c>
      <c r="E851" t="s">
        <v>1376</v>
      </c>
      <c r="F851">
        <v>3</v>
      </c>
      <c r="G851" t="s">
        <v>1452</v>
      </c>
      <c r="H851" s="2">
        <v>815</v>
      </c>
      <c r="I851" t="s">
        <v>1375</v>
      </c>
      <c r="J851" s="2">
        <f>INDEX(Positions!$A:$A,MATCH(E851,Positions!$B:$B,0))</f>
        <v>26</v>
      </c>
      <c r="K851" s="2">
        <f>INDEX(Locations!$A:$A,MATCH(I851,Locations!$B:$B,0))</f>
        <v>12</v>
      </c>
    </row>
    <row r="852" spans="1:11" x14ac:dyDescent="0.2">
      <c r="A852" s="3">
        <v>851</v>
      </c>
      <c r="B852" t="s">
        <v>345</v>
      </c>
      <c r="C852" t="s">
        <v>467</v>
      </c>
      <c r="D852" s="1">
        <v>36012</v>
      </c>
      <c r="E852" t="s">
        <v>1379</v>
      </c>
      <c r="F852">
        <v>4</v>
      </c>
      <c r="G852" t="s">
        <v>1453</v>
      </c>
      <c r="H852" s="2">
        <v>815</v>
      </c>
      <c r="I852" t="s">
        <v>1375</v>
      </c>
      <c r="J852" s="2">
        <f>INDEX(Positions!$A:$A,MATCH(E852,Positions!$B:$B,0))</f>
        <v>61</v>
      </c>
      <c r="K852" s="2">
        <f>INDEX(Locations!$A:$A,MATCH(I852,Locations!$B:$B,0))</f>
        <v>12</v>
      </c>
    </row>
    <row r="853" spans="1:11" x14ac:dyDescent="0.2">
      <c r="A853" s="3">
        <v>852</v>
      </c>
      <c r="B853" t="s">
        <v>341</v>
      </c>
      <c r="C853" t="s">
        <v>503</v>
      </c>
      <c r="D853" s="1">
        <v>36119</v>
      </c>
      <c r="E853" t="s">
        <v>1394</v>
      </c>
      <c r="F853">
        <v>3</v>
      </c>
      <c r="G853" t="s">
        <v>1454</v>
      </c>
      <c r="H853" s="2">
        <v>807</v>
      </c>
      <c r="I853" t="s">
        <v>1389</v>
      </c>
      <c r="J853" s="2">
        <f>INDEX(Positions!$A:$A,MATCH(E853,Positions!$B:$B,0))</f>
        <v>49</v>
      </c>
      <c r="K853" s="2">
        <f>INDEX(Locations!$A:$A,MATCH(I853,Locations!$B:$B,0))</f>
        <v>7</v>
      </c>
    </row>
    <row r="854" spans="1:11" x14ac:dyDescent="0.2">
      <c r="A854" s="3">
        <v>853</v>
      </c>
      <c r="B854" t="s">
        <v>229</v>
      </c>
      <c r="C854" t="s">
        <v>212</v>
      </c>
      <c r="D854" s="1">
        <v>35229</v>
      </c>
      <c r="E854" t="s">
        <v>1376</v>
      </c>
      <c r="F854">
        <v>3</v>
      </c>
      <c r="G854" t="s">
        <v>1455</v>
      </c>
      <c r="H854" s="2">
        <v>816</v>
      </c>
      <c r="I854" t="s">
        <v>1378</v>
      </c>
      <c r="J854" s="2">
        <f>INDEX(Positions!$A:$A,MATCH(E854,Positions!$B:$B,0))</f>
        <v>26</v>
      </c>
      <c r="K854" s="2">
        <f>INDEX(Locations!$A:$A,MATCH(I854,Locations!$B:$B,0))</f>
        <v>4</v>
      </c>
    </row>
    <row r="855" spans="1:11" x14ac:dyDescent="0.2">
      <c r="A855" s="3">
        <v>854</v>
      </c>
      <c r="B855" t="s">
        <v>261</v>
      </c>
      <c r="C855" t="s">
        <v>237</v>
      </c>
      <c r="D855" s="1">
        <v>32441</v>
      </c>
      <c r="E855" t="s">
        <v>1407</v>
      </c>
      <c r="F855">
        <v>6</v>
      </c>
      <c r="G855" t="s">
        <v>1456</v>
      </c>
      <c r="H855" s="2">
        <v>813</v>
      </c>
      <c r="I855" t="s">
        <v>1384</v>
      </c>
      <c r="J855" s="2">
        <f>INDEX(Positions!$A:$A,MATCH(E855,Positions!$B:$B,0))</f>
        <v>91</v>
      </c>
      <c r="K855" s="2">
        <f>INDEX(Locations!$A:$A,MATCH(I855,Locations!$B:$B,0))</f>
        <v>2</v>
      </c>
    </row>
    <row r="856" spans="1:11" x14ac:dyDescent="0.2">
      <c r="A856" s="3">
        <v>855</v>
      </c>
      <c r="B856" t="s">
        <v>325</v>
      </c>
      <c r="C856" t="s">
        <v>111</v>
      </c>
      <c r="D856" s="1">
        <v>36472</v>
      </c>
      <c r="E856" t="s">
        <v>1373</v>
      </c>
      <c r="F856">
        <v>2</v>
      </c>
      <c r="G856" t="s">
        <v>1457</v>
      </c>
      <c r="H856" s="2">
        <v>814</v>
      </c>
      <c r="I856" t="s">
        <v>50</v>
      </c>
      <c r="J856" s="2">
        <f>INDEX(Positions!$A:$A,MATCH(E856,Positions!$B:$B,0))</f>
        <v>23</v>
      </c>
      <c r="K856" s="2">
        <f>INDEX(Locations!$A:$A,MATCH(I856,Locations!$B:$B,0))</f>
        <v>1</v>
      </c>
    </row>
    <row r="857" spans="1:11" x14ac:dyDescent="0.2">
      <c r="A857" s="3">
        <v>856</v>
      </c>
      <c r="B857" t="s">
        <v>125</v>
      </c>
      <c r="C857" t="s">
        <v>378</v>
      </c>
      <c r="D857" s="1">
        <v>35945</v>
      </c>
      <c r="E857" t="s">
        <v>1376</v>
      </c>
      <c r="F857">
        <v>3</v>
      </c>
      <c r="G857" t="s">
        <v>1458</v>
      </c>
      <c r="H857" s="2">
        <v>814</v>
      </c>
      <c r="I857" t="s">
        <v>50</v>
      </c>
      <c r="J857" s="2">
        <f>INDEX(Positions!$A:$A,MATCH(E857,Positions!$B:$B,0))</f>
        <v>26</v>
      </c>
      <c r="K857" s="2">
        <f>INDEX(Locations!$A:$A,MATCH(I857,Locations!$B:$B,0))</f>
        <v>1</v>
      </c>
    </row>
    <row r="858" spans="1:11" x14ac:dyDescent="0.2">
      <c r="A858" s="3">
        <v>857</v>
      </c>
      <c r="B858" t="s">
        <v>358</v>
      </c>
      <c r="C858" t="s">
        <v>151</v>
      </c>
      <c r="D858" s="1">
        <v>32639</v>
      </c>
      <c r="E858" t="s">
        <v>1379</v>
      </c>
      <c r="F858">
        <v>4</v>
      </c>
      <c r="G858" t="s">
        <v>1459</v>
      </c>
      <c r="H858" s="2">
        <v>816</v>
      </c>
      <c r="I858" t="s">
        <v>1378</v>
      </c>
      <c r="J858" s="2">
        <f>INDEX(Positions!$A:$A,MATCH(E858,Positions!$B:$B,0))</f>
        <v>61</v>
      </c>
      <c r="K858" s="2">
        <f>INDEX(Locations!$A:$A,MATCH(I858,Locations!$B:$B,0))</f>
        <v>4</v>
      </c>
    </row>
    <row r="859" spans="1:11" x14ac:dyDescent="0.2">
      <c r="A859" s="3">
        <v>858</v>
      </c>
      <c r="B859" t="s">
        <v>161</v>
      </c>
      <c r="C859" t="s">
        <v>192</v>
      </c>
      <c r="D859" s="1">
        <v>34657</v>
      </c>
      <c r="E859" t="s">
        <v>1373</v>
      </c>
      <c r="F859">
        <v>2</v>
      </c>
      <c r="G859" t="s">
        <v>1460</v>
      </c>
      <c r="H859" s="2">
        <v>816</v>
      </c>
      <c r="I859" t="s">
        <v>1378</v>
      </c>
      <c r="J859" s="2">
        <f>INDEX(Positions!$A:$A,MATCH(E859,Positions!$B:$B,0))</f>
        <v>23</v>
      </c>
      <c r="K859" s="2">
        <f>INDEX(Locations!$A:$A,MATCH(I859,Locations!$B:$B,0))</f>
        <v>4</v>
      </c>
    </row>
    <row r="860" spans="1:11" x14ac:dyDescent="0.2">
      <c r="A860" s="3">
        <v>859</v>
      </c>
      <c r="B860" t="s">
        <v>426</v>
      </c>
      <c r="C860" t="s">
        <v>429</v>
      </c>
      <c r="D860" s="1">
        <v>38319</v>
      </c>
      <c r="E860" t="s">
        <v>1373</v>
      </c>
      <c r="F860">
        <v>2</v>
      </c>
      <c r="G860" t="s">
        <v>1461</v>
      </c>
      <c r="H860" s="2">
        <v>837</v>
      </c>
      <c r="I860" t="s">
        <v>1375</v>
      </c>
      <c r="J860" s="2">
        <f>INDEX(Positions!$A:$A,MATCH(E860,Positions!$B:$B,0))</f>
        <v>23</v>
      </c>
      <c r="K860" s="2">
        <f>INDEX(Locations!$A:$A,MATCH(I860,Locations!$B:$B,0))</f>
        <v>12</v>
      </c>
    </row>
    <row r="861" spans="1:11" x14ac:dyDescent="0.2">
      <c r="A861" s="3">
        <v>860</v>
      </c>
      <c r="B861" t="s">
        <v>146</v>
      </c>
      <c r="C861" t="s">
        <v>84</v>
      </c>
      <c r="D861" s="1">
        <v>36274</v>
      </c>
      <c r="E861" t="s">
        <v>1373</v>
      </c>
      <c r="F861">
        <v>2</v>
      </c>
      <c r="G861" t="s">
        <v>1462</v>
      </c>
      <c r="H861" s="2">
        <v>837</v>
      </c>
      <c r="I861" t="s">
        <v>1375</v>
      </c>
      <c r="J861" s="2">
        <f>INDEX(Positions!$A:$A,MATCH(E861,Positions!$B:$B,0))</f>
        <v>23</v>
      </c>
      <c r="K861" s="2">
        <f>INDEX(Locations!$A:$A,MATCH(I861,Locations!$B:$B,0))</f>
        <v>12</v>
      </c>
    </row>
    <row r="862" spans="1:11" x14ac:dyDescent="0.2">
      <c r="A862" s="3">
        <v>861</v>
      </c>
      <c r="B862" t="s">
        <v>719</v>
      </c>
      <c r="C862" t="s">
        <v>495</v>
      </c>
      <c r="D862" s="1">
        <v>33454</v>
      </c>
      <c r="E862" t="s">
        <v>1376</v>
      </c>
      <c r="F862">
        <v>3</v>
      </c>
      <c r="G862" t="s">
        <v>1463</v>
      </c>
      <c r="H862" s="2">
        <v>838</v>
      </c>
      <c r="I862" t="s">
        <v>1386</v>
      </c>
      <c r="J862" s="2">
        <f>INDEX(Positions!$A:$A,MATCH(E862,Positions!$B:$B,0))</f>
        <v>26</v>
      </c>
      <c r="K862" s="2">
        <f>INDEX(Locations!$A:$A,MATCH(I862,Locations!$B:$B,0))</f>
        <v>5</v>
      </c>
    </row>
    <row r="863" spans="1:11" x14ac:dyDescent="0.2">
      <c r="A863" s="3">
        <v>862</v>
      </c>
      <c r="B863" t="s">
        <v>461</v>
      </c>
      <c r="C863" t="s">
        <v>145</v>
      </c>
      <c r="D863" s="1">
        <v>34420</v>
      </c>
      <c r="E863" t="s">
        <v>1376</v>
      </c>
      <c r="F863">
        <v>3</v>
      </c>
      <c r="G863" t="s">
        <v>1464</v>
      </c>
      <c r="H863" s="2">
        <v>807</v>
      </c>
      <c r="I863" t="s">
        <v>1389</v>
      </c>
      <c r="J863" s="2">
        <f>INDEX(Positions!$A:$A,MATCH(E863,Positions!$B:$B,0))</f>
        <v>26</v>
      </c>
      <c r="K863" s="2">
        <f>INDEX(Locations!$A:$A,MATCH(I863,Locations!$B:$B,0))</f>
        <v>7</v>
      </c>
    </row>
    <row r="864" spans="1:11" x14ac:dyDescent="0.2">
      <c r="A864" s="3">
        <v>863</v>
      </c>
      <c r="B864" t="s">
        <v>327</v>
      </c>
      <c r="C864" t="s">
        <v>188</v>
      </c>
      <c r="D864" s="1">
        <v>33885</v>
      </c>
      <c r="E864" t="s">
        <v>1373</v>
      </c>
      <c r="F864">
        <v>2</v>
      </c>
      <c r="G864" t="s">
        <v>1465</v>
      </c>
      <c r="H864" s="2">
        <v>838</v>
      </c>
      <c r="I864" t="s">
        <v>1386</v>
      </c>
      <c r="J864" s="2">
        <f>INDEX(Positions!$A:$A,MATCH(E864,Positions!$B:$B,0))</f>
        <v>23</v>
      </c>
      <c r="K864" s="2">
        <f>INDEX(Locations!$A:$A,MATCH(I864,Locations!$B:$B,0))</f>
        <v>5</v>
      </c>
    </row>
    <row r="865" spans="1:11" x14ac:dyDescent="0.2">
      <c r="A865" s="3">
        <v>864</v>
      </c>
      <c r="B865" t="s">
        <v>473</v>
      </c>
      <c r="C865" t="s">
        <v>429</v>
      </c>
      <c r="D865" s="1">
        <v>31112</v>
      </c>
      <c r="E865" t="s">
        <v>1379</v>
      </c>
      <c r="F865">
        <v>4</v>
      </c>
      <c r="G865" t="s">
        <v>1466</v>
      </c>
      <c r="H865" s="2">
        <v>815</v>
      </c>
      <c r="I865" t="s">
        <v>1375</v>
      </c>
      <c r="J865" s="2">
        <f>INDEX(Positions!$A:$A,MATCH(E865,Positions!$B:$B,0))</f>
        <v>61</v>
      </c>
      <c r="K865" s="2">
        <f>INDEX(Locations!$A:$A,MATCH(I865,Locations!$B:$B,0))</f>
        <v>12</v>
      </c>
    </row>
    <row r="866" spans="1:11" x14ac:dyDescent="0.2">
      <c r="A866" s="3">
        <v>865</v>
      </c>
      <c r="B866" t="s">
        <v>129</v>
      </c>
      <c r="C866" t="s">
        <v>218</v>
      </c>
      <c r="D866" s="1">
        <v>38760</v>
      </c>
      <c r="E866" t="s">
        <v>1373</v>
      </c>
      <c r="F866">
        <v>2</v>
      </c>
      <c r="G866" t="s">
        <v>1467</v>
      </c>
      <c r="H866" s="2">
        <v>814</v>
      </c>
      <c r="I866" t="s">
        <v>50</v>
      </c>
      <c r="J866" s="2">
        <f>INDEX(Positions!$A:$A,MATCH(E866,Positions!$B:$B,0))</f>
        <v>23</v>
      </c>
      <c r="K866" s="2">
        <f>INDEX(Locations!$A:$A,MATCH(I866,Locations!$B:$B,0))</f>
        <v>1</v>
      </c>
    </row>
    <row r="867" spans="1:11" x14ac:dyDescent="0.2">
      <c r="A867" s="3">
        <v>866</v>
      </c>
      <c r="B867" t="s">
        <v>217</v>
      </c>
      <c r="C867" t="s">
        <v>429</v>
      </c>
      <c r="D867" s="1">
        <v>37792</v>
      </c>
      <c r="E867" t="s">
        <v>1394</v>
      </c>
      <c r="F867">
        <v>3</v>
      </c>
      <c r="G867" t="s">
        <v>1468</v>
      </c>
      <c r="H867" s="2">
        <v>815</v>
      </c>
      <c r="I867" t="s">
        <v>1375</v>
      </c>
      <c r="J867" s="2">
        <f>INDEX(Positions!$A:$A,MATCH(E867,Positions!$B:$B,0))</f>
        <v>49</v>
      </c>
      <c r="K867" s="2">
        <f>INDEX(Locations!$A:$A,MATCH(I867,Locations!$B:$B,0))</f>
        <v>12</v>
      </c>
    </row>
    <row r="868" spans="1:11" x14ac:dyDescent="0.2">
      <c r="A868" s="3">
        <v>867</v>
      </c>
      <c r="B868" t="s">
        <v>335</v>
      </c>
      <c r="C868" t="s">
        <v>541</v>
      </c>
      <c r="D868" s="1">
        <v>35888</v>
      </c>
      <c r="E868" t="s">
        <v>1376</v>
      </c>
      <c r="F868">
        <v>3</v>
      </c>
      <c r="G868" t="s">
        <v>1469</v>
      </c>
      <c r="H868" s="2">
        <v>814</v>
      </c>
      <c r="I868" t="s">
        <v>50</v>
      </c>
      <c r="J868" s="2">
        <f>INDEX(Positions!$A:$A,MATCH(E868,Positions!$B:$B,0))</f>
        <v>26</v>
      </c>
      <c r="K868" s="2">
        <f>INDEX(Locations!$A:$A,MATCH(I868,Locations!$B:$B,0))</f>
        <v>1</v>
      </c>
    </row>
    <row r="869" spans="1:11" x14ac:dyDescent="0.2">
      <c r="A869" s="3">
        <v>868</v>
      </c>
      <c r="B869" t="s">
        <v>114</v>
      </c>
      <c r="C869" t="s">
        <v>395</v>
      </c>
      <c r="D869" s="1">
        <v>32627</v>
      </c>
      <c r="E869" t="s">
        <v>1379</v>
      </c>
      <c r="F869">
        <v>4</v>
      </c>
      <c r="G869" t="s">
        <v>1470</v>
      </c>
      <c r="H869" s="2">
        <v>837</v>
      </c>
      <c r="I869" t="s">
        <v>1375</v>
      </c>
      <c r="J869" s="2">
        <f>INDEX(Positions!$A:$A,MATCH(E869,Positions!$B:$B,0))</f>
        <v>61</v>
      </c>
      <c r="K869" s="2">
        <f>INDEX(Locations!$A:$A,MATCH(I869,Locations!$B:$B,0))</f>
        <v>12</v>
      </c>
    </row>
    <row r="870" spans="1:11" x14ac:dyDescent="0.2">
      <c r="A870" s="3">
        <v>869</v>
      </c>
      <c r="B870" t="s">
        <v>284</v>
      </c>
      <c r="C870" t="s">
        <v>497</v>
      </c>
      <c r="D870" s="1">
        <v>31062</v>
      </c>
      <c r="E870" t="s">
        <v>1394</v>
      </c>
      <c r="F870">
        <v>3</v>
      </c>
      <c r="G870" t="s">
        <v>1471</v>
      </c>
      <c r="H870" s="2">
        <v>854</v>
      </c>
      <c r="I870" t="s">
        <v>1384</v>
      </c>
      <c r="J870" s="2">
        <f>INDEX(Positions!$A:$A,MATCH(E870,Positions!$B:$B,0))</f>
        <v>49</v>
      </c>
      <c r="K870" s="2">
        <f>INDEX(Locations!$A:$A,MATCH(I870,Locations!$B:$B,0))</f>
        <v>2</v>
      </c>
    </row>
    <row r="871" spans="1:11" x14ac:dyDescent="0.2">
      <c r="A871" s="3">
        <v>870</v>
      </c>
      <c r="B871" t="s">
        <v>200</v>
      </c>
      <c r="C871" t="s">
        <v>155</v>
      </c>
      <c r="D871" s="1">
        <v>33029</v>
      </c>
      <c r="E871" t="s">
        <v>1376</v>
      </c>
      <c r="F871">
        <v>3</v>
      </c>
      <c r="G871" t="s">
        <v>1472</v>
      </c>
      <c r="H871" s="2">
        <v>837</v>
      </c>
      <c r="I871" t="s">
        <v>1375</v>
      </c>
      <c r="J871" s="2">
        <f>INDEX(Positions!$A:$A,MATCH(E871,Positions!$B:$B,0))</f>
        <v>26</v>
      </c>
      <c r="K871" s="2">
        <f>INDEX(Locations!$A:$A,MATCH(I871,Locations!$B:$B,0))</f>
        <v>12</v>
      </c>
    </row>
    <row r="872" spans="1:11" x14ac:dyDescent="0.2">
      <c r="A872" s="3">
        <v>871</v>
      </c>
      <c r="B872" t="s">
        <v>334</v>
      </c>
      <c r="C872" t="s">
        <v>94</v>
      </c>
      <c r="D872" s="1">
        <v>35519</v>
      </c>
      <c r="E872" t="s">
        <v>1379</v>
      </c>
      <c r="F872">
        <v>4</v>
      </c>
      <c r="G872" t="s">
        <v>1473</v>
      </c>
      <c r="H872" s="2">
        <v>814</v>
      </c>
      <c r="I872" t="s">
        <v>50</v>
      </c>
      <c r="J872" s="2">
        <f>INDEX(Positions!$A:$A,MATCH(E872,Positions!$B:$B,0))</f>
        <v>61</v>
      </c>
      <c r="K872" s="2">
        <f>INDEX(Locations!$A:$A,MATCH(I872,Locations!$B:$B,0))</f>
        <v>1</v>
      </c>
    </row>
    <row r="873" spans="1:11" x14ac:dyDescent="0.2">
      <c r="A873" s="3">
        <v>872</v>
      </c>
      <c r="B873" t="s">
        <v>221</v>
      </c>
      <c r="C873" t="s">
        <v>251</v>
      </c>
      <c r="D873" s="1">
        <v>38019</v>
      </c>
      <c r="E873" t="s">
        <v>1382</v>
      </c>
      <c r="F873">
        <v>1</v>
      </c>
      <c r="G873" t="s">
        <v>1474</v>
      </c>
      <c r="H873" s="2">
        <v>838</v>
      </c>
      <c r="I873" t="s">
        <v>1386</v>
      </c>
      <c r="J873" s="2">
        <f>INDEX(Positions!$A:$A,MATCH(E873,Positions!$B:$B,0))</f>
        <v>5</v>
      </c>
      <c r="K873" s="2">
        <f>INDEX(Locations!$A:$A,MATCH(I873,Locations!$B:$B,0))</f>
        <v>5</v>
      </c>
    </row>
    <row r="874" spans="1:11" x14ac:dyDescent="0.2">
      <c r="A874" s="3">
        <v>873</v>
      </c>
      <c r="B874" t="s">
        <v>174</v>
      </c>
      <c r="C874" t="s">
        <v>460</v>
      </c>
      <c r="D874" s="1">
        <v>34113</v>
      </c>
      <c r="E874" t="s">
        <v>1376</v>
      </c>
      <c r="F874">
        <v>3</v>
      </c>
      <c r="G874" t="s">
        <v>1475</v>
      </c>
      <c r="H874" s="2">
        <v>854</v>
      </c>
      <c r="I874" t="s">
        <v>1384</v>
      </c>
      <c r="J874" s="2">
        <f>INDEX(Positions!$A:$A,MATCH(E874,Positions!$B:$B,0))</f>
        <v>26</v>
      </c>
      <c r="K874" s="2">
        <f>INDEX(Locations!$A:$A,MATCH(I874,Locations!$B:$B,0))</f>
        <v>2</v>
      </c>
    </row>
    <row r="875" spans="1:11" x14ac:dyDescent="0.2">
      <c r="A875" s="3">
        <v>874</v>
      </c>
      <c r="B875" t="s">
        <v>183</v>
      </c>
      <c r="C875" t="s">
        <v>550</v>
      </c>
      <c r="D875" s="1">
        <v>37625</v>
      </c>
      <c r="E875" t="s">
        <v>1376</v>
      </c>
      <c r="F875">
        <v>3</v>
      </c>
      <c r="G875" t="s">
        <v>1476</v>
      </c>
      <c r="H875" s="2">
        <v>815</v>
      </c>
      <c r="I875" t="s">
        <v>1375</v>
      </c>
      <c r="J875" s="2">
        <f>INDEX(Positions!$A:$A,MATCH(E875,Positions!$B:$B,0))</f>
        <v>26</v>
      </c>
      <c r="K875" s="2">
        <f>INDEX(Locations!$A:$A,MATCH(I875,Locations!$B:$B,0))</f>
        <v>12</v>
      </c>
    </row>
    <row r="876" spans="1:11" x14ac:dyDescent="0.2">
      <c r="A876" s="3">
        <v>875</v>
      </c>
      <c r="B876" t="s">
        <v>248</v>
      </c>
      <c r="C876" t="s">
        <v>470</v>
      </c>
      <c r="D876" s="1">
        <v>31618</v>
      </c>
      <c r="E876" t="s">
        <v>1379</v>
      </c>
      <c r="F876">
        <v>4</v>
      </c>
      <c r="G876" t="s">
        <v>1477</v>
      </c>
      <c r="H876" s="2">
        <v>838</v>
      </c>
      <c r="I876" t="s">
        <v>1386</v>
      </c>
      <c r="J876" s="2">
        <f>INDEX(Positions!$A:$A,MATCH(E876,Positions!$B:$B,0))</f>
        <v>61</v>
      </c>
      <c r="K876" s="2">
        <f>INDEX(Locations!$A:$A,MATCH(I876,Locations!$B:$B,0))</f>
        <v>5</v>
      </c>
    </row>
    <row r="877" spans="1:11" x14ac:dyDescent="0.2">
      <c r="A877" s="3">
        <v>876</v>
      </c>
      <c r="B877" t="s">
        <v>335</v>
      </c>
      <c r="C877" t="s">
        <v>352</v>
      </c>
      <c r="D877" s="1">
        <v>34534</v>
      </c>
      <c r="E877" t="s">
        <v>1376</v>
      </c>
      <c r="F877">
        <v>3</v>
      </c>
      <c r="G877" t="s">
        <v>1478</v>
      </c>
      <c r="H877" s="2">
        <v>837</v>
      </c>
      <c r="I877" t="s">
        <v>1375</v>
      </c>
      <c r="J877" s="2">
        <f>INDEX(Positions!$A:$A,MATCH(E877,Positions!$B:$B,0))</f>
        <v>26</v>
      </c>
      <c r="K877" s="2">
        <f>INDEX(Locations!$A:$A,MATCH(I877,Locations!$B:$B,0))</f>
        <v>12</v>
      </c>
    </row>
    <row r="878" spans="1:11" x14ac:dyDescent="0.2">
      <c r="A878" s="3">
        <v>877</v>
      </c>
      <c r="B878" t="s">
        <v>170</v>
      </c>
      <c r="C878" t="s">
        <v>460</v>
      </c>
      <c r="D878" s="1">
        <v>37582</v>
      </c>
      <c r="E878" t="s">
        <v>1373</v>
      </c>
      <c r="F878">
        <v>2</v>
      </c>
      <c r="G878" t="s">
        <v>1479</v>
      </c>
      <c r="H878" s="2">
        <v>837</v>
      </c>
      <c r="I878" t="s">
        <v>1375</v>
      </c>
      <c r="J878" s="2">
        <f>INDEX(Positions!$A:$A,MATCH(E878,Positions!$B:$B,0))</f>
        <v>23</v>
      </c>
      <c r="K878" s="2">
        <f>INDEX(Locations!$A:$A,MATCH(I878,Locations!$B:$B,0))</f>
        <v>12</v>
      </c>
    </row>
    <row r="879" spans="1:11" x14ac:dyDescent="0.2">
      <c r="A879" s="3">
        <v>878</v>
      </c>
      <c r="B879" t="s">
        <v>311</v>
      </c>
      <c r="C879" t="s">
        <v>495</v>
      </c>
      <c r="D879" s="1">
        <v>36183</v>
      </c>
      <c r="E879" t="s">
        <v>1373</v>
      </c>
      <c r="F879">
        <v>2</v>
      </c>
      <c r="G879" t="s">
        <v>1480</v>
      </c>
      <c r="H879" s="2">
        <v>816</v>
      </c>
      <c r="I879" t="s">
        <v>1378</v>
      </c>
      <c r="J879" s="2">
        <f>INDEX(Positions!$A:$A,MATCH(E879,Positions!$B:$B,0))</f>
        <v>23</v>
      </c>
      <c r="K879" s="2">
        <f>INDEX(Locations!$A:$A,MATCH(I879,Locations!$B:$B,0))</f>
        <v>4</v>
      </c>
    </row>
    <row r="880" spans="1:11" x14ac:dyDescent="0.2">
      <c r="A880" s="3">
        <v>879</v>
      </c>
      <c r="B880" t="s">
        <v>494</v>
      </c>
      <c r="C880" t="s">
        <v>508</v>
      </c>
      <c r="D880" s="1">
        <v>30955</v>
      </c>
      <c r="E880" t="s">
        <v>1373</v>
      </c>
      <c r="F880">
        <v>2</v>
      </c>
      <c r="G880" t="s">
        <v>1481</v>
      </c>
      <c r="H880" s="2">
        <v>854</v>
      </c>
      <c r="I880" t="s">
        <v>1384</v>
      </c>
      <c r="J880" s="2">
        <f>INDEX(Positions!$A:$A,MATCH(E880,Positions!$B:$B,0))</f>
        <v>23</v>
      </c>
      <c r="K880" s="2">
        <f>INDEX(Locations!$A:$A,MATCH(I880,Locations!$B:$B,0))</f>
        <v>2</v>
      </c>
    </row>
    <row r="881" spans="1:11" x14ac:dyDescent="0.2">
      <c r="A881" s="3">
        <v>880</v>
      </c>
      <c r="B881" t="s">
        <v>105</v>
      </c>
      <c r="C881" t="s">
        <v>440</v>
      </c>
      <c r="D881" s="1">
        <v>32815</v>
      </c>
      <c r="E881" t="s">
        <v>1379</v>
      </c>
      <c r="F881">
        <v>4</v>
      </c>
      <c r="G881" t="s">
        <v>1482</v>
      </c>
      <c r="H881" s="2">
        <v>854</v>
      </c>
      <c r="I881" t="s">
        <v>1384</v>
      </c>
      <c r="J881" s="2">
        <f>INDEX(Positions!$A:$A,MATCH(E881,Positions!$B:$B,0))</f>
        <v>61</v>
      </c>
      <c r="K881" s="2">
        <f>INDEX(Locations!$A:$A,MATCH(I881,Locations!$B:$B,0))</f>
        <v>2</v>
      </c>
    </row>
    <row r="882" spans="1:11" x14ac:dyDescent="0.2">
      <c r="A882" s="3">
        <v>881</v>
      </c>
      <c r="B882" t="s">
        <v>364</v>
      </c>
      <c r="C882" t="s">
        <v>514</v>
      </c>
      <c r="D882" s="1">
        <v>35509</v>
      </c>
      <c r="E882" t="s">
        <v>1373</v>
      </c>
      <c r="F882">
        <v>2</v>
      </c>
      <c r="G882" t="s">
        <v>1483</v>
      </c>
      <c r="H882" s="2">
        <v>854</v>
      </c>
      <c r="I882" t="s">
        <v>1384</v>
      </c>
      <c r="J882" s="2">
        <f>INDEX(Positions!$A:$A,MATCH(E882,Positions!$B:$B,0))</f>
        <v>23</v>
      </c>
      <c r="K882" s="2">
        <f>INDEX(Locations!$A:$A,MATCH(I882,Locations!$B:$B,0))</f>
        <v>2</v>
      </c>
    </row>
    <row r="883" spans="1:11" x14ac:dyDescent="0.2">
      <c r="A883" s="3">
        <v>882</v>
      </c>
      <c r="B883" t="s">
        <v>196</v>
      </c>
      <c r="C883" t="s">
        <v>479</v>
      </c>
      <c r="D883" s="1">
        <v>35521</v>
      </c>
      <c r="E883" t="s">
        <v>1376</v>
      </c>
      <c r="F883">
        <v>3</v>
      </c>
      <c r="G883" t="s">
        <v>1484</v>
      </c>
      <c r="H883" s="2">
        <v>854</v>
      </c>
      <c r="I883" t="s">
        <v>1384</v>
      </c>
      <c r="J883" s="2">
        <f>INDEX(Positions!$A:$A,MATCH(E883,Positions!$B:$B,0))</f>
        <v>26</v>
      </c>
      <c r="K883" s="2">
        <f>INDEX(Locations!$A:$A,MATCH(I883,Locations!$B:$B,0))</f>
        <v>2</v>
      </c>
    </row>
    <row r="884" spans="1:11" x14ac:dyDescent="0.2">
      <c r="A884" s="3">
        <v>883</v>
      </c>
      <c r="B884" t="s">
        <v>327</v>
      </c>
      <c r="C884" t="s">
        <v>106</v>
      </c>
      <c r="D884" s="1">
        <v>39458</v>
      </c>
      <c r="E884" t="s">
        <v>1382</v>
      </c>
      <c r="F884">
        <v>1</v>
      </c>
      <c r="G884" t="s">
        <v>1485</v>
      </c>
      <c r="H884" s="2">
        <v>854</v>
      </c>
      <c r="I884" t="s">
        <v>1384</v>
      </c>
      <c r="J884" s="2">
        <f>INDEX(Positions!$A:$A,MATCH(E884,Positions!$B:$B,0))</f>
        <v>5</v>
      </c>
      <c r="K884" s="2">
        <f>INDEX(Locations!$A:$A,MATCH(I884,Locations!$B:$B,0))</f>
        <v>2</v>
      </c>
    </row>
    <row r="885" spans="1:11" x14ac:dyDescent="0.2">
      <c r="A885" s="3">
        <v>884</v>
      </c>
      <c r="B885" t="s">
        <v>398</v>
      </c>
      <c r="C885" t="s">
        <v>336</v>
      </c>
      <c r="D885" s="1">
        <v>33998</v>
      </c>
      <c r="E885" t="s">
        <v>1376</v>
      </c>
      <c r="F885">
        <v>3</v>
      </c>
      <c r="G885" t="s">
        <v>1486</v>
      </c>
      <c r="H885" s="2">
        <v>838</v>
      </c>
      <c r="I885" t="s">
        <v>1386</v>
      </c>
      <c r="J885" s="2">
        <f>INDEX(Positions!$A:$A,MATCH(E885,Positions!$B:$B,0))</f>
        <v>26</v>
      </c>
      <c r="K885" s="2">
        <f>INDEX(Locations!$A:$A,MATCH(I885,Locations!$B:$B,0))</f>
        <v>5</v>
      </c>
    </row>
    <row r="886" spans="1:11" x14ac:dyDescent="0.2">
      <c r="A886" s="3">
        <v>885</v>
      </c>
      <c r="B886" t="s">
        <v>319</v>
      </c>
      <c r="C886" t="s">
        <v>550</v>
      </c>
      <c r="D886" s="1">
        <v>34127</v>
      </c>
      <c r="E886" t="s">
        <v>1376</v>
      </c>
      <c r="F886">
        <v>3</v>
      </c>
      <c r="G886" t="s">
        <v>1487</v>
      </c>
      <c r="H886" s="2">
        <v>815</v>
      </c>
      <c r="I886" t="s">
        <v>1375</v>
      </c>
      <c r="J886" s="2">
        <f>INDEX(Positions!$A:$A,MATCH(E886,Positions!$B:$B,0))</f>
        <v>26</v>
      </c>
      <c r="K886" s="2">
        <f>INDEX(Locations!$A:$A,MATCH(I886,Locations!$B:$B,0))</f>
        <v>12</v>
      </c>
    </row>
    <row r="887" spans="1:11" x14ac:dyDescent="0.2">
      <c r="A887" s="3">
        <v>886</v>
      </c>
      <c r="B887" t="s">
        <v>302</v>
      </c>
      <c r="C887" t="s">
        <v>353</v>
      </c>
      <c r="D887" s="1">
        <v>31102</v>
      </c>
      <c r="E887" t="s">
        <v>1379</v>
      </c>
      <c r="F887">
        <v>4</v>
      </c>
      <c r="G887" t="s">
        <v>1488</v>
      </c>
      <c r="H887" s="2">
        <v>816</v>
      </c>
      <c r="I887" t="s">
        <v>1378</v>
      </c>
      <c r="J887" s="2">
        <f>INDEX(Positions!$A:$A,MATCH(E887,Positions!$B:$B,0))</f>
        <v>61</v>
      </c>
      <c r="K887" s="2">
        <f>INDEX(Locations!$A:$A,MATCH(I887,Locations!$B:$B,0))</f>
        <v>4</v>
      </c>
    </row>
    <row r="888" spans="1:11" x14ac:dyDescent="0.2">
      <c r="A888" s="3">
        <v>887</v>
      </c>
      <c r="B888" t="s">
        <v>223</v>
      </c>
      <c r="C888" t="s">
        <v>188</v>
      </c>
      <c r="D888" s="1">
        <v>34259</v>
      </c>
      <c r="E888" t="s">
        <v>1379</v>
      </c>
      <c r="F888">
        <v>4</v>
      </c>
      <c r="G888" t="s">
        <v>1489</v>
      </c>
      <c r="H888" s="2">
        <v>854</v>
      </c>
      <c r="I888" t="s">
        <v>1384</v>
      </c>
      <c r="J888" s="2">
        <f>INDEX(Positions!$A:$A,MATCH(E888,Positions!$B:$B,0))</f>
        <v>61</v>
      </c>
      <c r="K888" s="2">
        <f>INDEX(Locations!$A:$A,MATCH(I888,Locations!$B:$B,0))</f>
        <v>2</v>
      </c>
    </row>
    <row r="889" spans="1:11" x14ac:dyDescent="0.2">
      <c r="A889" s="3">
        <v>888</v>
      </c>
      <c r="B889" t="s">
        <v>284</v>
      </c>
      <c r="C889" t="s">
        <v>606</v>
      </c>
      <c r="D889" s="1">
        <v>33306</v>
      </c>
      <c r="E889" t="s">
        <v>1373</v>
      </c>
      <c r="F889">
        <v>2</v>
      </c>
      <c r="G889" t="s">
        <v>1490</v>
      </c>
      <c r="H889" s="2">
        <v>838</v>
      </c>
      <c r="I889" t="s">
        <v>1386</v>
      </c>
      <c r="J889" s="2">
        <f>INDEX(Positions!$A:$A,MATCH(E889,Positions!$B:$B,0))</f>
        <v>23</v>
      </c>
      <c r="K889" s="2">
        <f>INDEX(Locations!$A:$A,MATCH(I889,Locations!$B:$B,0))</f>
        <v>5</v>
      </c>
    </row>
    <row r="890" spans="1:11" x14ac:dyDescent="0.2">
      <c r="A890" s="3">
        <v>889</v>
      </c>
      <c r="B890" t="s">
        <v>383</v>
      </c>
      <c r="C890" t="s">
        <v>222</v>
      </c>
      <c r="D890" s="1">
        <v>36197</v>
      </c>
      <c r="E890" t="s">
        <v>1376</v>
      </c>
      <c r="F890">
        <v>3</v>
      </c>
      <c r="G890" t="s">
        <v>1491</v>
      </c>
      <c r="H890" s="2">
        <v>837</v>
      </c>
      <c r="I890" t="s">
        <v>1375</v>
      </c>
      <c r="J890" s="2">
        <f>INDEX(Positions!$A:$A,MATCH(E890,Positions!$B:$B,0))</f>
        <v>26</v>
      </c>
      <c r="K890" s="2">
        <f>INDEX(Locations!$A:$A,MATCH(I890,Locations!$B:$B,0))</f>
        <v>12</v>
      </c>
    </row>
    <row r="891" spans="1:11" x14ac:dyDescent="0.2">
      <c r="A891" s="3">
        <v>890</v>
      </c>
      <c r="B891" t="s">
        <v>250</v>
      </c>
      <c r="C891" t="s">
        <v>449</v>
      </c>
      <c r="D891" s="1">
        <v>37659</v>
      </c>
      <c r="E891" t="s">
        <v>1394</v>
      </c>
      <c r="F891">
        <v>3</v>
      </c>
      <c r="G891" t="s">
        <v>1492</v>
      </c>
      <c r="H891" s="2">
        <v>838</v>
      </c>
      <c r="I891" t="s">
        <v>1386</v>
      </c>
      <c r="J891" s="2">
        <f>INDEX(Positions!$A:$A,MATCH(E891,Positions!$B:$B,0))</f>
        <v>49</v>
      </c>
      <c r="K891" s="2">
        <f>INDEX(Locations!$A:$A,MATCH(I891,Locations!$B:$B,0))</f>
        <v>5</v>
      </c>
    </row>
    <row r="892" spans="1:11" x14ac:dyDescent="0.2">
      <c r="A892" s="3">
        <v>891</v>
      </c>
      <c r="B892" t="s">
        <v>205</v>
      </c>
      <c r="C892" t="s">
        <v>273</v>
      </c>
      <c r="D892" s="1">
        <v>31095</v>
      </c>
      <c r="E892" t="s">
        <v>1376</v>
      </c>
      <c r="F892">
        <v>3</v>
      </c>
      <c r="G892" t="s">
        <v>1493</v>
      </c>
      <c r="H892" s="2">
        <v>837</v>
      </c>
      <c r="I892" t="s">
        <v>1375</v>
      </c>
      <c r="J892" s="2">
        <f>INDEX(Positions!$A:$A,MATCH(E892,Positions!$B:$B,0))</f>
        <v>26</v>
      </c>
      <c r="K892" s="2">
        <f>INDEX(Locations!$A:$A,MATCH(I892,Locations!$B:$B,0))</f>
        <v>12</v>
      </c>
    </row>
    <row r="893" spans="1:11" x14ac:dyDescent="0.2">
      <c r="A893" s="3">
        <v>892</v>
      </c>
      <c r="B893" t="s">
        <v>209</v>
      </c>
      <c r="C893" t="s">
        <v>479</v>
      </c>
      <c r="D893" s="1">
        <v>31891</v>
      </c>
      <c r="E893" t="s">
        <v>1379</v>
      </c>
      <c r="F893">
        <v>4</v>
      </c>
      <c r="G893" t="s">
        <v>1494</v>
      </c>
      <c r="H893" s="2">
        <v>838</v>
      </c>
      <c r="I893" t="s">
        <v>1386</v>
      </c>
      <c r="J893" s="2">
        <f>INDEX(Positions!$A:$A,MATCH(E893,Positions!$B:$B,0))</f>
        <v>61</v>
      </c>
      <c r="K893" s="2">
        <f>INDEX(Locations!$A:$A,MATCH(I893,Locations!$B:$B,0))</f>
        <v>5</v>
      </c>
    </row>
    <row r="894" spans="1:11" x14ac:dyDescent="0.2">
      <c r="A894" s="3">
        <v>893</v>
      </c>
      <c r="B894" t="s">
        <v>202</v>
      </c>
      <c r="C894" t="s">
        <v>309</v>
      </c>
      <c r="D894" s="1">
        <v>35010</v>
      </c>
      <c r="E894" t="s">
        <v>1376</v>
      </c>
      <c r="F894">
        <v>3</v>
      </c>
      <c r="G894" t="s">
        <v>1495</v>
      </c>
      <c r="H894" s="2">
        <v>854</v>
      </c>
      <c r="I894" t="s">
        <v>1384</v>
      </c>
      <c r="J894" s="2">
        <f>INDEX(Positions!$A:$A,MATCH(E894,Positions!$B:$B,0))</f>
        <v>26</v>
      </c>
      <c r="K894" s="2">
        <f>INDEX(Locations!$A:$A,MATCH(I894,Locations!$B:$B,0))</f>
        <v>2</v>
      </c>
    </row>
    <row r="895" spans="1:11" x14ac:dyDescent="0.2">
      <c r="A895" s="3">
        <v>894</v>
      </c>
      <c r="B895" t="s">
        <v>387</v>
      </c>
      <c r="C895" t="s">
        <v>304</v>
      </c>
      <c r="D895" s="1">
        <v>36907</v>
      </c>
      <c r="E895" t="s">
        <v>1376</v>
      </c>
      <c r="F895">
        <v>3</v>
      </c>
      <c r="G895" t="s">
        <v>1496</v>
      </c>
      <c r="H895" s="2">
        <v>838</v>
      </c>
      <c r="I895" t="s">
        <v>1386</v>
      </c>
      <c r="J895" s="2">
        <f>INDEX(Positions!$A:$A,MATCH(E895,Positions!$B:$B,0))</f>
        <v>26</v>
      </c>
      <c r="K895" s="2">
        <f>INDEX(Locations!$A:$A,MATCH(I895,Locations!$B:$B,0))</f>
        <v>5</v>
      </c>
    </row>
    <row r="896" spans="1:11" x14ac:dyDescent="0.2">
      <c r="A896" s="3">
        <v>895</v>
      </c>
      <c r="B896" t="s">
        <v>401</v>
      </c>
      <c r="C896" t="s">
        <v>307</v>
      </c>
      <c r="D896" s="1">
        <v>37676</v>
      </c>
      <c r="E896" t="s">
        <v>1373</v>
      </c>
      <c r="F896">
        <v>2</v>
      </c>
      <c r="G896" t="s">
        <v>1497</v>
      </c>
      <c r="H896" s="2">
        <v>854</v>
      </c>
      <c r="I896" t="s">
        <v>1384</v>
      </c>
      <c r="J896" s="2">
        <f>INDEX(Positions!$A:$A,MATCH(E896,Positions!$B:$B,0))</f>
        <v>23</v>
      </c>
      <c r="K896" s="2">
        <f>INDEX(Locations!$A:$A,MATCH(I896,Locations!$B:$B,0))</f>
        <v>2</v>
      </c>
    </row>
    <row r="897" spans="1:11" x14ac:dyDescent="0.2">
      <c r="A897" s="3">
        <v>896</v>
      </c>
      <c r="B897" t="s">
        <v>67</v>
      </c>
      <c r="C897" t="s">
        <v>1449</v>
      </c>
      <c r="D897" s="1">
        <v>33195</v>
      </c>
      <c r="E897" t="s">
        <v>1498</v>
      </c>
      <c r="F897">
        <v>3</v>
      </c>
      <c r="G897" t="s">
        <v>1499</v>
      </c>
      <c r="H897" s="2">
        <v>897</v>
      </c>
      <c r="I897" t="s">
        <v>50</v>
      </c>
      <c r="J897" s="2">
        <f>INDEX(Positions!$A:$A,MATCH(E897,Positions!$B:$B,0))</f>
        <v>33</v>
      </c>
      <c r="K897" s="2">
        <f>INDEX(Locations!$A:$A,MATCH(I897,Locations!$B:$B,0))</f>
        <v>1</v>
      </c>
    </row>
    <row r="898" spans="1:11" x14ac:dyDescent="0.2">
      <c r="A898" s="3">
        <v>897</v>
      </c>
      <c r="B898" t="s">
        <v>389</v>
      </c>
      <c r="C898" t="s">
        <v>141</v>
      </c>
      <c r="D898" s="1">
        <v>27292</v>
      </c>
      <c r="E898" t="s">
        <v>1500</v>
      </c>
      <c r="F898">
        <v>8</v>
      </c>
      <c r="G898" t="s">
        <v>1501</v>
      </c>
      <c r="H898" s="2">
        <v>783</v>
      </c>
      <c r="I898" t="s">
        <v>50</v>
      </c>
      <c r="J898" s="2">
        <f>INDEX(Positions!$A:$A,MATCH(E898,Positions!$B:$B,0))</f>
        <v>110</v>
      </c>
      <c r="K898" s="2">
        <f>INDEX(Locations!$A:$A,MATCH(I898,Locations!$B:$B,0))</f>
        <v>1</v>
      </c>
    </row>
    <row r="899" spans="1:11" x14ac:dyDescent="0.2">
      <c r="A899" s="3">
        <v>898</v>
      </c>
      <c r="B899" t="s">
        <v>510</v>
      </c>
      <c r="C899" t="s">
        <v>493</v>
      </c>
      <c r="D899" s="1">
        <v>31729</v>
      </c>
      <c r="E899" t="s">
        <v>1502</v>
      </c>
      <c r="F899">
        <v>3</v>
      </c>
      <c r="G899" t="s">
        <v>1503</v>
      </c>
      <c r="H899" s="2">
        <v>897</v>
      </c>
      <c r="I899" t="s">
        <v>50</v>
      </c>
      <c r="J899" s="2">
        <f>INDEX(Positions!$A:$A,MATCH(E899,Positions!$B:$B,0))</f>
        <v>39</v>
      </c>
      <c r="K899" s="2">
        <f>INDEX(Locations!$A:$A,MATCH(I899,Locations!$B:$B,0))</f>
        <v>1</v>
      </c>
    </row>
    <row r="900" spans="1:11" x14ac:dyDescent="0.2">
      <c r="A900" s="3">
        <v>899</v>
      </c>
      <c r="B900" t="s">
        <v>650</v>
      </c>
      <c r="C900" t="s">
        <v>505</v>
      </c>
      <c r="D900" s="1">
        <v>33466</v>
      </c>
      <c r="E900" t="s">
        <v>1504</v>
      </c>
      <c r="F900">
        <v>3</v>
      </c>
      <c r="G900" t="s">
        <v>1505</v>
      </c>
      <c r="H900" s="2">
        <v>897</v>
      </c>
      <c r="I900" t="s">
        <v>50</v>
      </c>
      <c r="J900" s="2">
        <f>INDEX(Positions!$A:$A,MATCH(E900,Positions!$B:$B,0))</f>
        <v>43</v>
      </c>
      <c r="K900" s="2">
        <f>INDEX(Locations!$A:$A,MATCH(I900,Locations!$B:$B,0))</f>
        <v>1</v>
      </c>
    </row>
    <row r="901" spans="1:11" x14ac:dyDescent="0.2">
      <c r="A901" s="3">
        <v>900</v>
      </c>
      <c r="B901" t="s">
        <v>415</v>
      </c>
      <c r="C901" t="s">
        <v>505</v>
      </c>
      <c r="D901" s="1">
        <v>33079</v>
      </c>
      <c r="E901" t="s">
        <v>1506</v>
      </c>
      <c r="F901">
        <v>4</v>
      </c>
      <c r="G901" t="s">
        <v>1507</v>
      </c>
      <c r="H901" s="2">
        <v>897</v>
      </c>
      <c r="I901" t="s">
        <v>50</v>
      </c>
      <c r="J901" s="2">
        <f>INDEX(Positions!$A:$A,MATCH(E901,Positions!$B:$B,0))</f>
        <v>67</v>
      </c>
      <c r="K901" s="2">
        <f>INDEX(Locations!$A:$A,MATCH(I901,Locations!$B:$B,0))</f>
        <v>1</v>
      </c>
    </row>
    <row r="902" spans="1:11" x14ac:dyDescent="0.2">
      <c r="A902" s="3">
        <v>901</v>
      </c>
      <c r="B902" t="s">
        <v>223</v>
      </c>
      <c r="C902" t="s">
        <v>545</v>
      </c>
      <c r="D902" s="1">
        <v>32910</v>
      </c>
      <c r="E902" t="s">
        <v>1508</v>
      </c>
      <c r="F902">
        <v>3</v>
      </c>
      <c r="G902" t="s">
        <v>1509</v>
      </c>
      <c r="H902" s="2">
        <v>905</v>
      </c>
      <c r="I902" t="s">
        <v>50</v>
      </c>
      <c r="J902" s="2">
        <f>INDEX(Positions!$A:$A,MATCH(E902,Positions!$B:$B,0))</f>
        <v>34</v>
      </c>
      <c r="K902" s="2">
        <f>INDEX(Locations!$A:$A,MATCH(I902,Locations!$B:$B,0))</f>
        <v>1</v>
      </c>
    </row>
    <row r="903" spans="1:11" x14ac:dyDescent="0.2">
      <c r="A903" s="3">
        <v>902</v>
      </c>
      <c r="B903" t="s">
        <v>337</v>
      </c>
      <c r="C903" t="s">
        <v>234</v>
      </c>
      <c r="D903" s="1">
        <v>29769</v>
      </c>
      <c r="E903" t="s">
        <v>1510</v>
      </c>
      <c r="F903">
        <v>7</v>
      </c>
      <c r="G903" t="s">
        <v>1511</v>
      </c>
      <c r="H903" s="2">
        <v>897</v>
      </c>
      <c r="I903" t="s">
        <v>50</v>
      </c>
      <c r="J903" s="2">
        <f>INDEX(Positions!$A:$A,MATCH(E903,Positions!$B:$B,0))</f>
        <v>94</v>
      </c>
      <c r="K903" s="2">
        <f>INDEX(Locations!$A:$A,MATCH(I903,Locations!$B:$B,0))</f>
        <v>1</v>
      </c>
    </row>
    <row r="904" spans="1:11" x14ac:dyDescent="0.2">
      <c r="A904" s="3">
        <v>903</v>
      </c>
      <c r="B904" t="s">
        <v>170</v>
      </c>
      <c r="C904" t="s">
        <v>508</v>
      </c>
      <c r="D904" s="1">
        <v>32094</v>
      </c>
      <c r="E904" t="s">
        <v>1510</v>
      </c>
      <c r="F904">
        <v>7</v>
      </c>
      <c r="G904" t="s">
        <v>1512</v>
      </c>
      <c r="H904" s="2">
        <v>897</v>
      </c>
      <c r="I904" t="s">
        <v>1375</v>
      </c>
      <c r="J904" s="2">
        <f>INDEX(Positions!$A:$A,MATCH(E904,Positions!$B:$B,0))</f>
        <v>94</v>
      </c>
      <c r="K904" s="2">
        <f>INDEX(Locations!$A:$A,MATCH(I904,Locations!$B:$B,0))</f>
        <v>12</v>
      </c>
    </row>
    <row r="905" spans="1:11" x14ac:dyDescent="0.2">
      <c r="A905" s="3">
        <v>904</v>
      </c>
      <c r="B905" t="s">
        <v>331</v>
      </c>
      <c r="C905" t="s">
        <v>424</v>
      </c>
      <c r="D905" s="1">
        <v>32785</v>
      </c>
      <c r="E905" t="s">
        <v>1513</v>
      </c>
      <c r="F905">
        <v>2</v>
      </c>
      <c r="G905" t="s">
        <v>1514</v>
      </c>
      <c r="H905" s="2">
        <v>897</v>
      </c>
      <c r="I905" t="s">
        <v>50</v>
      </c>
      <c r="J905" s="2">
        <f>INDEX(Positions!$A:$A,MATCH(E905,Positions!$B:$B,0))</f>
        <v>20</v>
      </c>
      <c r="K905" s="2">
        <f>INDEX(Locations!$A:$A,MATCH(I905,Locations!$B:$B,0))</f>
        <v>1</v>
      </c>
    </row>
    <row r="906" spans="1:11" x14ac:dyDescent="0.2">
      <c r="A906" s="3">
        <v>905</v>
      </c>
      <c r="B906" t="s">
        <v>442</v>
      </c>
      <c r="C906" t="s">
        <v>171</v>
      </c>
      <c r="D906" s="1">
        <v>32765</v>
      </c>
      <c r="E906" t="s">
        <v>1515</v>
      </c>
      <c r="F906">
        <v>6</v>
      </c>
      <c r="G906" t="s">
        <v>1516</v>
      </c>
      <c r="H906" s="2">
        <v>903</v>
      </c>
      <c r="I906" t="s">
        <v>1517</v>
      </c>
      <c r="J906" s="2">
        <f>INDEX(Positions!$A:$A,MATCH(E906,Positions!$B:$B,0))</f>
        <v>87</v>
      </c>
      <c r="K906" s="2">
        <f>INDEX(Locations!$A:$A,MATCH(I906,Locations!$B:$B,0))</f>
        <v>10</v>
      </c>
    </row>
    <row r="907" spans="1:11" x14ac:dyDescent="0.2">
      <c r="A907" s="3">
        <v>906</v>
      </c>
      <c r="B907" t="s">
        <v>142</v>
      </c>
      <c r="C907" t="s">
        <v>113</v>
      </c>
      <c r="D907" s="1">
        <v>36211</v>
      </c>
      <c r="E907" t="s">
        <v>1513</v>
      </c>
      <c r="F907">
        <v>2</v>
      </c>
      <c r="G907" t="s">
        <v>1518</v>
      </c>
      <c r="H907" s="2">
        <v>905</v>
      </c>
      <c r="I907" t="s">
        <v>1375</v>
      </c>
      <c r="J907" s="2">
        <f>INDEX(Positions!$A:$A,MATCH(E907,Positions!$B:$B,0))</f>
        <v>20</v>
      </c>
      <c r="K907" s="2">
        <f>INDEX(Locations!$A:$A,MATCH(I907,Locations!$B:$B,0))</f>
        <v>12</v>
      </c>
    </row>
    <row r="908" spans="1:11" x14ac:dyDescent="0.2">
      <c r="A908" s="3">
        <v>907</v>
      </c>
      <c r="B908" t="s">
        <v>211</v>
      </c>
      <c r="C908" t="s">
        <v>354</v>
      </c>
      <c r="D908" s="1">
        <v>35165</v>
      </c>
      <c r="E908" t="s">
        <v>1498</v>
      </c>
      <c r="F908">
        <v>3</v>
      </c>
      <c r="G908" t="s">
        <v>1519</v>
      </c>
      <c r="H908" s="2">
        <v>905</v>
      </c>
      <c r="I908" t="s">
        <v>1517</v>
      </c>
      <c r="J908" s="2">
        <f>INDEX(Positions!$A:$A,MATCH(E908,Positions!$B:$B,0))</f>
        <v>33</v>
      </c>
      <c r="K908" s="2">
        <f>INDEX(Locations!$A:$A,MATCH(I908,Locations!$B:$B,0))</f>
        <v>10</v>
      </c>
    </row>
    <row r="909" spans="1:11" x14ac:dyDescent="0.2">
      <c r="A909" s="3">
        <v>908</v>
      </c>
      <c r="B909" t="s">
        <v>638</v>
      </c>
      <c r="C909" t="s">
        <v>212</v>
      </c>
      <c r="D909" s="1">
        <v>37580</v>
      </c>
      <c r="E909" t="s">
        <v>1513</v>
      </c>
      <c r="F909">
        <v>2</v>
      </c>
      <c r="G909" t="s">
        <v>1520</v>
      </c>
      <c r="H909" s="2">
        <v>905</v>
      </c>
      <c r="I909" t="s">
        <v>1517</v>
      </c>
      <c r="J909" s="2">
        <f>INDEX(Positions!$A:$A,MATCH(E909,Positions!$B:$B,0))</f>
        <v>20</v>
      </c>
      <c r="K909" s="2">
        <f>INDEX(Locations!$A:$A,MATCH(I909,Locations!$B:$B,0))</f>
        <v>10</v>
      </c>
    </row>
    <row r="910" spans="1:11" x14ac:dyDescent="0.2">
      <c r="A910" s="3">
        <v>909</v>
      </c>
      <c r="B910" t="s">
        <v>1010</v>
      </c>
      <c r="C910" t="s">
        <v>480</v>
      </c>
      <c r="D910" s="1">
        <v>30261</v>
      </c>
      <c r="E910" t="s">
        <v>1515</v>
      </c>
      <c r="F910">
        <v>6</v>
      </c>
      <c r="G910" t="s">
        <v>1521</v>
      </c>
      <c r="H910" s="2">
        <v>902</v>
      </c>
      <c r="I910" t="s">
        <v>50</v>
      </c>
      <c r="J910" s="2">
        <f>INDEX(Positions!$A:$A,MATCH(E910,Positions!$B:$B,0))</f>
        <v>87</v>
      </c>
      <c r="K910" s="2">
        <f>INDEX(Locations!$A:$A,MATCH(I910,Locations!$B:$B,0))</f>
        <v>1</v>
      </c>
    </row>
    <row r="911" spans="1:11" x14ac:dyDescent="0.2">
      <c r="A911" s="3">
        <v>910</v>
      </c>
      <c r="B911" t="s">
        <v>389</v>
      </c>
      <c r="C911" t="s">
        <v>534</v>
      </c>
      <c r="D911" s="1">
        <v>33039</v>
      </c>
      <c r="E911" t="s">
        <v>1515</v>
      </c>
      <c r="F911">
        <v>6</v>
      </c>
      <c r="G911" t="s">
        <v>1522</v>
      </c>
      <c r="H911" s="2">
        <v>902</v>
      </c>
      <c r="I911" t="s">
        <v>50</v>
      </c>
      <c r="J911" s="2">
        <f>INDEX(Positions!$A:$A,MATCH(E911,Positions!$B:$B,0))</f>
        <v>87</v>
      </c>
      <c r="K911" s="2">
        <f>INDEX(Locations!$A:$A,MATCH(I911,Locations!$B:$B,0))</f>
        <v>1</v>
      </c>
    </row>
    <row r="912" spans="1:11" x14ac:dyDescent="0.2">
      <c r="A912" s="3">
        <v>911</v>
      </c>
      <c r="B912" t="s">
        <v>250</v>
      </c>
      <c r="C912" t="s">
        <v>488</v>
      </c>
      <c r="D912" s="1">
        <v>30447</v>
      </c>
      <c r="E912" t="s">
        <v>1515</v>
      </c>
      <c r="F912">
        <v>6</v>
      </c>
      <c r="G912" t="s">
        <v>1523</v>
      </c>
      <c r="H912" s="2">
        <v>903</v>
      </c>
      <c r="I912" t="s">
        <v>1375</v>
      </c>
      <c r="J912" s="2">
        <f>INDEX(Positions!$A:$A,MATCH(E912,Positions!$B:$B,0))</f>
        <v>87</v>
      </c>
      <c r="K912" s="2">
        <f>INDEX(Locations!$A:$A,MATCH(I912,Locations!$B:$B,0))</f>
        <v>12</v>
      </c>
    </row>
    <row r="913" spans="1:11" x14ac:dyDescent="0.2">
      <c r="A913" s="3">
        <v>912</v>
      </c>
      <c r="B913" t="s">
        <v>579</v>
      </c>
      <c r="C913" t="s">
        <v>732</v>
      </c>
      <c r="D913" s="1">
        <v>36138</v>
      </c>
      <c r="E913" t="s">
        <v>1506</v>
      </c>
      <c r="F913">
        <v>4</v>
      </c>
      <c r="G913" t="s">
        <v>1524</v>
      </c>
      <c r="H913" s="2">
        <v>909</v>
      </c>
      <c r="I913" t="s">
        <v>50</v>
      </c>
      <c r="J913" s="2">
        <f>INDEX(Positions!$A:$A,MATCH(E913,Positions!$B:$B,0))</f>
        <v>67</v>
      </c>
      <c r="K913" s="2">
        <f>INDEX(Locations!$A:$A,MATCH(I913,Locations!$B:$B,0))</f>
        <v>1</v>
      </c>
    </row>
    <row r="914" spans="1:11" x14ac:dyDescent="0.2">
      <c r="A914" s="3">
        <v>913</v>
      </c>
      <c r="B914" t="s">
        <v>501</v>
      </c>
      <c r="C914" t="s">
        <v>556</v>
      </c>
      <c r="D914" s="1">
        <v>33803</v>
      </c>
      <c r="E914" t="s">
        <v>1498</v>
      </c>
      <c r="F914">
        <v>3</v>
      </c>
      <c r="G914" t="s">
        <v>1525</v>
      </c>
      <c r="H914" s="2">
        <v>911</v>
      </c>
      <c r="I914" t="s">
        <v>1375</v>
      </c>
      <c r="J914" s="2">
        <f>INDEX(Positions!$A:$A,MATCH(E914,Positions!$B:$B,0))</f>
        <v>33</v>
      </c>
      <c r="K914" s="2">
        <f>INDEX(Locations!$A:$A,MATCH(I914,Locations!$B:$B,0))</f>
        <v>12</v>
      </c>
    </row>
    <row r="915" spans="1:11" x14ac:dyDescent="0.2">
      <c r="A915" s="3">
        <v>914</v>
      </c>
      <c r="B915" t="s">
        <v>409</v>
      </c>
      <c r="C915" t="s">
        <v>153</v>
      </c>
      <c r="D915" s="1">
        <v>38195</v>
      </c>
      <c r="E915" t="s">
        <v>1508</v>
      </c>
      <c r="F915">
        <v>3</v>
      </c>
      <c r="G915" t="s">
        <v>1526</v>
      </c>
      <c r="H915" s="2">
        <v>911</v>
      </c>
      <c r="I915" t="s">
        <v>1375</v>
      </c>
      <c r="J915" s="2">
        <f>INDEX(Positions!$A:$A,MATCH(E915,Positions!$B:$B,0))</f>
        <v>34</v>
      </c>
      <c r="K915" s="2">
        <f>INDEX(Locations!$A:$A,MATCH(I915,Locations!$B:$B,0))</f>
        <v>12</v>
      </c>
    </row>
    <row r="916" spans="1:11" x14ac:dyDescent="0.2">
      <c r="A916" s="3">
        <v>915</v>
      </c>
      <c r="B916" t="s">
        <v>187</v>
      </c>
      <c r="C916" t="s">
        <v>550</v>
      </c>
      <c r="D916" s="1">
        <v>32759</v>
      </c>
      <c r="E916" t="s">
        <v>1498</v>
      </c>
      <c r="F916">
        <v>3</v>
      </c>
      <c r="G916" t="s">
        <v>1527</v>
      </c>
      <c r="H916" s="2">
        <v>910</v>
      </c>
      <c r="I916" t="s">
        <v>50</v>
      </c>
      <c r="J916" s="2">
        <f>INDEX(Positions!$A:$A,MATCH(E916,Positions!$B:$B,0))</f>
        <v>33</v>
      </c>
      <c r="K916" s="2">
        <f>INDEX(Locations!$A:$A,MATCH(I916,Locations!$B:$B,0))</f>
        <v>1</v>
      </c>
    </row>
    <row r="917" spans="1:11" x14ac:dyDescent="0.2">
      <c r="A917" s="3">
        <v>916</v>
      </c>
      <c r="B917" t="s">
        <v>389</v>
      </c>
      <c r="C917" t="s">
        <v>326</v>
      </c>
      <c r="D917" s="1">
        <v>33104</v>
      </c>
      <c r="E917" t="s">
        <v>1508</v>
      </c>
      <c r="F917">
        <v>3</v>
      </c>
      <c r="G917" t="s">
        <v>1528</v>
      </c>
      <c r="H917" s="2">
        <v>910</v>
      </c>
      <c r="I917" t="s">
        <v>50</v>
      </c>
      <c r="J917" s="2">
        <f>INDEX(Positions!$A:$A,MATCH(E917,Positions!$B:$B,0))</f>
        <v>34</v>
      </c>
      <c r="K917" s="2">
        <f>INDEX(Locations!$A:$A,MATCH(I917,Locations!$B:$B,0))</f>
        <v>1</v>
      </c>
    </row>
    <row r="918" spans="1:11" x14ac:dyDescent="0.2">
      <c r="A918" s="3">
        <v>917</v>
      </c>
      <c r="B918" t="s">
        <v>319</v>
      </c>
      <c r="C918" t="s">
        <v>342</v>
      </c>
      <c r="D918" s="1">
        <v>33954</v>
      </c>
      <c r="E918" t="s">
        <v>1504</v>
      </c>
      <c r="F918">
        <v>3</v>
      </c>
      <c r="G918" t="s">
        <v>1529</v>
      </c>
      <c r="H918" s="2">
        <v>909</v>
      </c>
      <c r="I918" t="s">
        <v>50</v>
      </c>
      <c r="J918" s="2">
        <f>INDEX(Positions!$A:$A,MATCH(E918,Positions!$B:$B,0))</f>
        <v>43</v>
      </c>
      <c r="K918" s="2">
        <f>INDEX(Locations!$A:$A,MATCH(I918,Locations!$B:$B,0))</f>
        <v>1</v>
      </c>
    </row>
    <row r="919" spans="1:11" x14ac:dyDescent="0.2">
      <c r="A919" s="3">
        <v>918</v>
      </c>
      <c r="B919" t="s">
        <v>235</v>
      </c>
      <c r="C919" t="s">
        <v>802</v>
      </c>
      <c r="D919" s="1">
        <v>37196</v>
      </c>
      <c r="E919" t="s">
        <v>1508</v>
      </c>
      <c r="F919">
        <v>3</v>
      </c>
      <c r="G919" t="s">
        <v>1530</v>
      </c>
      <c r="H919" s="2">
        <v>909</v>
      </c>
      <c r="I919" t="s">
        <v>50</v>
      </c>
      <c r="J919" s="2">
        <f>INDEX(Positions!$A:$A,MATCH(E919,Positions!$B:$B,0))</f>
        <v>34</v>
      </c>
      <c r="K919" s="2">
        <f>INDEX(Locations!$A:$A,MATCH(I919,Locations!$B:$B,0))</f>
        <v>1</v>
      </c>
    </row>
    <row r="920" spans="1:11" x14ac:dyDescent="0.2">
      <c r="A920" s="3">
        <v>919</v>
      </c>
      <c r="B920" t="s">
        <v>302</v>
      </c>
      <c r="C920" t="s">
        <v>430</v>
      </c>
      <c r="D920" s="1">
        <v>35403</v>
      </c>
      <c r="E920" t="s">
        <v>1502</v>
      </c>
      <c r="F920">
        <v>3</v>
      </c>
      <c r="G920" t="s">
        <v>1531</v>
      </c>
      <c r="H920" s="2">
        <v>909</v>
      </c>
      <c r="I920" t="s">
        <v>50</v>
      </c>
      <c r="J920" s="2">
        <f>INDEX(Positions!$A:$A,MATCH(E920,Positions!$B:$B,0))</f>
        <v>39</v>
      </c>
      <c r="K920" s="2">
        <f>INDEX(Locations!$A:$A,MATCH(I920,Locations!$B:$B,0))</f>
        <v>1</v>
      </c>
    </row>
    <row r="921" spans="1:11" x14ac:dyDescent="0.2">
      <c r="A921" s="3">
        <v>920</v>
      </c>
      <c r="B921" t="s">
        <v>55</v>
      </c>
      <c r="C921" t="s">
        <v>68</v>
      </c>
      <c r="D921" s="1">
        <v>36984</v>
      </c>
      <c r="E921" t="s">
        <v>1502</v>
      </c>
      <c r="F921">
        <v>3</v>
      </c>
      <c r="G921" t="s">
        <v>1532</v>
      </c>
      <c r="H921" s="2">
        <v>910</v>
      </c>
      <c r="I921" t="s">
        <v>50</v>
      </c>
      <c r="J921" s="2">
        <f>INDEX(Positions!$A:$A,MATCH(E921,Positions!$B:$B,0))</f>
        <v>39</v>
      </c>
      <c r="K921" s="2">
        <f>INDEX(Locations!$A:$A,MATCH(I921,Locations!$B:$B,0))</f>
        <v>1</v>
      </c>
    </row>
    <row r="922" spans="1:11" x14ac:dyDescent="0.2">
      <c r="A922" s="3">
        <v>921</v>
      </c>
      <c r="B922" t="s">
        <v>167</v>
      </c>
      <c r="C922" t="s">
        <v>108</v>
      </c>
      <c r="D922" s="1">
        <v>33043</v>
      </c>
      <c r="E922" t="s">
        <v>1506</v>
      </c>
      <c r="F922">
        <v>4</v>
      </c>
      <c r="G922" t="s">
        <v>1533</v>
      </c>
      <c r="H922" s="2">
        <v>911</v>
      </c>
      <c r="I922" t="s">
        <v>1375</v>
      </c>
      <c r="J922" s="2">
        <f>INDEX(Positions!$A:$A,MATCH(E922,Positions!$B:$B,0))</f>
        <v>67</v>
      </c>
      <c r="K922" s="2">
        <f>INDEX(Locations!$A:$A,MATCH(I922,Locations!$B:$B,0))</f>
        <v>12</v>
      </c>
    </row>
    <row r="923" spans="1:11" x14ac:dyDescent="0.2">
      <c r="A923" s="3">
        <v>922</v>
      </c>
      <c r="B923" t="s">
        <v>144</v>
      </c>
      <c r="C923" t="s">
        <v>206</v>
      </c>
      <c r="D923" s="1">
        <v>32447</v>
      </c>
      <c r="E923" t="s">
        <v>1508</v>
      </c>
      <c r="F923">
        <v>3</v>
      </c>
      <c r="G923" t="s">
        <v>1534</v>
      </c>
      <c r="H923" s="2">
        <v>905</v>
      </c>
      <c r="I923" t="s">
        <v>1517</v>
      </c>
      <c r="J923" s="2">
        <f>INDEX(Positions!$A:$A,MATCH(E923,Positions!$B:$B,0))</f>
        <v>34</v>
      </c>
      <c r="K923" s="2">
        <f>INDEX(Locations!$A:$A,MATCH(I923,Locations!$B:$B,0))</f>
        <v>10</v>
      </c>
    </row>
    <row r="924" spans="1:11" x14ac:dyDescent="0.2">
      <c r="A924" s="3">
        <v>923</v>
      </c>
      <c r="B924" t="s">
        <v>93</v>
      </c>
      <c r="C924" t="s">
        <v>363</v>
      </c>
      <c r="D924" s="1">
        <v>34627</v>
      </c>
      <c r="E924" t="s">
        <v>1498</v>
      </c>
      <c r="F924">
        <v>3</v>
      </c>
      <c r="G924" t="s">
        <v>1535</v>
      </c>
      <c r="H924" s="2">
        <v>910</v>
      </c>
      <c r="I924" t="s">
        <v>50</v>
      </c>
      <c r="J924" s="2">
        <f>INDEX(Positions!$A:$A,MATCH(E924,Positions!$B:$B,0))</f>
        <v>33</v>
      </c>
      <c r="K924" s="2">
        <f>INDEX(Locations!$A:$A,MATCH(I924,Locations!$B:$B,0))</f>
        <v>1</v>
      </c>
    </row>
    <row r="925" spans="1:11" x14ac:dyDescent="0.2">
      <c r="A925" s="3">
        <v>924</v>
      </c>
      <c r="B925" t="s">
        <v>67</v>
      </c>
      <c r="C925" t="s">
        <v>482</v>
      </c>
      <c r="D925" s="1">
        <v>34119</v>
      </c>
      <c r="E925" t="s">
        <v>1508</v>
      </c>
      <c r="F925">
        <v>3</v>
      </c>
      <c r="G925" t="s">
        <v>1536</v>
      </c>
      <c r="H925" s="2">
        <v>909</v>
      </c>
      <c r="I925" t="s">
        <v>50</v>
      </c>
      <c r="J925" s="2">
        <f>INDEX(Positions!$A:$A,MATCH(E925,Positions!$B:$B,0))</f>
        <v>34</v>
      </c>
      <c r="K925" s="2">
        <f>INDEX(Locations!$A:$A,MATCH(I925,Locations!$B:$B,0))</f>
        <v>1</v>
      </c>
    </row>
    <row r="926" spans="1:11" x14ac:dyDescent="0.2">
      <c r="A926" s="3">
        <v>925</v>
      </c>
      <c r="B926" t="s">
        <v>345</v>
      </c>
      <c r="C926" t="s">
        <v>541</v>
      </c>
      <c r="D926" s="1">
        <v>39408</v>
      </c>
      <c r="E926" t="s">
        <v>1513</v>
      </c>
      <c r="F926">
        <v>2</v>
      </c>
      <c r="G926" t="s">
        <v>1537</v>
      </c>
      <c r="H926" s="2">
        <v>910</v>
      </c>
      <c r="I926" t="s">
        <v>50</v>
      </c>
      <c r="J926" s="2">
        <f>INDEX(Positions!$A:$A,MATCH(E926,Positions!$B:$B,0))</f>
        <v>20</v>
      </c>
      <c r="K926" s="2">
        <f>INDEX(Locations!$A:$A,MATCH(I926,Locations!$B:$B,0))</f>
        <v>1</v>
      </c>
    </row>
    <row r="927" spans="1:11" x14ac:dyDescent="0.2">
      <c r="A927" s="3">
        <v>926</v>
      </c>
      <c r="B927" t="s">
        <v>279</v>
      </c>
      <c r="C927" t="s">
        <v>254</v>
      </c>
      <c r="D927" s="1">
        <v>35535</v>
      </c>
      <c r="E927" t="s">
        <v>1502</v>
      </c>
      <c r="F927">
        <v>3</v>
      </c>
      <c r="G927" t="s">
        <v>1538</v>
      </c>
      <c r="H927" s="2">
        <v>911</v>
      </c>
      <c r="I927" t="s">
        <v>1375</v>
      </c>
      <c r="J927" s="2">
        <f>INDEX(Positions!$A:$A,MATCH(E927,Positions!$B:$B,0))</f>
        <v>39</v>
      </c>
      <c r="K927" s="2">
        <f>INDEX(Locations!$A:$A,MATCH(I927,Locations!$B:$B,0))</f>
        <v>12</v>
      </c>
    </row>
    <row r="928" spans="1:11" x14ac:dyDescent="0.2">
      <c r="A928" s="3">
        <v>927</v>
      </c>
      <c r="B928" t="s">
        <v>418</v>
      </c>
      <c r="C928" t="s">
        <v>382</v>
      </c>
      <c r="D928" s="1">
        <v>33581</v>
      </c>
      <c r="E928" t="s">
        <v>1504</v>
      </c>
      <c r="F928">
        <v>3</v>
      </c>
      <c r="G928" t="s">
        <v>1539</v>
      </c>
      <c r="H928" s="2">
        <v>911</v>
      </c>
      <c r="I928" t="s">
        <v>1375</v>
      </c>
      <c r="J928" s="2">
        <f>INDEX(Positions!$A:$A,MATCH(E928,Positions!$B:$B,0))</f>
        <v>43</v>
      </c>
      <c r="K928" s="2">
        <f>INDEX(Locations!$A:$A,MATCH(I928,Locations!$B:$B,0))</f>
        <v>12</v>
      </c>
    </row>
    <row r="929" spans="1:11" x14ac:dyDescent="0.2">
      <c r="A929" s="3">
        <v>928</v>
      </c>
      <c r="B929" t="s">
        <v>455</v>
      </c>
      <c r="C929" t="s">
        <v>372</v>
      </c>
      <c r="D929" s="1">
        <v>33960</v>
      </c>
      <c r="E929" t="s">
        <v>1498</v>
      </c>
      <c r="F929">
        <v>3</v>
      </c>
      <c r="G929" t="s">
        <v>1540</v>
      </c>
      <c r="H929" s="2">
        <v>909</v>
      </c>
      <c r="I929" t="s">
        <v>50</v>
      </c>
      <c r="J929" s="2">
        <f>INDEX(Positions!$A:$A,MATCH(E929,Positions!$B:$B,0))</f>
        <v>33</v>
      </c>
      <c r="K929" s="2">
        <f>INDEX(Locations!$A:$A,MATCH(I929,Locations!$B:$B,0))</f>
        <v>1</v>
      </c>
    </row>
    <row r="930" spans="1:11" x14ac:dyDescent="0.2">
      <c r="A930" s="3">
        <v>929</v>
      </c>
      <c r="B930" t="s">
        <v>107</v>
      </c>
      <c r="C930" t="s">
        <v>347</v>
      </c>
      <c r="D930" s="1">
        <v>38843</v>
      </c>
      <c r="E930" t="s">
        <v>1513</v>
      </c>
      <c r="F930">
        <v>2</v>
      </c>
      <c r="G930" t="s">
        <v>1541</v>
      </c>
      <c r="H930" s="2">
        <v>911</v>
      </c>
      <c r="I930" t="s">
        <v>1375</v>
      </c>
      <c r="J930" s="2">
        <f>INDEX(Positions!$A:$A,MATCH(E930,Positions!$B:$B,0))</f>
        <v>20</v>
      </c>
      <c r="K930" s="2">
        <f>INDEX(Locations!$A:$A,MATCH(I930,Locations!$B:$B,0))</f>
        <v>12</v>
      </c>
    </row>
    <row r="931" spans="1:11" x14ac:dyDescent="0.2">
      <c r="A931" s="3">
        <v>930</v>
      </c>
      <c r="B931" t="s">
        <v>246</v>
      </c>
      <c r="C931" t="s">
        <v>1140</v>
      </c>
      <c r="D931" s="1">
        <v>36605</v>
      </c>
      <c r="E931" t="s">
        <v>1506</v>
      </c>
      <c r="F931">
        <v>4</v>
      </c>
      <c r="G931" t="s">
        <v>1542</v>
      </c>
      <c r="H931" s="2">
        <v>905</v>
      </c>
      <c r="I931" t="s">
        <v>1517</v>
      </c>
      <c r="J931" s="2">
        <f>INDEX(Positions!$A:$A,MATCH(E931,Positions!$B:$B,0))</f>
        <v>67</v>
      </c>
      <c r="K931" s="2">
        <f>INDEX(Locations!$A:$A,MATCH(I931,Locations!$B:$B,0))</f>
        <v>10</v>
      </c>
    </row>
    <row r="932" spans="1:11" x14ac:dyDescent="0.2">
      <c r="A932" s="3">
        <v>931</v>
      </c>
      <c r="B932" t="s">
        <v>209</v>
      </c>
      <c r="C932" t="s">
        <v>410</v>
      </c>
      <c r="D932" s="1">
        <v>34850</v>
      </c>
      <c r="E932" t="s">
        <v>1504</v>
      </c>
      <c r="F932">
        <v>3</v>
      </c>
      <c r="G932" t="s">
        <v>1543</v>
      </c>
      <c r="H932" s="2">
        <v>910</v>
      </c>
      <c r="I932" t="s">
        <v>50</v>
      </c>
      <c r="J932" s="2">
        <f>INDEX(Positions!$A:$A,MATCH(E932,Positions!$B:$B,0))</f>
        <v>43</v>
      </c>
      <c r="K932" s="2">
        <f>INDEX(Locations!$A:$A,MATCH(I932,Locations!$B:$B,0))</f>
        <v>1</v>
      </c>
    </row>
    <row r="933" spans="1:11" x14ac:dyDescent="0.2">
      <c r="A933" s="3">
        <v>932</v>
      </c>
      <c r="B933" t="s">
        <v>445</v>
      </c>
      <c r="C933" t="s">
        <v>386</v>
      </c>
      <c r="D933" s="1">
        <v>35067</v>
      </c>
      <c r="E933" t="s">
        <v>1508</v>
      </c>
      <c r="F933">
        <v>3</v>
      </c>
      <c r="G933" t="s">
        <v>1544</v>
      </c>
      <c r="H933" s="2">
        <v>911</v>
      </c>
      <c r="I933" t="s">
        <v>1375</v>
      </c>
      <c r="J933" s="2">
        <f>INDEX(Positions!$A:$A,MATCH(E933,Positions!$B:$B,0))</f>
        <v>34</v>
      </c>
      <c r="K933" s="2">
        <f>INDEX(Locations!$A:$A,MATCH(I933,Locations!$B:$B,0))</f>
        <v>12</v>
      </c>
    </row>
    <row r="934" spans="1:11" x14ac:dyDescent="0.2">
      <c r="A934" s="3">
        <v>933</v>
      </c>
      <c r="B934" t="s">
        <v>452</v>
      </c>
      <c r="C934" t="s">
        <v>143</v>
      </c>
      <c r="D934" s="1">
        <v>30699</v>
      </c>
      <c r="E934" t="s">
        <v>1506</v>
      </c>
      <c r="F934">
        <v>4</v>
      </c>
      <c r="G934" t="s">
        <v>1545</v>
      </c>
      <c r="H934" s="2">
        <v>909</v>
      </c>
      <c r="I934" t="s">
        <v>50</v>
      </c>
      <c r="J934" s="2">
        <f>INDEX(Positions!$A:$A,MATCH(E934,Positions!$B:$B,0))</f>
        <v>67</v>
      </c>
      <c r="K934" s="2">
        <f>INDEX(Locations!$A:$A,MATCH(I934,Locations!$B:$B,0))</f>
        <v>1</v>
      </c>
    </row>
    <row r="935" spans="1:11" x14ac:dyDescent="0.2">
      <c r="A935" s="3">
        <v>934</v>
      </c>
      <c r="B935" t="s">
        <v>491</v>
      </c>
      <c r="C935" t="s">
        <v>556</v>
      </c>
      <c r="D935" s="1">
        <v>35937</v>
      </c>
      <c r="E935" t="s">
        <v>1506</v>
      </c>
      <c r="F935">
        <v>4</v>
      </c>
      <c r="G935" t="s">
        <v>1546</v>
      </c>
      <c r="H935" s="2">
        <v>911</v>
      </c>
      <c r="I935" t="s">
        <v>1375</v>
      </c>
      <c r="J935" s="2">
        <f>INDEX(Positions!$A:$A,MATCH(E935,Positions!$B:$B,0))</f>
        <v>67</v>
      </c>
      <c r="K935" s="2">
        <f>INDEX(Locations!$A:$A,MATCH(I935,Locations!$B:$B,0))</f>
        <v>12</v>
      </c>
    </row>
    <row r="936" spans="1:11" x14ac:dyDescent="0.2">
      <c r="A936" s="3">
        <v>935</v>
      </c>
      <c r="B936" t="s">
        <v>196</v>
      </c>
      <c r="C936" t="s">
        <v>155</v>
      </c>
      <c r="D936" s="1">
        <v>34577</v>
      </c>
      <c r="E936" t="s">
        <v>1506</v>
      </c>
      <c r="F936">
        <v>4</v>
      </c>
      <c r="G936" t="s">
        <v>1547</v>
      </c>
      <c r="H936" s="2">
        <v>910</v>
      </c>
      <c r="I936" t="s">
        <v>50</v>
      </c>
      <c r="J936" s="2">
        <f>INDEX(Positions!$A:$A,MATCH(E936,Positions!$B:$B,0))</f>
        <v>67</v>
      </c>
      <c r="K936" s="2">
        <f>INDEX(Locations!$A:$A,MATCH(I936,Locations!$B:$B,0))</f>
        <v>1</v>
      </c>
    </row>
    <row r="937" spans="1:11" x14ac:dyDescent="0.2">
      <c r="A937" s="3">
        <v>936</v>
      </c>
      <c r="B937" t="s">
        <v>501</v>
      </c>
      <c r="C937" t="s">
        <v>354</v>
      </c>
      <c r="D937" s="1">
        <v>35622</v>
      </c>
      <c r="E937" t="s">
        <v>1513</v>
      </c>
      <c r="F937">
        <v>2</v>
      </c>
      <c r="G937" t="s">
        <v>1548</v>
      </c>
      <c r="H937" s="2">
        <v>910</v>
      </c>
      <c r="I937" t="s">
        <v>50</v>
      </c>
      <c r="J937" s="2">
        <f>INDEX(Positions!$A:$A,MATCH(E937,Positions!$B:$B,0))</f>
        <v>20</v>
      </c>
      <c r="K937" s="2">
        <f>INDEX(Locations!$A:$A,MATCH(I937,Locations!$B:$B,0))</f>
        <v>1</v>
      </c>
    </row>
    <row r="938" spans="1:11" x14ac:dyDescent="0.2">
      <c r="A938" s="3">
        <v>937</v>
      </c>
      <c r="B938" t="s">
        <v>328</v>
      </c>
      <c r="C938" t="s">
        <v>390</v>
      </c>
      <c r="D938" s="1">
        <v>36804</v>
      </c>
      <c r="E938" t="s">
        <v>1513</v>
      </c>
      <c r="F938">
        <v>2</v>
      </c>
      <c r="G938" t="s">
        <v>1549</v>
      </c>
      <c r="H938" s="2">
        <v>909</v>
      </c>
      <c r="I938" t="s">
        <v>50</v>
      </c>
      <c r="J938" s="2">
        <f>INDEX(Positions!$A:$A,MATCH(E938,Positions!$B:$B,0))</f>
        <v>20</v>
      </c>
      <c r="K938" s="2">
        <f>INDEX(Locations!$A:$A,MATCH(I938,Locations!$B:$B,0))</f>
        <v>1</v>
      </c>
    </row>
    <row r="939" spans="1:11" x14ac:dyDescent="0.2">
      <c r="A939" s="3">
        <v>938</v>
      </c>
      <c r="B939" t="s">
        <v>376</v>
      </c>
      <c r="C939" t="s">
        <v>765</v>
      </c>
      <c r="D939" s="1">
        <v>27193</v>
      </c>
      <c r="E939" t="s">
        <v>1550</v>
      </c>
      <c r="F939">
        <v>7</v>
      </c>
      <c r="G939" t="s">
        <v>1551</v>
      </c>
      <c r="H939" s="2">
        <v>783</v>
      </c>
      <c r="I939" t="s">
        <v>50</v>
      </c>
      <c r="J939" s="2">
        <f>INDEX(Positions!$A:$A,MATCH(E939,Positions!$B:$B,0))</f>
        <v>95</v>
      </c>
      <c r="K939" s="2">
        <f>INDEX(Locations!$A:$A,MATCH(I939,Locations!$B:$B,0))</f>
        <v>1</v>
      </c>
    </row>
    <row r="940" spans="1:11" x14ac:dyDescent="0.2">
      <c r="A940" s="3">
        <v>939</v>
      </c>
      <c r="B940" t="s">
        <v>134</v>
      </c>
      <c r="C940" t="s">
        <v>459</v>
      </c>
      <c r="D940" s="1">
        <v>34600</v>
      </c>
      <c r="E940" t="s">
        <v>1552</v>
      </c>
      <c r="F940">
        <v>4</v>
      </c>
      <c r="G940" t="s">
        <v>1553</v>
      </c>
      <c r="H940" s="2">
        <v>938</v>
      </c>
      <c r="I940" t="s">
        <v>1375</v>
      </c>
      <c r="J940" s="2">
        <f>INDEX(Positions!$A:$A,MATCH(E940,Positions!$B:$B,0))</f>
        <v>69</v>
      </c>
      <c r="K940" s="2">
        <f>INDEX(Locations!$A:$A,MATCH(I940,Locations!$B:$B,0))</f>
        <v>12</v>
      </c>
    </row>
    <row r="941" spans="1:11" x14ac:dyDescent="0.2">
      <c r="A941" s="3">
        <v>940</v>
      </c>
      <c r="B941" t="s">
        <v>204</v>
      </c>
      <c r="C941" t="s">
        <v>470</v>
      </c>
      <c r="D941" s="1">
        <v>34144</v>
      </c>
      <c r="E941" t="s">
        <v>1554</v>
      </c>
      <c r="F941">
        <v>2</v>
      </c>
      <c r="G941" t="s">
        <v>1555</v>
      </c>
      <c r="H941" s="2">
        <v>979</v>
      </c>
      <c r="I941" t="s">
        <v>50</v>
      </c>
      <c r="J941" s="2">
        <f>INDEX(Positions!$A:$A,MATCH(E941,Positions!$B:$B,0))</f>
        <v>25</v>
      </c>
      <c r="K941" s="2">
        <f>INDEX(Locations!$A:$A,MATCH(I941,Locations!$B:$B,0))</f>
        <v>1</v>
      </c>
    </row>
    <row r="942" spans="1:11" x14ac:dyDescent="0.2">
      <c r="A942" s="3">
        <v>941</v>
      </c>
      <c r="B942" t="s">
        <v>1051</v>
      </c>
      <c r="C942" t="s">
        <v>240</v>
      </c>
      <c r="D942" s="1">
        <v>36481</v>
      </c>
      <c r="E942" t="s">
        <v>1556</v>
      </c>
      <c r="F942">
        <v>1</v>
      </c>
      <c r="G942" t="s">
        <v>1557</v>
      </c>
      <c r="H942" s="2">
        <v>938</v>
      </c>
      <c r="I942" t="s">
        <v>1384</v>
      </c>
      <c r="J942" s="2">
        <f>INDEX(Positions!$A:$A,MATCH(E942,Positions!$B:$B,0))</f>
        <v>8</v>
      </c>
      <c r="K942" s="2">
        <f>INDEX(Locations!$A:$A,MATCH(I942,Locations!$B:$B,0))</f>
        <v>2</v>
      </c>
    </row>
    <row r="943" spans="1:11" x14ac:dyDescent="0.2">
      <c r="A943" s="3">
        <v>942</v>
      </c>
      <c r="B943" t="s">
        <v>519</v>
      </c>
      <c r="C943" t="s">
        <v>395</v>
      </c>
      <c r="D943" s="1">
        <v>36245</v>
      </c>
      <c r="E943" t="s">
        <v>1554</v>
      </c>
      <c r="F943">
        <v>2</v>
      </c>
      <c r="G943" t="s">
        <v>1558</v>
      </c>
      <c r="H943" s="2">
        <v>938</v>
      </c>
      <c r="I943" t="s">
        <v>50</v>
      </c>
      <c r="J943" s="2">
        <f>INDEX(Positions!$A:$A,MATCH(E943,Positions!$B:$B,0))</f>
        <v>25</v>
      </c>
      <c r="K943" s="2">
        <f>INDEX(Locations!$A:$A,MATCH(I943,Locations!$B:$B,0))</f>
        <v>1</v>
      </c>
    </row>
    <row r="944" spans="1:11" x14ac:dyDescent="0.2">
      <c r="A944" s="3">
        <v>943</v>
      </c>
      <c r="B944" t="s">
        <v>396</v>
      </c>
      <c r="C944" t="s">
        <v>716</v>
      </c>
      <c r="D944" s="1">
        <v>35503</v>
      </c>
      <c r="E944" t="s">
        <v>1556</v>
      </c>
      <c r="F944">
        <v>1</v>
      </c>
      <c r="G944" t="s">
        <v>1559</v>
      </c>
      <c r="H944" s="2">
        <v>938</v>
      </c>
      <c r="I944" t="s">
        <v>50</v>
      </c>
      <c r="J944" s="2">
        <f>INDEX(Positions!$A:$A,MATCH(E944,Positions!$B:$B,0))</f>
        <v>8</v>
      </c>
      <c r="K944" s="2">
        <f>INDEX(Locations!$A:$A,MATCH(I944,Locations!$B:$B,0))</f>
        <v>1</v>
      </c>
    </row>
    <row r="945" spans="1:11" x14ac:dyDescent="0.2">
      <c r="A945" s="3">
        <v>944</v>
      </c>
      <c r="B945" t="s">
        <v>463</v>
      </c>
      <c r="C945" t="s">
        <v>342</v>
      </c>
      <c r="D945" s="1">
        <v>35121</v>
      </c>
      <c r="E945" t="s">
        <v>1556</v>
      </c>
      <c r="F945">
        <v>1</v>
      </c>
      <c r="G945" t="s">
        <v>1560</v>
      </c>
      <c r="H945" s="2">
        <v>938</v>
      </c>
      <c r="I945" t="s">
        <v>1375</v>
      </c>
      <c r="J945" s="2">
        <f>INDEX(Positions!$A:$A,MATCH(E945,Positions!$B:$B,0))</f>
        <v>8</v>
      </c>
      <c r="K945" s="2">
        <f>INDEX(Locations!$A:$A,MATCH(I945,Locations!$B:$B,0))</f>
        <v>12</v>
      </c>
    </row>
    <row r="946" spans="1:11" x14ac:dyDescent="0.2">
      <c r="A946" s="3">
        <v>945</v>
      </c>
      <c r="B946" t="s">
        <v>114</v>
      </c>
      <c r="C946" t="s">
        <v>147</v>
      </c>
      <c r="D946" s="1">
        <v>36586</v>
      </c>
      <c r="E946" t="s">
        <v>1556</v>
      </c>
      <c r="F946">
        <v>1</v>
      </c>
      <c r="G946" t="s">
        <v>1561</v>
      </c>
      <c r="H946" s="2">
        <v>938</v>
      </c>
      <c r="I946" t="s">
        <v>1384</v>
      </c>
      <c r="J946" s="2">
        <f>INDEX(Positions!$A:$A,MATCH(E946,Positions!$B:$B,0))</f>
        <v>8</v>
      </c>
      <c r="K946" s="2">
        <f>INDEX(Locations!$A:$A,MATCH(I946,Locations!$B:$B,0))</f>
        <v>2</v>
      </c>
    </row>
    <row r="947" spans="1:11" x14ac:dyDescent="0.2">
      <c r="A947" s="3">
        <v>946</v>
      </c>
      <c r="B947" t="s">
        <v>702</v>
      </c>
      <c r="C947" t="s">
        <v>262</v>
      </c>
      <c r="D947" s="1">
        <v>35689</v>
      </c>
      <c r="E947" t="s">
        <v>1554</v>
      </c>
      <c r="F947">
        <v>2</v>
      </c>
      <c r="G947" t="s">
        <v>1562</v>
      </c>
      <c r="H947" s="2">
        <v>938</v>
      </c>
      <c r="I947" t="s">
        <v>1375</v>
      </c>
      <c r="J947" s="2">
        <f>INDEX(Positions!$A:$A,MATCH(E947,Positions!$B:$B,0))</f>
        <v>25</v>
      </c>
      <c r="K947" s="2">
        <f>INDEX(Locations!$A:$A,MATCH(I947,Locations!$B:$B,0))</f>
        <v>12</v>
      </c>
    </row>
    <row r="948" spans="1:11" x14ac:dyDescent="0.2">
      <c r="A948" s="3">
        <v>947</v>
      </c>
      <c r="B948" t="s">
        <v>698</v>
      </c>
      <c r="C948" t="s">
        <v>126</v>
      </c>
      <c r="D948" s="1">
        <v>34837</v>
      </c>
      <c r="E948" t="s">
        <v>1556</v>
      </c>
      <c r="F948">
        <v>1</v>
      </c>
      <c r="G948" t="s">
        <v>1563</v>
      </c>
      <c r="H948" s="2">
        <v>938</v>
      </c>
      <c r="I948" t="s">
        <v>1375</v>
      </c>
      <c r="J948" s="2">
        <f>INDEX(Positions!$A:$A,MATCH(E948,Positions!$B:$B,0))</f>
        <v>8</v>
      </c>
      <c r="K948" s="2">
        <f>INDEX(Locations!$A:$A,MATCH(I948,Locations!$B:$B,0))</f>
        <v>12</v>
      </c>
    </row>
    <row r="949" spans="1:11" x14ac:dyDescent="0.2">
      <c r="A949" s="3">
        <v>948</v>
      </c>
      <c r="B949" t="s">
        <v>137</v>
      </c>
      <c r="C949" t="s">
        <v>685</v>
      </c>
      <c r="D949" s="1">
        <v>34138</v>
      </c>
      <c r="E949" t="s">
        <v>1556</v>
      </c>
      <c r="F949">
        <v>1</v>
      </c>
      <c r="G949" t="s">
        <v>1564</v>
      </c>
      <c r="H949" s="2">
        <v>965</v>
      </c>
      <c r="I949" t="s">
        <v>50</v>
      </c>
      <c r="J949" s="2">
        <f>INDEX(Positions!$A:$A,MATCH(E949,Positions!$B:$B,0))</f>
        <v>8</v>
      </c>
      <c r="K949" s="2">
        <f>INDEX(Locations!$A:$A,MATCH(I949,Locations!$B:$B,0))</f>
        <v>1</v>
      </c>
    </row>
    <row r="950" spans="1:11" x14ac:dyDescent="0.2">
      <c r="A950" s="3">
        <v>949</v>
      </c>
      <c r="B950" t="s">
        <v>243</v>
      </c>
      <c r="C950" t="s">
        <v>120</v>
      </c>
      <c r="D950" s="1">
        <v>34448</v>
      </c>
      <c r="E950" t="s">
        <v>1565</v>
      </c>
      <c r="F950">
        <v>3</v>
      </c>
      <c r="G950" t="s">
        <v>1566</v>
      </c>
      <c r="H950" s="2">
        <v>938</v>
      </c>
      <c r="I950" t="s">
        <v>1375</v>
      </c>
      <c r="J950" s="2">
        <f>INDEX(Positions!$A:$A,MATCH(E950,Positions!$B:$B,0))</f>
        <v>54</v>
      </c>
      <c r="K950" s="2">
        <f>INDEX(Locations!$A:$A,MATCH(I950,Locations!$B:$B,0))</f>
        <v>12</v>
      </c>
    </row>
    <row r="951" spans="1:11" x14ac:dyDescent="0.2">
      <c r="A951" s="3">
        <v>950</v>
      </c>
      <c r="B951" t="s">
        <v>510</v>
      </c>
      <c r="C951" t="s">
        <v>68</v>
      </c>
      <c r="D951" s="1">
        <v>31647</v>
      </c>
      <c r="E951" t="s">
        <v>1556</v>
      </c>
      <c r="F951">
        <v>1</v>
      </c>
      <c r="G951" t="s">
        <v>1567</v>
      </c>
      <c r="H951" s="2">
        <v>938</v>
      </c>
      <c r="I951" t="s">
        <v>1384</v>
      </c>
      <c r="J951" s="2">
        <f>INDEX(Positions!$A:$A,MATCH(E951,Positions!$B:$B,0))</f>
        <v>8</v>
      </c>
      <c r="K951" s="2">
        <f>INDEX(Locations!$A:$A,MATCH(I951,Locations!$B:$B,0))</f>
        <v>2</v>
      </c>
    </row>
    <row r="952" spans="1:11" x14ac:dyDescent="0.2">
      <c r="A952" s="3">
        <v>951</v>
      </c>
      <c r="B952" t="s">
        <v>181</v>
      </c>
      <c r="C952" t="s">
        <v>550</v>
      </c>
      <c r="D952" s="1">
        <v>38077</v>
      </c>
      <c r="E952" t="s">
        <v>1556</v>
      </c>
      <c r="F952">
        <v>1</v>
      </c>
      <c r="G952" t="s">
        <v>1568</v>
      </c>
      <c r="H952" s="2">
        <v>993</v>
      </c>
      <c r="I952" t="s">
        <v>1384</v>
      </c>
      <c r="J952" s="2">
        <f>INDEX(Positions!$A:$A,MATCH(E952,Positions!$B:$B,0))</f>
        <v>8</v>
      </c>
      <c r="K952" s="2">
        <f>INDEX(Locations!$A:$A,MATCH(I952,Locations!$B:$B,0))</f>
        <v>2</v>
      </c>
    </row>
    <row r="953" spans="1:11" x14ac:dyDescent="0.2">
      <c r="A953" s="3">
        <v>952</v>
      </c>
      <c r="B953" t="s">
        <v>300</v>
      </c>
      <c r="C953" t="s">
        <v>740</v>
      </c>
      <c r="D953" s="1">
        <v>28974</v>
      </c>
      <c r="E953" t="s">
        <v>1552</v>
      </c>
      <c r="F953">
        <v>4</v>
      </c>
      <c r="G953" t="s">
        <v>1569</v>
      </c>
      <c r="H953" s="2">
        <v>965</v>
      </c>
      <c r="I953" t="s">
        <v>50</v>
      </c>
      <c r="J953" s="2">
        <f>INDEX(Positions!$A:$A,MATCH(E953,Positions!$B:$B,0))</f>
        <v>69</v>
      </c>
      <c r="K953" s="2">
        <f>INDEX(Locations!$A:$A,MATCH(I953,Locations!$B:$B,0))</f>
        <v>1</v>
      </c>
    </row>
    <row r="954" spans="1:11" x14ac:dyDescent="0.2">
      <c r="A954" s="3">
        <v>953</v>
      </c>
      <c r="B954" t="s">
        <v>114</v>
      </c>
      <c r="C954" t="s">
        <v>1012</v>
      </c>
      <c r="D954" s="1">
        <v>37113</v>
      </c>
      <c r="E954" t="s">
        <v>1554</v>
      </c>
      <c r="F954">
        <v>2</v>
      </c>
      <c r="G954" t="s">
        <v>1570</v>
      </c>
      <c r="H954" s="2">
        <v>938</v>
      </c>
      <c r="I954" t="s">
        <v>1375</v>
      </c>
      <c r="J954" s="2">
        <f>INDEX(Positions!$A:$A,MATCH(E954,Positions!$B:$B,0))</f>
        <v>25</v>
      </c>
      <c r="K954" s="2">
        <f>INDEX(Locations!$A:$A,MATCH(I954,Locations!$B:$B,0))</f>
        <v>12</v>
      </c>
    </row>
    <row r="955" spans="1:11" x14ac:dyDescent="0.2">
      <c r="A955" s="3">
        <v>954</v>
      </c>
      <c r="B955" t="s">
        <v>116</v>
      </c>
      <c r="C955" t="s">
        <v>525</v>
      </c>
      <c r="D955" s="1">
        <v>38301</v>
      </c>
      <c r="E955" t="s">
        <v>1556</v>
      </c>
      <c r="F955">
        <v>1</v>
      </c>
      <c r="G955" t="s">
        <v>1571</v>
      </c>
      <c r="H955" s="2">
        <v>938</v>
      </c>
      <c r="I955" t="s">
        <v>1384</v>
      </c>
      <c r="J955" s="2">
        <f>INDEX(Positions!$A:$A,MATCH(E955,Positions!$B:$B,0))</f>
        <v>8</v>
      </c>
      <c r="K955" s="2">
        <f>INDEX(Locations!$A:$A,MATCH(I955,Locations!$B:$B,0))</f>
        <v>2</v>
      </c>
    </row>
    <row r="956" spans="1:11" x14ac:dyDescent="0.2">
      <c r="A956" s="3">
        <v>955</v>
      </c>
      <c r="B956" t="s">
        <v>272</v>
      </c>
      <c r="C956" t="s">
        <v>184</v>
      </c>
      <c r="D956" s="1">
        <v>36216</v>
      </c>
      <c r="E956" t="s">
        <v>1556</v>
      </c>
      <c r="F956">
        <v>1</v>
      </c>
      <c r="G956" t="s">
        <v>1572</v>
      </c>
      <c r="H956" s="2">
        <v>938</v>
      </c>
      <c r="I956" t="s">
        <v>1375</v>
      </c>
      <c r="J956" s="2">
        <f>INDEX(Positions!$A:$A,MATCH(E956,Positions!$B:$B,0))</f>
        <v>8</v>
      </c>
      <c r="K956" s="2">
        <f>INDEX(Locations!$A:$A,MATCH(I956,Locations!$B:$B,0))</f>
        <v>12</v>
      </c>
    </row>
    <row r="957" spans="1:11" x14ac:dyDescent="0.2">
      <c r="A957" s="3">
        <v>956</v>
      </c>
      <c r="B957" t="s">
        <v>510</v>
      </c>
      <c r="C957" t="s">
        <v>264</v>
      </c>
      <c r="D957" s="1">
        <v>36115</v>
      </c>
      <c r="E957" t="s">
        <v>1556</v>
      </c>
      <c r="F957">
        <v>1</v>
      </c>
      <c r="G957" t="s">
        <v>511</v>
      </c>
      <c r="H957" s="2">
        <v>965</v>
      </c>
      <c r="I957" t="s">
        <v>1375</v>
      </c>
      <c r="J957" s="2">
        <f>INDEX(Positions!$A:$A,MATCH(E957,Positions!$B:$B,0))</f>
        <v>8</v>
      </c>
      <c r="K957" s="2">
        <f>INDEX(Locations!$A:$A,MATCH(I957,Locations!$B:$B,0))</f>
        <v>12</v>
      </c>
    </row>
    <row r="958" spans="1:11" x14ac:dyDescent="0.2">
      <c r="A958" s="3">
        <v>957</v>
      </c>
      <c r="B958" t="s">
        <v>144</v>
      </c>
      <c r="C958" t="s">
        <v>197</v>
      </c>
      <c r="D958" s="1">
        <v>38393</v>
      </c>
      <c r="E958" t="s">
        <v>1556</v>
      </c>
      <c r="F958">
        <v>1</v>
      </c>
      <c r="G958" t="s">
        <v>1573</v>
      </c>
      <c r="H958" s="2">
        <v>938</v>
      </c>
      <c r="I958" t="s">
        <v>50</v>
      </c>
      <c r="J958" s="2">
        <f>INDEX(Positions!$A:$A,MATCH(E958,Positions!$B:$B,0))</f>
        <v>8</v>
      </c>
      <c r="K958" s="2">
        <f>INDEX(Locations!$A:$A,MATCH(I958,Locations!$B:$B,0))</f>
        <v>1</v>
      </c>
    </row>
    <row r="959" spans="1:11" x14ac:dyDescent="0.2">
      <c r="A959" s="3">
        <v>958</v>
      </c>
      <c r="B959" t="s">
        <v>310</v>
      </c>
      <c r="C959" t="s">
        <v>210</v>
      </c>
      <c r="D959" s="1">
        <v>34479</v>
      </c>
      <c r="E959" t="s">
        <v>1552</v>
      </c>
      <c r="F959">
        <v>4</v>
      </c>
      <c r="G959" t="s">
        <v>1574</v>
      </c>
      <c r="H959" s="2">
        <v>965</v>
      </c>
      <c r="I959" t="s">
        <v>1384</v>
      </c>
      <c r="J959" s="2">
        <f>INDEX(Positions!$A:$A,MATCH(E959,Positions!$B:$B,0))</f>
        <v>69</v>
      </c>
      <c r="K959" s="2">
        <f>INDEX(Locations!$A:$A,MATCH(I959,Locations!$B:$B,0))</f>
        <v>2</v>
      </c>
    </row>
    <row r="960" spans="1:11" x14ac:dyDescent="0.2">
      <c r="A960" s="3">
        <v>959</v>
      </c>
      <c r="B960" t="s">
        <v>134</v>
      </c>
      <c r="C960" t="s">
        <v>292</v>
      </c>
      <c r="D960" s="1">
        <v>36151</v>
      </c>
      <c r="E960" t="s">
        <v>1556</v>
      </c>
      <c r="F960">
        <v>1</v>
      </c>
      <c r="G960" t="s">
        <v>1575</v>
      </c>
      <c r="H960" s="2">
        <v>965</v>
      </c>
      <c r="I960" t="s">
        <v>1375</v>
      </c>
      <c r="J960" s="2">
        <f>INDEX(Positions!$A:$A,MATCH(E960,Positions!$B:$B,0))</f>
        <v>8</v>
      </c>
      <c r="K960" s="2">
        <f>INDEX(Locations!$A:$A,MATCH(I960,Locations!$B:$B,0))</f>
        <v>12</v>
      </c>
    </row>
    <row r="961" spans="1:11" x14ac:dyDescent="0.2">
      <c r="A961" s="3">
        <v>960</v>
      </c>
      <c r="B961" t="s">
        <v>513</v>
      </c>
      <c r="C961" t="s">
        <v>56</v>
      </c>
      <c r="D961" s="1">
        <v>35039</v>
      </c>
      <c r="E961" t="s">
        <v>1554</v>
      </c>
      <c r="F961">
        <v>2</v>
      </c>
      <c r="G961" t="s">
        <v>1576</v>
      </c>
      <c r="H961" s="2">
        <v>993</v>
      </c>
      <c r="I961" t="s">
        <v>1384</v>
      </c>
      <c r="J961" s="2">
        <f>INDEX(Positions!$A:$A,MATCH(E961,Positions!$B:$B,0))</f>
        <v>25</v>
      </c>
      <c r="K961" s="2">
        <f>INDEX(Locations!$A:$A,MATCH(I961,Locations!$B:$B,0))</f>
        <v>2</v>
      </c>
    </row>
    <row r="962" spans="1:11" x14ac:dyDescent="0.2">
      <c r="A962" s="3">
        <v>961</v>
      </c>
      <c r="B962" t="s">
        <v>78</v>
      </c>
      <c r="C962" t="s">
        <v>998</v>
      </c>
      <c r="D962" s="1">
        <v>36281</v>
      </c>
      <c r="E962" t="s">
        <v>1554</v>
      </c>
      <c r="F962">
        <v>2</v>
      </c>
      <c r="G962" t="s">
        <v>1577</v>
      </c>
      <c r="H962" s="2">
        <v>965</v>
      </c>
      <c r="I962" t="s">
        <v>1375</v>
      </c>
      <c r="J962" s="2">
        <f>INDEX(Positions!$A:$A,MATCH(E962,Positions!$B:$B,0))</f>
        <v>25</v>
      </c>
      <c r="K962" s="2">
        <f>INDEX(Locations!$A:$A,MATCH(I962,Locations!$B:$B,0))</f>
        <v>12</v>
      </c>
    </row>
    <row r="963" spans="1:11" x14ac:dyDescent="0.2">
      <c r="A963" s="3">
        <v>962</v>
      </c>
      <c r="B963" t="s">
        <v>75</v>
      </c>
      <c r="C963" t="s">
        <v>493</v>
      </c>
      <c r="D963" s="1">
        <v>30560</v>
      </c>
      <c r="E963" t="s">
        <v>1578</v>
      </c>
      <c r="F963">
        <v>6</v>
      </c>
      <c r="G963" t="s">
        <v>1579</v>
      </c>
      <c r="H963" s="2">
        <v>938</v>
      </c>
      <c r="I963" t="s">
        <v>1375</v>
      </c>
      <c r="J963" s="2">
        <f>INDEX(Positions!$A:$A,MATCH(E963,Positions!$B:$B,0))</f>
        <v>92</v>
      </c>
      <c r="K963" s="2">
        <f>INDEX(Locations!$A:$A,MATCH(I963,Locations!$B:$B,0))</f>
        <v>12</v>
      </c>
    </row>
    <row r="964" spans="1:11" x14ac:dyDescent="0.2">
      <c r="A964" s="3">
        <v>963</v>
      </c>
      <c r="B964" t="s">
        <v>702</v>
      </c>
      <c r="C964" t="s">
        <v>94</v>
      </c>
      <c r="D964" s="1">
        <v>38593</v>
      </c>
      <c r="E964" t="s">
        <v>1556</v>
      </c>
      <c r="F964">
        <v>1</v>
      </c>
      <c r="G964" t="s">
        <v>1580</v>
      </c>
      <c r="H964" s="2">
        <v>987</v>
      </c>
      <c r="I964" t="s">
        <v>1375</v>
      </c>
      <c r="J964" s="2">
        <f>INDEX(Positions!$A:$A,MATCH(E964,Positions!$B:$B,0))</f>
        <v>8</v>
      </c>
      <c r="K964" s="2">
        <f>INDEX(Locations!$A:$A,MATCH(I964,Locations!$B:$B,0))</f>
        <v>12</v>
      </c>
    </row>
    <row r="965" spans="1:11" x14ac:dyDescent="0.2">
      <c r="A965" s="3">
        <v>964</v>
      </c>
      <c r="B965" t="s">
        <v>527</v>
      </c>
      <c r="C965" t="s">
        <v>249</v>
      </c>
      <c r="D965" s="1">
        <v>35225</v>
      </c>
      <c r="E965" t="s">
        <v>1556</v>
      </c>
      <c r="F965">
        <v>1</v>
      </c>
      <c r="G965" t="s">
        <v>1581</v>
      </c>
      <c r="H965" s="2">
        <v>965</v>
      </c>
      <c r="I965" t="s">
        <v>1375</v>
      </c>
      <c r="J965" s="2">
        <f>INDEX(Positions!$A:$A,MATCH(E965,Positions!$B:$B,0))</f>
        <v>8</v>
      </c>
      <c r="K965" s="2">
        <f>INDEX(Locations!$A:$A,MATCH(I965,Locations!$B:$B,0))</f>
        <v>12</v>
      </c>
    </row>
    <row r="966" spans="1:11" x14ac:dyDescent="0.2">
      <c r="A966" s="3">
        <v>965</v>
      </c>
      <c r="B966" t="s">
        <v>431</v>
      </c>
      <c r="C966" t="s">
        <v>481</v>
      </c>
      <c r="D966" s="1">
        <v>34470</v>
      </c>
      <c r="E966" t="s">
        <v>1582</v>
      </c>
      <c r="F966">
        <v>5</v>
      </c>
      <c r="G966" t="s">
        <v>1583</v>
      </c>
      <c r="H966" s="2">
        <v>962</v>
      </c>
      <c r="I966" t="s">
        <v>1375</v>
      </c>
      <c r="J966" s="2">
        <f>INDEX(Positions!$A:$A,MATCH(E966,Positions!$B:$B,0))</f>
        <v>77</v>
      </c>
      <c r="K966" s="2">
        <f>INDEX(Locations!$A:$A,MATCH(I966,Locations!$B:$B,0))</f>
        <v>12</v>
      </c>
    </row>
    <row r="967" spans="1:11" x14ac:dyDescent="0.2">
      <c r="A967" s="3">
        <v>966</v>
      </c>
      <c r="B967" t="s">
        <v>291</v>
      </c>
      <c r="C967" t="s">
        <v>224</v>
      </c>
      <c r="D967" s="1">
        <v>37510</v>
      </c>
      <c r="E967" t="s">
        <v>1554</v>
      </c>
      <c r="F967">
        <v>2</v>
      </c>
      <c r="G967" t="s">
        <v>1584</v>
      </c>
      <c r="H967" s="2">
        <v>965</v>
      </c>
      <c r="I967" t="s">
        <v>1375</v>
      </c>
      <c r="J967" s="2">
        <f>INDEX(Positions!$A:$A,MATCH(E967,Positions!$B:$B,0))</f>
        <v>25</v>
      </c>
      <c r="K967" s="2">
        <f>INDEX(Locations!$A:$A,MATCH(I967,Locations!$B:$B,0))</f>
        <v>12</v>
      </c>
    </row>
    <row r="968" spans="1:11" x14ac:dyDescent="0.2">
      <c r="A968" s="3">
        <v>967</v>
      </c>
      <c r="B968" t="s">
        <v>485</v>
      </c>
      <c r="C968" t="s">
        <v>286</v>
      </c>
      <c r="D968" s="1">
        <v>34112</v>
      </c>
      <c r="E968" t="s">
        <v>1554</v>
      </c>
      <c r="F968">
        <v>2</v>
      </c>
      <c r="G968" t="s">
        <v>1585</v>
      </c>
      <c r="H968" s="2">
        <v>965</v>
      </c>
      <c r="I968" t="s">
        <v>1375</v>
      </c>
      <c r="J968" s="2">
        <f>INDEX(Positions!$A:$A,MATCH(E968,Positions!$B:$B,0))</f>
        <v>25</v>
      </c>
      <c r="K968" s="2">
        <f>INDEX(Locations!$A:$A,MATCH(I968,Locations!$B:$B,0))</f>
        <v>12</v>
      </c>
    </row>
    <row r="969" spans="1:11" x14ac:dyDescent="0.2">
      <c r="A969" s="3">
        <v>968</v>
      </c>
      <c r="B969" t="s">
        <v>471</v>
      </c>
      <c r="C969" t="s">
        <v>392</v>
      </c>
      <c r="D969" s="1">
        <v>36430</v>
      </c>
      <c r="E969" t="s">
        <v>1556</v>
      </c>
      <c r="F969">
        <v>1</v>
      </c>
      <c r="G969" t="s">
        <v>1586</v>
      </c>
      <c r="H969" s="2">
        <v>965</v>
      </c>
      <c r="I969" t="s">
        <v>50</v>
      </c>
      <c r="J969" s="2">
        <f>INDEX(Positions!$A:$A,MATCH(E969,Positions!$B:$B,0))</f>
        <v>8</v>
      </c>
      <c r="K969" s="2">
        <f>INDEX(Locations!$A:$A,MATCH(I969,Locations!$B:$B,0))</f>
        <v>1</v>
      </c>
    </row>
    <row r="970" spans="1:11" x14ac:dyDescent="0.2">
      <c r="A970" s="3">
        <v>969</v>
      </c>
      <c r="B970" t="s">
        <v>161</v>
      </c>
      <c r="C970" t="s">
        <v>432</v>
      </c>
      <c r="D970" s="1">
        <v>31328</v>
      </c>
      <c r="E970" t="s">
        <v>1578</v>
      </c>
      <c r="F970">
        <v>6</v>
      </c>
      <c r="G970" t="s">
        <v>1587</v>
      </c>
      <c r="H970" s="2">
        <v>938</v>
      </c>
      <c r="I970" t="s">
        <v>50</v>
      </c>
      <c r="J970" s="2">
        <f>INDEX(Positions!$A:$A,MATCH(E970,Positions!$B:$B,0))</f>
        <v>92</v>
      </c>
      <c r="K970" s="2">
        <f>INDEX(Locations!$A:$A,MATCH(I970,Locations!$B:$B,0))</f>
        <v>1</v>
      </c>
    </row>
    <row r="971" spans="1:11" x14ac:dyDescent="0.2">
      <c r="A971" s="3">
        <v>970</v>
      </c>
      <c r="B971" t="s">
        <v>473</v>
      </c>
      <c r="C971" t="s">
        <v>84</v>
      </c>
      <c r="D971" s="1">
        <v>34460</v>
      </c>
      <c r="E971" t="s">
        <v>1556</v>
      </c>
      <c r="F971">
        <v>1</v>
      </c>
      <c r="G971" t="s">
        <v>1588</v>
      </c>
      <c r="H971" s="2">
        <v>965</v>
      </c>
      <c r="I971" t="s">
        <v>1384</v>
      </c>
      <c r="J971" s="2">
        <f>INDEX(Positions!$A:$A,MATCH(E971,Positions!$B:$B,0))</f>
        <v>8</v>
      </c>
      <c r="K971" s="2">
        <f>INDEX(Locations!$A:$A,MATCH(I971,Locations!$B:$B,0))</f>
        <v>2</v>
      </c>
    </row>
    <row r="972" spans="1:11" x14ac:dyDescent="0.2">
      <c r="A972" s="3">
        <v>971</v>
      </c>
      <c r="B972" t="s">
        <v>702</v>
      </c>
      <c r="C972" t="s">
        <v>224</v>
      </c>
      <c r="D972" s="1">
        <v>38538</v>
      </c>
      <c r="E972" t="s">
        <v>1556</v>
      </c>
      <c r="F972">
        <v>1</v>
      </c>
      <c r="G972" t="s">
        <v>1589</v>
      </c>
      <c r="H972" s="2">
        <v>965</v>
      </c>
      <c r="I972" t="s">
        <v>1375</v>
      </c>
      <c r="J972" s="2">
        <f>INDEX(Positions!$A:$A,MATCH(E972,Positions!$B:$B,0))</f>
        <v>8</v>
      </c>
      <c r="K972" s="2">
        <f>INDEX(Locations!$A:$A,MATCH(I972,Locations!$B:$B,0))</f>
        <v>12</v>
      </c>
    </row>
    <row r="973" spans="1:11" x14ac:dyDescent="0.2">
      <c r="A973" s="3">
        <v>972</v>
      </c>
      <c r="B973" t="s">
        <v>313</v>
      </c>
      <c r="C973" t="s">
        <v>543</v>
      </c>
      <c r="D973" s="1">
        <v>35434</v>
      </c>
      <c r="E973" t="s">
        <v>1552</v>
      </c>
      <c r="F973">
        <v>4</v>
      </c>
      <c r="G973" t="s">
        <v>1590</v>
      </c>
      <c r="H973" s="2">
        <v>965</v>
      </c>
      <c r="I973" t="s">
        <v>1375</v>
      </c>
      <c r="J973" s="2">
        <f>INDEX(Positions!$A:$A,MATCH(E973,Positions!$B:$B,0))</f>
        <v>69</v>
      </c>
      <c r="K973" s="2">
        <f>INDEX(Locations!$A:$A,MATCH(I973,Locations!$B:$B,0))</f>
        <v>12</v>
      </c>
    </row>
    <row r="974" spans="1:11" x14ac:dyDescent="0.2">
      <c r="A974" s="3">
        <v>973</v>
      </c>
      <c r="B974" t="s">
        <v>530</v>
      </c>
      <c r="C974" t="s">
        <v>324</v>
      </c>
      <c r="D974" s="1">
        <v>36723</v>
      </c>
      <c r="E974" t="s">
        <v>1556</v>
      </c>
      <c r="F974">
        <v>1</v>
      </c>
      <c r="G974" t="s">
        <v>1591</v>
      </c>
      <c r="H974" s="2">
        <v>965</v>
      </c>
      <c r="I974" t="s">
        <v>1375</v>
      </c>
      <c r="J974" s="2">
        <f>INDEX(Positions!$A:$A,MATCH(E974,Positions!$B:$B,0))</f>
        <v>8</v>
      </c>
      <c r="K974" s="2">
        <f>INDEX(Locations!$A:$A,MATCH(I974,Locations!$B:$B,0))</f>
        <v>12</v>
      </c>
    </row>
    <row r="975" spans="1:11" x14ac:dyDescent="0.2">
      <c r="A975" s="3">
        <v>974</v>
      </c>
      <c r="B975" t="s">
        <v>93</v>
      </c>
      <c r="C975" t="s">
        <v>420</v>
      </c>
      <c r="D975" s="1">
        <v>36661</v>
      </c>
      <c r="E975" t="s">
        <v>1556</v>
      </c>
      <c r="F975">
        <v>1</v>
      </c>
      <c r="G975" t="s">
        <v>1592</v>
      </c>
      <c r="H975" s="2">
        <v>965</v>
      </c>
      <c r="I975" t="s">
        <v>1375</v>
      </c>
      <c r="J975" s="2">
        <f>INDEX(Positions!$A:$A,MATCH(E975,Positions!$B:$B,0))</f>
        <v>8</v>
      </c>
      <c r="K975" s="2">
        <f>INDEX(Locations!$A:$A,MATCH(I975,Locations!$B:$B,0))</f>
        <v>12</v>
      </c>
    </row>
    <row r="976" spans="1:11" x14ac:dyDescent="0.2">
      <c r="A976" s="3">
        <v>975</v>
      </c>
      <c r="B976" t="s">
        <v>246</v>
      </c>
      <c r="C976" t="s">
        <v>1158</v>
      </c>
      <c r="D976" s="1">
        <v>38694</v>
      </c>
      <c r="E976" t="s">
        <v>1554</v>
      </c>
      <c r="F976">
        <v>2</v>
      </c>
      <c r="G976" t="s">
        <v>1593</v>
      </c>
      <c r="H976" s="2">
        <v>965</v>
      </c>
      <c r="I976" t="s">
        <v>1375</v>
      </c>
      <c r="J976" s="2">
        <f>INDEX(Positions!$A:$A,MATCH(E976,Positions!$B:$B,0))</f>
        <v>25</v>
      </c>
      <c r="K976" s="2">
        <f>INDEX(Locations!$A:$A,MATCH(I976,Locations!$B:$B,0))</f>
        <v>12</v>
      </c>
    </row>
    <row r="977" spans="1:11" x14ac:dyDescent="0.2">
      <c r="A977" s="3">
        <v>976</v>
      </c>
      <c r="B977" t="s">
        <v>187</v>
      </c>
      <c r="C977" t="s">
        <v>520</v>
      </c>
      <c r="D977" s="1">
        <v>33871</v>
      </c>
      <c r="E977" t="s">
        <v>1565</v>
      </c>
      <c r="F977">
        <v>3</v>
      </c>
      <c r="G977" t="s">
        <v>1594</v>
      </c>
      <c r="H977" s="2">
        <v>965</v>
      </c>
      <c r="I977" t="s">
        <v>1375</v>
      </c>
      <c r="J977" s="2">
        <f>INDEX(Positions!$A:$A,MATCH(E977,Positions!$B:$B,0))</f>
        <v>54</v>
      </c>
      <c r="K977" s="2">
        <f>INDEX(Locations!$A:$A,MATCH(I977,Locations!$B:$B,0))</f>
        <v>12</v>
      </c>
    </row>
    <row r="978" spans="1:11" x14ac:dyDescent="0.2">
      <c r="A978" s="3">
        <v>977</v>
      </c>
      <c r="B978" t="s">
        <v>86</v>
      </c>
      <c r="C978" t="s">
        <v>529</v>
      </c>
      <c r="D978" s="1">
        <v>34862</v>
      </c>
      <c r="E978" t="s">
        <v>1578</v>
      </c>
      <c r="F978">
        <v>6</v>
      </c>
      <c r="G978" t="s">
        <v>1595</v>
      </c>
      <c r="H978" s="2">
        <v>938</v>
      </c>
      <c r="I978" t="s">
        <v>1375</v>
      </c>
      <c r="J978" s="2">
        <f>INDEX(Positions!$A:$A,MATCH(E978,Positions!$B:$B,0))</f>
        <v>92</v>
      </c>
      <c r="K978" s="2">
        <f>INDEX(Locations!$A:$A,MATCH(I978,Locations!$B:$B,0))</f>
        <v>12</v>
      </c>
    </row>
    <row r="979" spans="1:11" x14ac:dyDescent="0.2">
      <c r="A979" s="3">
        <v>978</v>
      </c>
      <c r="B979" t="s">
        <v>338</v>
      </c>
      <c r="C979" t="s">
        <v>536</v>
      </c>
      <c r="D979" s="1">
        <v>33043</v>
      </c>
      <c r="E979" t="s">
        <v>1554</v>
      </c>
      <c r="F979">
        <v>2</v>
      </c>
      <c r="G979" t="s">
        <v>1596</v>
      </c>
      <c r="H979" s="2">
        <v>993</v>
      </c>
      <c r="I979" t="s">
        <v>1384</v>
      </c>
      <c r="J979" s="2">
        <f>INDEX(Positions!$A:$A,MATCH(E979,Positions!$B:$B,0))</f>
        <v>25</v>
      </c>
      <c r="K979" s="2">
        <f>INDEX(Locations!$A:$A,MATCH(I979,Locations!$B:$B,0))</f>
        <v>2</v>
      </c>
    </row>
    <row r="980" spans="1:11" x14ac:dyDescent="0.2">
      <c r="A980" s="3">
        <v>979</v>
      </c>
      <c r="B980" t="s">
        <v>327</v>
      </c>
      <c r="C980" t="s">
        <v>535</v>
      </c>
      <c r="D980" s="1">
        <v>33607</v>
      </c>
      <c r="E980" t="s">
        <v>1582</v>
      </c>
      <c r="F980">
        <v>5</v>
      </c>
      <c r="G980" t="s">
        <v>1597</v>
      </c>
      <c r="H980" s="2">
        <v>969</v>
      </c>
      <c r="I980" t="s">
        <v>50</v>
      </c>
      <c r="J980" s="2">
        <f>INDEX(Positions!$A:$A,MATCH(E980,Positions!$B:$B,0))</f>
        <v>77</v>
      </c>
      <c r="K980" s="2">
        <f>INDEX(Locations!$A:$A,MATCH(I980,Locations!$B:$B,0))</f>
        <v>1</v>
      </c>
    </row>
    <row r="981" spans="1:11" x14ac:dyDescent="0.2">
      <c r="A981" s="3">
        <v>980</v>
      </c>
      <c r="B981" t="s">
        <v>229</v>
      </c>
      <c r="C981" t="s">
        <v>470</v>
      </c>
      <c r="D981" s="1">
        <v>39043</v>
      </c>
      <c r="E981" t="s">
        <v>1554</v>
      </c>
      <c r="F981">
        <v>2</v>
      </c>
      <c r="G981" t="s">
        <v>1598</v>
      </c>
      <c r="H981" s="2">
        <v>979</v>
      </c>
      <c r="I981" t="s">
        <v>50</v>
      </c>
      <c r="J981" s="2">
        <f>INDEX(Positions!$A:$A,MATCH(E981,Positions!$B:$B,0))</f>
        <v>25</v>
      </c>
      <c r="K981" s="2">
        <f>INDEX(Locations!$A:$A,MATCH(I981,Locations!$B:$B,0))</f>
        <v>1</v>
      </c>
    </row>
    <row r="982" spans="1:11" x14ac:dyDescent="0.2">
      <c r="A982" s="3">
        <v>981</v>
      </c>
      <c r="B982" t="s">
        <v>367</v>
      </c>
      <c r="C982" t="s">
        <v>234</v>
      </c>
      <c r="D982" s="1">
        <v>31174</v>
      </c>
      <c r="E982" t="s">
        <v>1578</v>
      </c>
      <c r="F982">
        <v>6</v>
      </c>
      <c r="G982" t="s">
        <v>1599</v>
      </c>
      <c r="H982" s="2">
        <v>938</v>
      </c>
      <c r="I982" t="s">
        <v>1384</v>
      </c>
      <c r="J982" s="2">
        <f>INDEX(Positions!$A:$A,MATCH(E982,Positions!$B:$B,0))</f>
        <v>92</v>
      </c>
      <c r="K982" s="2">
        <f>INDEX(Locations!$A:$A,MATCH(I982,Locations!$B:$B,0))</f>
        <v>2</v>
      </c>
    </row>
    <row r="983" spans="1:11" x14ac:dyDescent="0.2">
      <c r="A983" s="3">
        <v>982</v>
      </c>
      <c r="B983" t="s">
        <v>246</v>
      </c>
      <c r="C983" t="s">
        <v>560</v>
      </c>
      <c r="D983" s="1">
        <v>36411</v>
      </c>
      <c r="E983" t="s">
        <v>1554</v>
      </c>
      <c r="F983">
        <v>2</v>
      </c>
      <c r="G983" t="s">
        <v>1600</v>
      </c>
      <c r="H983" s="2">
        <v>993</v>
      </c>
      <c r="I983" t="s">
        <v>1384</v>
      </c>
      <c r="J983" s="2">
        <f>INDEX(Positions!$A:$A,MATCH(E983,Positions!$B:$B,0))</f>
        <v>25</v>
      </c>
      <c r="K983" s="2">
        <f>INDEX(Locations!$A:$A,MATCH(I983,Locations!$B:$B,0))</f>
        <v>2</v>
      </c>
    </row>
    <row r="984" spans="1:11" x14ac:dyDescent="0.2">
      <c r="A984" s="3">
        <v>983</v>
      </c>
      <c r="B984" t="s">
        <v>274</v>
      </c>
      <c r="C984" t="s">
        <v>255</v>
      </c>
      <c r="D984" s="1">
        <v>37424</v>
      </c>
      <c r="E984" t="s">
        <v>1556</v>
      </c>
      <c r="F984">
        <v>1</v>
      </c>
      <c r="G984" t="s">
        <v>1601</v>
      </c>
      <c r="H984" s="2">
        <v>965</v>
      </c>
      <c r="I984" t="s">
        <v>1375</v>
      </c>
      <c r="J984" s="2">
        <f>INDEX(Positions!$A:$A,MATCH(E984,Positions!$B:$B,0))</f>
        <v>8</v>
      </c>
      <c r="K984" s="2">
        <f>INDEX(Locations!$A:$A,MATCH(I984,Locations!$B:$B,0))</f>
        <v>12</v>
      </c>
    </row>
    <row r="985" spans="1:11" x14ac:dyDescent="0.2">
      <c r="A985" s="3">
        <v>984</v>
      </c>
      <c r="B985" t="s">
        <v>204</v>
      </c>
      <c r="C985" t="s">
        <v>193</v>
      </c>
      <c r="D985" s="1">
        <v>37335</v>
      </c>
      <c r="E985" t="s">
        <v>1556</v>
      </c>
      <c r="F985">
        <v>1</v>
      </c>
      <c r="G985" t="s">
        <v>1602</v>
      </c>
      <c r="H985" s="2">
        <v>979</v>
      </c>
      <c r="I985" t="s">
        <v>50</v>
      </c>
      <c r="J985" s="2">
        <f>INDEX(Positions!$A:$A,MATCH(E985,Positions!$B:$B,0))</f>
        <v>8</v>
      </c>
      <c r="K985" s="2">
        <f>INDEX(Locations!$A:$A,MATCH(I985,Locations!$B:$B,0))</f>
        <v>1</v>
      </c>
    </row>
    <row r="986" spans="1:11" x14ac:dyDescent="0.2">
      <c r="A986" s="3">
        <v>985</v>
      </c>
      <c r="B986" t="s">
        <v>506</v>
      </c>
      <c r="C986" t="s">
        <v>333</v>
      </c>
      <c r="D986" s="1">
        <v>36109</v>
      </c>
      <c r="E986" t="s">
        <v>1556</v>
      </c>
      <c r="F986">
        <v>1</v>
      </c>
      <c r="G986" t="s">
        <v>1603</v>
      </c>
      <c r="H986" s="2">
        <v>965</v>
      </c>
      <c r="I986" t="s">
        <v>1375</v>
      </c>
      <c r="J986" s="2">
        <f>INDEX(Positions!$A:$A,MATCH(E986,Positions!$B:$B,0))</f>
        <v>8</v>
      </c>
      <c r="K986" s="2">
        <f>INDEX(Locations!$A:$A,MATCH(I986,Locations!$B:$B,0))</f>
        <v>12</v>
      </c>
    </row>
    <row r="987" spans="1:11" x14ac:dyDescent="0.2">
      <c r="A987" s="3">
        <v>986</v>
      </c>
      <c r="B987" t="s">
        <v>257</v>
      </c>
      <c r="C987" t="s">
        <v>449</v>
      </c>
      <c r="D987" s="1">
        <v>31064</v>
      </c>
      <c r="E987" t="s">
        <v>1582</v>
      </c>
      <c r="F987">
        <v>5</v>
      </c>
      <c r="G987" t="s">
        <v>1604</v>
      </c>
      <c r="H987" s="2">
        <v>981</v>
      </c>
      <c r="I987" t="s">
        <v>1384</v>
      </c>
      <c r="J987" s="2">
        <f>INDEX(Positions!$A:$A,MATCH(E987,Positions!$B:$B,0))</f>
        <v>77</v>
      </c>
      <c r="K987" s="2">
        <f>INDEX(Locations!$A:$A,MATCH(I987,Locations!$B:$B,0))</f>
        <v>2</v>
      </c>
    </row>
    <row r="988" spans="1:11" x14ac:dyDescent="0.2">
      <c r="A988" s="3">
        <v>987</v>
      </c>
      <c r="B988" t="s">
        <v>97</v>
      </c>
      <c r="C988" t="s">
        <v>403</v>
      </c>
      <c r="D988" s="1">
        <v>31299</v>
      </c>
      <c r="E988" t="s">
        <v>1582</v>
      </c>
      <c r="F988">
        <v>5</v>
      </c>
      <c r="G988" t="s">
        <v>1605</v>
      </c>
      <c r="H988" s="2">
        <v>962</v>
      </c>
      <c r="I988" t="s">
        <v>1375</v>
      </c>
      <c r="J988" s="2">
        <f>INDEX(Positions!$A:$A,MATCH(E988,Positions!$B:$B,0))</f>
        <v>77</v>
      </c>
      <c r="K988" s="2">
        <f>INDEX(Locations!$A:$A,MATCH(I988,Locations!$B:$B,0))</f>
        <v>12</v>
      </c>
    </row>
    <row r="989" spans="1:11" x14ac:dyDescent="0.2">
      <c r="A989" s="3">
        <v>988</v>
      </c>
      <c r="B989" t="s">
        <v>391</v>
      </c>
      <c r="C989" t="s">
        <v>320</v>
      </c>
      <c r="D989" s="1">
        <v>39284</v>
      </c>
      <c r="E989" t="s">
        <v>1556</v>
      </c>
      <c r="F989">
        <v>1</v>
      </c>
      <c r="G989" t="s">
        <v>1606</v>
      </c>
      <c r="H989" s="2">
        <v>979</v>
      </c>
      <c r="I989" t="s">
        <v>50</v>
      </c>
      <c r="J989" s="2">
        <f>INDEX(Positions!$A:$A,MATCH(E989,Positions!$B:$B,0))</f>
        <v>8</v>
      </c>
      <c r="K989" s="2">
        <f>INDEX(Locations!$A:$A,MATCH(I989,Locations!$B:$B,0))</f>
        <v>1</v>
      </c>
    </row>
    <row r="990" spans="1:11" x14ac:dyDescent="0.2">
      <c r="A990" s="3">
        <v>989</v>
      </c>
      <c r="B990" t="s">
        <v>134</v>
      </c>
      <c r="C990" t="s">
        <v>357</v>
      </c>
      <c r="D990" s="1">
        <v>34264</v>
      </c>
      <c r="E990" t="s">
        <v>1554</v>
      </c>
      <c r="F990">
        <v>2</v>
      </c>
      <c r="G990" t="s">
        <v>1607</v>
      </c>
      <c r="H990" s="2">
        <v>986</v>
      </c>
      <c r="I990" t="s">
        <v>1384</v>
      </c>
      <c r="J990" s="2">
        <f>INDEX(Positions!$A:$A,MATCH(E990,Positions!$B:$B,0))</f>
        <v>25</v>
      </c>
      <c r="K990" s="2">
        <f>INDEX(Locations!$A:$A,MATCH(I990,Locations!$B:$B,0))</f>
        <v>2</v>
      </c>
    </row>
    <row r="991" spans="1:11" x14ac:dyDescent="0.2">
      <c r="A991" s="3">
        <v>990</v>
      </c>
      <c r="B991" t="s">
        <v>250</v>
      </c>
      <c r="C991" t="s">
        <v>301</v>
      </c>
      <c r="D991" s="1">
        <v>37184</v>
      </c>
      <c r="E991" t="s">
        <v>1556</v>
      </c>
      <c r="F991">
        <v>1</v>
      </c>
      <c r="G991" t="s">
        <v>1608</v>
      </c>
      <c r="H991" s="2">
        <v>979</v>
      </c>
      <c r="I991" t="s">
        <v>50</v>
      </c>
      <c r="J991" s="2">
        <f>INDEX(Positions!$A:$A,MATCH(E991,Positions!$B:$B,0))</f>
        <v>8</v>
      </c>
      <c r="K991" s="2">
        <f>INDEX(Locations!$A:$A,MATCH(I991,Locations!$B:$B,0))</f>
        <v>1</v>
      </c>
    </row>
    <row r="992" spans="1:11" x14ac:dyDescent="0.2">
      <c r="A992" s="3">
        <v>991</v>
      </c>
      <c r="B992" t="s">
        <v>257</v>
      </c>
      <c r="C992" t="s">
        <v>544</v>
      </c>
      <c r="D992" s="1">
        <v>31977</v>
      </c>
      <c r="E992" t="s">
        <v>1552</v>
      </c>
      <c r="F992">
        <v>4</v>
      </c>
      <c r="G992" t="s">
        <v>1609</v>
      </c>
      <c r="H992" s="2">
        <v>979</v>
      </c>
      <c r="I992" t="s">
        <v>50</v>
      </c>
      <c r="J992" s="2">
        <f>INDEX(Positions!$A:$A,MATCH(E992,Positions!$B:$B,0))</f>
        <v>69</v>
      </c>
      <c r="K992" s="2">
        <f>INDEX(Locations!$A:$A,MATCH(I992,Locations!$B:$B,0))</f>
        <v>1</v>
      </c>
    </row>
    <row r="993" spans="1:11" x14ac:dyDescent="0.2">
      <c r="A993" s="3">
        <v>992</v>
      </c>
      <c r="B993" t="s">
        <v>404</v>
      </c>
      <c r="C993" t="s">
        <v>158</v>
      </c>
      <c r="D993" s="1">
        <v>31299</v>
      </c>
      <c r="E993" t="s">
        <v>1582</v>
      </c>
      <c r="F993">
        <v>5</v>
      </c>
      <c r="G993" t="s">
        <v>1610</v>
      </c>
      <c r="H993" s="2">
        <v>981</v>
      </c>
      <c r="I993" t="s">
        <v>1384</v>
      </c>
      <c r="J993" s="2">
        <f>INDEX(Positions!$A:$A,MATCH(E993,Positions!$B:$B,0))</f>
        <v>77</v>
      </c>
      <c r="K993" s="2">
        <f>INDEX(Locations!$A:$A,MATCH(I993,Locations!$B:$B,0))</f>
        <v>2</v>
      </c>
    </row>
    <row r="994" spans="1:11" x14ac:dyDescent="0.2">
      <c r="A994" s="3">
        <v>993</v>
      </c>
      <c r="B994" t="s">
        <v>250</v>
      </c>
      <c r="C994" t="s">
        <v>550</v>
      </c>
      <c r="D994" s="1">
        <v>34256</v>
      </c>
      <c r="E994" t="s">
        <v>1582</v>
      </c>
      <c r="F994">
        <v>5</v>
      </c>
      <c r="G994" t="s">
        <v>1611</v>
      </c>
      <c r="H994" s="2">
        <v>981</v>
      </c>
      <c r="I994" t="s">
        <v>1384</v>
      </c>
      <c r="J994" s="2">
        <f>INDEX(Positions!$A:$A,MATCH(E994,Positions!$B:$B,0))</f>
        <v>77</v>
      </c>
      <c r="K994" s="2">
        <f>INDEX(Locations!$A:$A,MATCH(I994,Locations!$B:$B,0))</f>
        <v>2</v>
      </c>
    </row>
    <row r="995" spans="1:11" x14ac:dyDescent="0.2">
      <c r="A995" s="3">
        <v>994</v>
      </c>
      <c r="B995" t="s">
        <v>86</v>
      </c>
      <c r="C995" t="s">
        <v>195</v>
      </c>
      <c r="D995" s="1">
        <v>38431</v>
      </c>
      <c r="E995" t="s">
        <v>1565</v>
      </c>
      <c r="F995">
        <v>3</v>
      </c>
      <c r="G995" t="s">
        <v>1612</v>
      </c>
      <c r="H995" s="2">
        <v>979</v>
      </c>
      <c r="I995" t="s">
        <v>50</v>
      </c>
      <c r="J995" s="2">
        <f>INDEX(Positions!$A:$A,MATCH(E995,Positions!$B:$B,0))</f>
        <v>54</v>
      </c>
      <c r="K995" s="2">
        <f>INDEX(Locations!$A:$A,MATCH(I995,Locations!$B:$B,0))</f>
        <v>1</v>
      </c>
    </row>
    <row r="996" spans="1:11" x14ac:dyDescent="0.2">
      <c r="A996" s="3">
        <v>995</v>
      </c>
      <c r="B996" t="s">
        <v>156</v>
      </c>
      <c r="C996" t="s">
        <v>789</v>
      </c>
      <c r="D996" s="1">
        <v>34334</v>
      </c>
      <c r="E996" t="s">
        <v>1552</v>
      </c>
      <c r="F996">
        <v>4</v>
      </c>
      <c r="G996" t="s">
        <v>1613</v>
      </c>
      <c r="H996" s="2">
        <v>986</v>
      </c>
      <c r="I996" t="s">
        <v>1384</v>
      </c>
      <c r="J996" s="2">
        <f>INDEX(Positions!$A:$A,MATCH(E996,Positions!$B:$B,0))</f>
        <v>69</v>
      </c>
      <c r="K996" s="2">
        <f>INDEX(Locations!$A:$A,MATCH(I996,Locations!$B:$B,0))</f>
        <v>2</v>
      </c>
    </row>
    <row r="997" spans="1:11" x14ac:dyDescent="0.2">
      <c r="A997" s="3">
        <v>996</v>
      </c>
      <c r="B997" t="s">
        <v>263</v>
      </c>
      <c r="C997" t="s">
        <v>314</v>
      </c>
      <c r="D997" s="1">
        <v>35172</v>
      </c>
      <c r="E997" t="s">
        <v>1554</v>
      </c>
      <c r="F997">
        <v>2</v>
      </c>
      <c r="G997" t="s">
        <v>1614</v>
      </c>
      <c r="H997" s="2">
        <v>979</v>
      </c>
      <c r="I997" t="s">
        <v>50</v>
      </c>
      <c r="J997" s="2">
        <f>INDEX(Positions!$A:$A,MATCH(E997,Positions!$B:$B,0))</f>
        <v>25</v>
      </c>
      <c r="K997" s="2">
        <f>INDEX(Locations!$A:$A,MATCH(I997,Locations!$B:$B,0))</f>
        <v>1</v>
      </c>
    </row>
    <row r="998" spans="1:11" x14ac:dyDescent="0.2">
      <c r="A998" s="3">
        <v>997</v>
      </c>
      <c r="B998" t="s">
        <v>412</v>
      </c>
      <c r="C998" t="s">
        <v>405</v>
      </c>
      <c r="D998" s="1">
        <v>36446</v>
      </c>
      <c r="E998" t="s">
        <v>1554</v>
      </c>
      <c r="F998">
        <v>2</v>
      </c>
      <c r="G998" t="s">
        <v>1615</v>
      </c>
      <c r="H998" s="2">
        <v>992</v>
      </c>
      <c r="I998" t="s">
        <v>1384</v>
      </c>
      <c r="J998" s="2">
        <f>INDEX(Positions!$A:$A,MATCH(E998,Positions!$B:$B,0))</f>
        <v>25</v>
      </c>
      <c r="K998" s="2">
        <f>INDEX(Locations!$A:$A,MATCH(I998,Locations!$B:$B,0))</f>
        <v>2</v>
      </c>
    </row>
    <row r="999" spans="1:11" x14ac:dyDescent="0.2">
      <c r="A999" s="3">
        <v>998</v>
      </c>
      <c r="B999" t="s">
        <v>374</v>
      </c>
      <c r="C999" t="s">
        <v>307</v>
      </c>
      <c r="D999" s="1">
        <v>39210</v>
      </c>
      <c r="E999" t="s">
        <v>1554</v>
      </c>
      <c r="F999">
        <v>2</v>
      </c>
      <c r="G999" t="s">
        <v>1616</v>
      </c>
      <c r="H999" s="2">
        <v>987</v>
      </c>
      <c r="I999" t="s">
        <v>1375</v>
      </c>
      <c r="J999" s="2">
        <f>INDEX(Positions!$A:$A,MATCH(E999,Positions!$B:$B,0))</f>
        <v>25</v>
      </c>
      <c r="K999" s="2">
        <f>INDEX(Locations!$A:$A,MATCH(I999,Locations!$B:$B,0))</f>
        <v>12</v>
      </c>
    </row>
    <row r="1000" spans="1:11" x14ac:dyDescent="0.2">
      <c r="A1000" s="3">
        <v>999</v>
      </c>
      <c r="B1000" t="s">
        <v>83</v>
      </c>
      <c r="C1000" t="s">
        <v>366</v>
      </c>
      <c r="D1000" s="1">
        <v>35294</v>
      </c>
      <c r="E1000" t="s">
        <v>1556</v>
      </c>
      <c r="F1000">
        <v>1</v>
      </c>
      <c r="G1000" t="s">
        <v>1617</v>
      </c>
      <c r="H1000" s="2">
        <v>992</v>
      </c>
      <c r="I1000" t="s">
        <v>1384</v>
      </c>
      <c r="J1000" s="2">
        <f>INDEX(Positions!$A:$A,MATCH(E1000,Positions!$B:$B,0))</f>
        <v>8</v>
      </c>
      <c r="K1000" s="2">
        <f>INDEX(Locations!$A:$A,MATCH(I1000,Locations!$B:$B,0))</f>
        <v>2</v>
      </c>
    </row>
    <row r="1001" spans="1:11" x14ac:dyDescent="0.2">
      <c r="A1001" s="3">
        <v>1000</v>
      </c>
      <c r="B1001" t="s">
        <v>573</v>
      </c>
      <c r="C1001" t="s">
        <v>290</v>
      </c>
      <c r="D1001" s="1">
        <v>38616</v>
      </c>
      <c r="E1001" t="s">
        <v>1556</v>
      </c>
      <c r="F1001">
        <v>1</v>
      </c>
      <c r="G1001" t="s">
        <v>1618</v>
      </c>
      <c r="H1001" s="2">
        <v>986</v>
      </c>
      <c r="I1001" t="s">
        <v>1384</v>
      </c>
      <c r="J1001" s="2">
        <f>INDEX(Positions!$A:$A,MATCH(E1001,Positions!$B:$B,0))</f>
        <v>8</v>
      </c>
      <c r="K1001" s="2">
        <f>INDEX(Locations!$A:$A,MATCH(I1001,Locations!$B:$B,0))</f>
        <v>2</v>
      </c>
    </row>
    <row r="1002" spans="1:11" x14ac:dyDescent="0.2">
      <c r="A1002" s="3">
        <v>1001</v>
      </c>
      <c r="B1002" t="s">
        <v>478</v>
      </c>
      <c r="C1002" t="s">
        <v>372</v>
      </c>
      <c r="D1002" s="1">
        <v>36650</v>
      </c>
      <c r="E1002" t="s">
        <v>1556</v>
      </c>
      <c r="F1002">
        <v>1</v>
      </c>
      <c r="G1002" t="s">
        <v>1619</v>
      </c>
      <c r="H1002" s="2">
        <v>987</v>
      </c>
      <c r="I1002" t="s">
        <v>1375</v>
      </c>
      <c r="J1002" s="2">
        <f>INDEX(Positions!$A:$A,MATCH(E1002,Positions!$B:$B,0))</f>
        <v>8</v>
      </c>
      <c r="K1002" s="2">
        <f>INDEX(Locations!$A:$A,MATCH(I1002,Locations!$B:$B,0))</f>
        <v>12</v>
      </c>
    </row>
    <row r="1003" spans="1:11" x14ac:dyDescent="0.2">
      <c r="A1003" s="3">
        <v>1002</v>
      </c>
      <c r="B1003" t="s">
        <v>261</v>
      </c>
      <c r="C1003" t="s">
        <v>361</v>
      </c>
      <c r="D1003" s="1">
        <v>37969</v>
      </c>
      <c r="E1003" t="s">
        <v>1556</v>
      </c>
      <c r="F1003">
        <v>1</v>
      </c>
      <c r="G1003" t="s">
        <v>1620</v>
      </c>
      <c r="H1003" s="2">
        <v>979</v>
      </c>
      <c r="I1003" t="s">
        <v>50</v>
      </c>
      <c r="J1003" s="2">
        <f>INDEX(Positions!$A:$A,MATCH(E1003,Positions!$B:$B,0))</f>
        <v>8</v>
      </c>
      <c r="K1003" s="2">
        <f>INDEX(Locations!$A:$A,MATCH(I1003,Locations!$B:$B,0))</f>
        <v>1</v>
      </c>
    </row>
    <row r="1004" spans="1:11" x14ac:dyDescent="0.2">
      <c r="A1004" s="3">
        <v>1003</v>
      </c>
      <c r="B1004" t="s">
        <v>335</v>
      </c>
      <c r="C1004" t="s">
        <v>273</v>
      </c>
      <c r="D1004" s="1">
        <v>38699</v>
      </c>
      <c r="E1004" t="s">
        <v>1556</v>
      </c>
      <c r="F1004">
        <v>1</v>
      </c>
      <c r="G1004" t="s">
        <v>1621</v>
      </c>
      <c r="H1004" s="2">
        <v>993</v>
      </c>
      <c r="I1004" t="s">
        <v>1384</v>
      </c>
      <c r="J1004" s="2">
        <f>INDEX(Positions!$A:$A,MATCH(E1004,Positions!$B:$B,0))</f>
        <v>8</v>
      </c>
      <c r="K1004" s="2">
        <f>INDEX(Locations!$A:$A,MATCH(I1004,Locations!$B:$B,0))</f>
        <v>2</v>
      </c>
    </row>
    <row r="1005" spans="1:11" x14ac:dyDescent="0.2">
      <c r="A1005" s="3">
        <v>1004</v>
      </c>
      <c r="B1005" t="s">
        <v>345</v>
      </c>
      <c r="C1005" t="s">
        <v>184</v>
      </c>
      <c r="D1005" s="1">
        <v>39295</v>
      </c>
      <c r="E1005" t="s">
        <v>1556</v>
      </c>
      <c r="F1005">
        <v>1</v>
      </c>
      <c r="G1005" t="s">
        <v>1622</v>
      </c>
      <c r="H1005" s="2">
        <v>992</v>
      </c>
      <c r="I1005" t="s">
        <v>1384</v>
      </c>
      <c r="J1005" s="2">
        <f>INDEX(Positions!$A:$A,MATCH(E1005,Positions!$B:$B,0))</f>
        <v>8</v>
      </c>
      <c r="K1005" s="2">
        <f>INDEX(Locations!$A:$A,MATCH(I1005,Locations!$B:$B,0))</f>
        <v>2</v>
      </c>
    </row>
    <row r="1006" spans="1:11" x14ac:dyDescent="0.2">
      <c r="A1006" s="3">
        <v>1005</v>
      </c>
      <c r="B1006" t="s">
        <v>211</v>
      </c>
      <c r="C1006" t="s">
        <v>390</v>
      </c>
      <c r="D1006" s="1">
        <v>35878</v>
      </c>
      <c r="E1006" t="s">
        <v>1556</v>
      </c>
      <c r="F1006">
        <v>1</v>
      </c>
      <c r="G1006" t="s">
        <v>1623</v>
      </c>
      <c r="H1006" s="2">
        <v>992</v>
      </c>
      <c r="I1006" t="s">
        <v>1384</v>
      </c>
      <c r="J1006" s="2">
        <f>INDEX(Positions!$A:$A,MATCH(E1006,Positions!$B:$B,0))</f>
        <v>8</v>
      </c>
      <c r="K1006" s="2">
        <f>INDEX(Locations!$A:$A,MATCH(I1006,Locations!$B:$B,0))</f>
        <v>2</v>
      </c>
    </row>
    <row r="1007" spans="1:11" x14ac:dyDescent="0.2">
      <c r="A1007" s="3">
        <v>1006</v>
      </c>
      <c r="B1007" t="s">
        <v>107</v>
      </c>
      <c r="C1007" t="s">
        <v>998</v>
      </c>
      <c r="D1007" s="1">
        <v>36960</v>
      </c>
      <c r="E1007" t="s">
        <v>1554</v>
      </c>
      <c r="F1007">
        <v>2</v>
      </c>
      <c r="G1007" t="s">
        <v>1624</v>
      </c>
      <c r="H1007" s="2">
        <v>992</v>
      </c>
      <c r="I1007" t="s">
        <v>1384</v>
      </c>
      <c r="J1007" s="2">
        <f>INDEX(Positions!$A:$A,MATCH(E1007,Positions!$B:$B,0))</f>
        <v>25</v>
      </c>
      <c r="K1007" s="2">
        <f>INDEX(Locations!$A:$A,MATCH(I1007,Locations!$B:$B,0))</f>
        <v>2</v>
      </c>
    </row>
    <row r="1008" spans="1:11" x14ac:dyDescent="0.2">
      <c r="A1008" s="3">
        <v>1007</v>
      </c>
      <c r="B1008" t="s">
        <v>351</v>
      </c>
      <c r="C1008" t="s">
        <v>307</v>
      </c>
      <c r="D1008" s="1">
        <v>34264</v>
      </c>
      <c r="E1008" t="s">
        <v>1554</v>
      </c>
      <c r="F1008">
        <v>2</v>
      </c>
      <c r="G1008" t="s">
        <v>1625</v>
      </c>
      <c r="H1008" s="2">
        <v>986</v>
      </c>
      <c r="I1008" t="s">
        <v>1384</v>
      </c>
      <c r="J1008" s="2">
        <f>INDEX(Positions!$A:$A,MATCH(E1008,Positions!$B:$B,0))</f>
        <v>25</v>
      </c>
      <c r="K1008" s="2">
        <f>INDEX(Locations!$A:$A,MATCH(I1008,Locations!$B:$B,0))</f>
        <v>2</v>
      </c>
    </row>
    <row r="1009" spans="1:11" x14ac:dyDescent="0.2">
      <c r="A1009" s="3">
        <v>1008</v>
      </c>
      <c r="B1009" t="s">
        <v>277</v>
      </c>
      <c r="C1009" t="s">
        <v>602</v>
      </c>
      <c r="D1009" s="1">
        <v>32207</v>
      </c>
      <c r="E1009" t="s">
        <v>1552</v>
      </c>
      <c r="F1009">
        <v>4</v>
      </c>
      <c r="G1009" t="s">
        <v>1626</v>
      </c>
      <c r="H1009" s="2">
        <v>992</v>
      </c>
      <c r="I1009" t="s">
        <v>1384</v>
      </c>
      <c r="J1009" s="2">
        <f>INDEX(Positions!$A:$A,MATCH(E1009,Positions!$B:$B,0))</f>
        <v>69</v>
      </c>
      <c r="K1009" s="2">
        <f>INDEX(Locations!$A:$A,MATCH(I1009,Locations!$B:$B,0))</f>
        <v>2</v>
      </c>
    </row>
    <row r="1010" spans="1:11" x14ac:dyDescent="0.2">
      <c r="A1010" s="3">
        <v>1009</v>
      </c>
      <c r="B1010" t="s">
        <v>273</v>
      </c>
      <c r="C1010" t="s">
        <v>332</v>
      </c>
      <c r="D1010" s="1">
        <v>37112</v>
      </c>
      <c r="E1010" t="s">
        <v>1556</v>
      </c>
      <c r="F1010">
        <v>1</v>
      </c>
      <c r="G1010" t="s">
        <v>1627</v>
      </c>
      <c r="H1010" s="2">
        <v>993</v>
      </c>
      <c r="I1010" t="s">
        <v>1384</v>
      </c>
      <c r="J1010" s="2">
        <f>INDEX(Positions!$A:$A,MATCH(E1010,Positions!$B:$B,0))</f>
        <v>8</v>
      </c>
      <c r="K1010" s="2">
        <f>INDEX(Locations!$A:$A,MATCH(I1010,Locations!$B:$B,0))</f>
        <v>2</v>
      </c>
    </row>
    <row r="1011" spans="1:11" x14ac:dyDescent="0.2">
      <c r="A1011" s="3">
        <v>1010</v>
      </c>
      <c r="B1011" t="s">
        <v>200</v>
      </c>
      <c r="C1011" t="s">
        <v>115</v>
      </c>
      <c r="D1011" s="1">
        <v>37384</v>
      </c>
      <c r="E1011" t="s">
        <v>1554</v>
      </c>
      <c r="F1011">
        <v>2</v>
      </c>
      <c r="G1011" t="s">
        <v>1628</v>
      </c>
      <c r="H1011" s="2">
        <v>993</v>
      </c>
      <c r="I1011" t="s">
        <v>1384</v>
      </c>
      <c r="J1011" s="2">
        <f>INDEX(Positions!$A:$A,MATCH(E1011,Positions!$B:$B,0))</f>
        <v>25</v>
      </c>
      <c r="K1011" s="2">
        <f>INDEX(Locations!$A:$A,MATCH(I1011,Locations!$B:$B,0))</f>
        <v>2</v>
      </c>
    </row>
    <row r="1012" spans="1:11" x14ac:dyDescent="0.2">
      <c r="A1012" s="3">
        <v>1011</v>
      </c>
      <c r="B1012" t="s">
        <v>139</v>
      </c>
      <c r="C1012" t="s">
        <v>438</v>
      </c>
      <c r="D1012" s="1">
        <v>38509</v>
      </c>
      <c r="E1012" t="s">
        <v>1556</v>
      </c>
      <c r="F1012">
        <v>1</v>
      </c>
      <c r="G1012" t="s">
        <v>1629</v>
      </c>
      <c r="H1012" s="2">
        <v>993</v>
      </c>
      <c r="I1012" t="s">
        <v>1384</v>
      </c>
      <c r="J1012" s="2">
        <f>INDEX(Positions!$A:$A,MATCH(E1012,Positions!$B:$B,0))</f>
        <v>8</v>
      </c>
      <c r="K1012" s="2">
        <f>INDEX(Locations!$A:$A,MATCH(I1012,Locations!$B:$B,0))</f>
        <v>2</v>
      </c>
    </row>
    <row r="1013" spans="1:11" x14ac:dyDescent="0.2">
      <c r="A1013" s="3">
        <v>1012</v>
      </c>
      <c r="B1013" t="s">
        <v>156</v>
      </c>
      <c r="C1013" t="s">
        <v>344</v>
      </c>
      <c r="D1013" s="1">
        <v>36077</v>
      </c>
      <c r="E1013" t="s">
        <v>1554</v>
      </c>
      <c r="F1013">
        <v>2</v>
      </c>
      <c r="G1013" t="s">
        <v>1630</v>
      </c>
      <c r="H1013" s="2">
        <v>979</v>
      </c>
      <c r="I1013" t="s">
        <v>50</v>
      </c>
      <c r="J1013" s="2">
        <f>INDEX(Positions!$A:$A,MATCH(E1013,Positions!$B:$B,0))</f>
        <v>25</v>
      </c>
      <c r="K1013" s="2">
        <f>INDEX(Locations!$A:$A,MATCH(I1013,Locations!$B:$B,0))</f>
        <v>1</v>
      </c>
    </row>
    <row r="1014" spans="1:11" x14ac:dyDescent="0.2">
      <c r="A1014" s="3">
        <v>1013</v>
      </c>
      <c r="B1014" t="s">
        <v>485</v>
      </c>
      <c r="C1014" t="s">
        <v>508</v>
      </c>
      <c r="D1014" s="1">
        <v>36672</v>
      </c>
      <c r="E1014" t="s">
        <v>1554</v>
      </c>
      <c r="F1014">
        <v>2</v>
      </c>
      <c r="G1014" t="s">
        <v>1631</v>
      </c>
      <c r="H1014" s="2">
        <v>979</v>
      </c>
      <c r="I1014" t="s">
        <v>50</v>
      </c>
      <c r="J1014" s="2">
        <f>INDEX(Positions!$A:$A,MATCH(E1014,Positions!$B:$B,0))</f>
        <v>25</v>
      </c>
      <c r="K1014" s="2">
        <f>INDEX(Locations!$A:$A,MATCH(I1014,Locations!$B:$B,0))</f>
        <v>1</v>
      </c>
    </row>
    <row r="1015" spans="1:11" x14ac:dyDescent="0.2">
      <c r="A1015" s="3">
        <v>1014</v>
      </c>
      <c r="B1015" t="s">
        <v>330</v>
      </c>
      <c r="C1015" t="s">
        <v>255</v>
      </c>
      <c r="D1015" s="1">
        <v>32208</v>
      </c>
      <c r="E1015" t="s">
        <v>1582</v>
      </c>
      <c r="F1015">
        <v>5</v>
      </c>
      <c r="G1015" t="s">
        <v>1632</v>
      </c>
      <c r="H1015" s="2">
        <v>977</v>
      </c>
      <c r="I1015" t="s">
        <v>1375</v>
      </c>
      <c r="J1015" s="2">
        <f>INDEX(Positions!$A:$A,MATCH(E1015,Positions!$B:$B,0))</f>
        <v>77</v>
      </c>
      <c r="K1015" s="2">
        <f>INDEX(Locations!$A:$A,MATCH(I1015,Locations!$B:$B,0))</f>
        <v>12</v>
      </c>
    </row>
    <row r="1016" spans="1:11" x14ac:dyDescent="0.2">
      <c r="A1016" s="3">
        <v>1015</v>
      </c>
      <c r="B1016" t="s">
        <v>341</v>
      </c>
      <c r="C1016" t="s">
        <v>981</v>
      </c>
      <c r="D1016" s="1">
        <v>38449</v>
      </c>
      <c r="E1016" t="s">
        <v>1556</v>
      </c>
      <c r="F1016">
        <v>1</v>
      </c>
      <c r="G1016" t="s">
        <v>1633</v>
      </c>
      <c r="H1016" s="2">
        <v>979</v>
      </c>
      <c r="I1016" t="s">
        <v>50</v>
      </c>
      <c r="J1016" s="2">
        <f>INDEX(Positions!$A:$A,MATCH(E1016,Positions!$B:$B,0))</f>
        <v>8</v>
      </c>
      <c r="K1016" s="2">
        <f>INDEX(Locations!$A:$A,MATCH(I1016,Locations!$B:$B,0))</f>
        <v>1</v>
      </c>
    </row>
    <row r="1017" spans="1:11" x14ac:dyDescent="0.2">
      <c r="A1017" s="3">
        <v>1016</v>
      </c>
      <c r="B1017" t="s">
        <v>463</v>
      </c>
      <c r="C1017" t="s">
        <v>390</v>
      </c>
      <c r="D1017" s="1">
        <v>36090</v>
      </c>
      <c r="E1017" t="s">
        <v>1556</v>
      </c>
      <c r="F1017">
        <v>1</v>
      </c>
      <c r="G1017" t="s">
        <v>1634</v>
      </c>
      <c r="H1017" s="2">
        <v>986</v>
      </c>
      <c r="I1017" t="s">
        <v>1384</v>
      </c>
      <c r="J1017" s="2">
        <f>INDEX(Positions!$A:$A,MATCH(E1017,Positions!$B:$B,0))</f>
        <v>8</v>
      </c>
      <c r="K1017" s="2">
        <f>INDEX(Locations!$A:$A,MATCH(I1017,Locations!$B:$B,0))</f>
        <v>2</v>
      </c>
    </row>
    <row r="1018" spans="1:11" x14ac:dyDescent="0.2">
      <c r="A1018" s="3">
        <v>1017</v>
      </c>
      <c r="B1018" t="s">
        <v>431</v>
      </c>
      <c r="C1018" t="s">
        <v>282</v>
      </c>
      <c r="D1018" s="1">
        <v>34090</v>
      </c>
      <c r="E1018" t="s">
        <v>1554</v>
      </c>
      <c r="F1018">
        <v>2</v>
      </c>
      <c r="G1018" t="s">
        <v>1635</v>
      </c>
      <c r="H1018" s="2">
        <v>992</v>
      </c>
      <c r="I1018" t="s">
        <v>1384</v>
      </c>
      <c r="J1018" s="2">
        <f>INDEX(Positions!$A:$A,MATCH(E1018,Positions!$B:$B,0))</f>
        <v>25</v>
      </c>
      <c r="K1018" s="2">
        <f>INDEX(Locations!$A:$A,MATCH(I1018,Locations!$B:$B,0))</f>
        <v>2</v>
      </c>
    </row>
    <row r="1019" spans="1:11" x14ac:dyDescent="0.2">
      <c r="A1019" s="3">
        <v>1018</v>
      </c>
      <c r="B1019" t="s">
        <v>431</v>
      </c>
      <c r="C1019" t="s">
        <v>732</v>
      </c>
      <c r="D1019" s="1">
        <v>38147</v>
      </c>
      <c r="E1019" t="s">
        <v>1554</v>
      </c>
      <c r="F1019">
        <v>2</v>
      </c>
      <c r="G1019" t="s">
        <v>1636</v>
      </c>
      <c r="H1019" s="2">
        <v>987</v>
      </c>
      <c r="I1019" t="s">
        <v>1375</v>
      </c>
      <c r="J1019" s="2">
        <f>INDEX(Positions!$A:$A,MATCH(E1019,Positions!$B:$B,0))</f>
        <v>25</v>
      </c>
      <c r="K1019" s="2">
        <f>INDEX(Locations!$A:$A,MATCH(I1019,Locations!$B:$B,0))</f>
        <v>12</v>
      </c>
    </row>
    <row r="1020" spans="1:11" x14ac:dyDescent="0.2">
      <c r="A1020" s="3">
        <v>1019</v>
      </c>
      <c r="B1020" t="s">
        <v>250</v>
      </c>
      <c r="C1020" t="s">
        <v>254</v>
      </c>
      <c r="D1020" s="1">
        <v>36999</v>
      </c>
      <c r="E1020" t="s">
        <v>1556</v>
      </c>
      <c r="F1020">
        <v>1</v>
      </c>
      <c r="G1020" t="s">
        <v>1637</v>
      </c>
      <c r="H1020" s="2">
        <v>1014</v>
      </c>
      <c r="I1020" t="s">
        <v>1375</v>
      </c>
      <c r="J1020" s="2">
        <f>INDEX(Positions!$A:$A,MATCH(E1020,Positions!$B:$B,0))</f>
        <v>8</v>
      </c>
      <c r="K1020" s="2">
        <f>INDEX(Locations!$A:$A,MATCH(I1020,Locations!$B:$B,0))</f>
        <v>12</v>
      </c>
    </row>
    <row r="1021" spans="1:11" x14ac:dyDescent="0.2">
      <c r="A1021" s="3">
        <v>1020</v>
      </c>
      <c r="B1021" t="s">
        <v>387</v>
      </c>
      <c r="C1021" t="s">
        <v>765</v>
      </c>
      <c r="D1021" s="1">
        <v>39510</v>
      </c>
      <c r="E1021" t="s">
        <v>1556</v>
      </c>
      <c r="F1021">
        <v>1</v>
      </c>
      <c r="G1021" t="s">
        <v>1638</v>
      </c>
      <c r="H1021" s="2">
        <v>1014</v>
      </c>
      <c r="I1021" t="s">
        <v>1375</v>
      </c>
      <c r="J1021" s="2">
        <f>INDEX(Positions!$A:$A,MATCH(E1021,Positions!$B:$B,0))</f>
        <v>8</v>
      </c>
      <c r="K1021" s="2">
        <f>INDEX(Locations!$A:$A,MATCH(I1021,Locations!$B:$B,0))</f>
        <v>12</v>
      </c>
    </row>
    <row r="1022" spans="1:11" x14ac:dyDescent="0.2">
      <c r="A1022" s="3">
        <v>1021</v>
      </c>
      <c r="B1022" t="s">
        <v>396</v>
      </c>
      <c r="C1022" t="s">
        <v>550</v>
      </c>
      <c r="D1022" s="1">
        <v>37659</v>
      </c>
      <c r="E1022" t="s">
        <v>1554</v>
      </c>
      <c r="F1022">
        <v>2</v>
      </c>
      <c r="G1022" t="s">
        <v>1639</v>
      </c>
      <c r="H1022" s="2">
        <v>1014</v>
      </c>
      <c r="I1022" t="s">
        <v>1375</v>
      </c>
      <c r="J1022" s="2">
        <f>INDEX(Positions!$A:$A,MATCH(E1022,Positions!$B:$B,0))</f>
        <v>25</v>
      </c>
      <c r="K1022" s="2">
        <f>INDEX(Locations!$A:$A,MATCH(I1022,Locations!$B:$B,0))</f>
        <v>12</v>
      </c>
    </row>
    <row r="1023" spans="1:11" x14ac:dyDescent="0.2">
      <c r="A1023" s="3">
        <v>1022</v>
      </c>
      <c r="B1023" t="s">
        <v>478</v>
      </c>
      <c r="C1023" t="s">
        <v>539</v>
      </c>
      <c r="D1023" s="1">
        <v>39577</v>
      </c>
      <c r="E1023" t="s">
        <v>1556</v>
      </c>
      <c r="F1023">
        <v>1</v>
      </c>
      <c r="G1023" t="s">
        <v>1640</v>
      </c>
      <c r="H1023" s="2">
        <v>986</v>
      </c>
      <c r="I1023" t="s">
        <v>1384</v>
      </c>
      <c r="J1023" s="2">
        <f>INDEX(Positions!$A:$A,MATCH(E1023,Positions!$B:$B,0))</f>
        <v>8</v>
      </c>
      <c r="K1023" s="2">
        <f>INDEX(Locations!$A:$A,MATCH(I1023,Locations!$B:$B,0))</f>
        <v>2</v>
      </c>
    </row>
    <row r="1024" spans="1:11" x14ac:dyDescent="0.2">
      <c r="A1024" s="3">
        <v>1023</v>
      </c>
      <c r="B1024" t="s">
        <v>71</v>
      </c>
      <c r="C1024" t="s">
        <v>403</v>
      </c>
      <c r="D1024" s="1">
        <v>36171</v>
      </c>
      <c r="E1024" t="s">
        <v>1552</v>
      </c>
      <c r="F1024">
        <v>4</v>
      </c>
      <c r="G1024" t="s">
        <v>1641</v>
      </c>
      <c r="H1024" s="2">
        <v>1014</v>
      </c>
      <c r="I1024" t="s">
        <v>1375</v>
      </c>
      <c r="J1024" s="2">
        <f>INDEX(Positions!$A:$A,MATCH(E1024,Positions!$B:$B,0))</f>
        <v>69</v>
      </c>
      <c r="K1024" s="2">
        <f>INDEX(Locations!$A:$A,MATCH(I1024,Locations!$B:$B,0))</f>
        <v>12</v>
      </c>
    </row>
    <row r="1025" spans="1:11" x14ac:dyDescent="0.2">
      <c r="A1025" s="3">
        <v>1024</v>
      </c>
      <c r="B1025" t="s">
        <v>219</v>
      </c>
      <c r="C1025" t="s">
        <v>323</v>
      </c>
      <c r="D1025" s="1">
        <v>35755</v>
      </c>
      <c r="E1025" t="s">
        <v>1556</v>
      </c>
      <c r="F1025">
        <v>1</v>
      </c>
      <c r="G1025" t="s">
        <v>1642</v>
      </c>
      <c r="H1025" s="2">
        <v>1014</v>
      </c>
      <c r="I1025" t="s">
        <v>1375</v>
      </c>
      <c r="J1025" s="2">
        <f>INDEX(Positions!$A:$A,MATCH(E1025,Positions!$B:$B,0))</f>
        <v>8</v>
      </c>
      <c r="K1025" s="2">
        <f>INDEX(Locations!$A:$A,MATCH(I1025,Locations!$B:$B,0))</f>
        <v>12</v>
      </c>
    </row>
    <row r="1026" spans="1:11" x14ac:dyDescent="0.2">
      <c r="A1026" s="3">
        <v>1025</v>
      </c>
      <c r="B1026" t="s">
        <v>397</v>
      </c>
      <c r="C1026" t="s">
        <v>355</v>
      </c>
      <c r="D1026" s="1">
        <v>37909</v>
      </c>
      <c r="E1026" t="s">
        <v>1556</v>
      </c>
      <c r="F1026">
        <v>1</v>
      </c>
      <c r="G1026" t="s">
        <v>1643</v>
      </c>
      <c r="H1026" s="2">
        <v>992</v>
      </c>
      <c r="I1026" t="s">
        <v>1384</v>
      </c>
      <c r="J1026" s="2">
        <f>INDEX(Positions!$A:$A,MATCH(E1026,Positions!$B:$B,0))</f>
        <v>8</v>
      </c>
      <c r="K1026" s="2">
        <f>INDEX(Locations!$A:$A,MATCH(I1026,Locations!$B:$B,0))</f>
        <v>2</v>
      </c>
    </row>
    <row r="1027" spans="1:11" x14ac:dyDescent="0.2">
      <c r="A1027" s="3">
        <v>1026</v>
      </c>
      <c r="B1027" t="s">
        <v>178</v>
      </c>
      <c r="C1027" t="s">
        <v>323</v>
      </c>
      <c r="D1027" s="1">
        <v>39439</v>
      </c>
      <c r="E1027" t="s">
        <v>1556</v>
      </c>
      <c r="F1027">
        <v>1</v>
      </c>
      <c r="G1027" t="s">
        <v>1644</v>
      </c>
      <c r="H1027" s="2">
        <v>987</v>
      </c>
      <c r="I1027" t="s">
        <v>1375</v>
      </c>
      <c r="J1027" s="2">
        <f>INDEX(Positions!$A:$A,MATCH(E1027,Positions!$B:$B,0))</f>
        <v>8</v>
      </c>
      <c r="K1027" s="2">
        <f>INDEX(Locations!$A:$A,MATCH(I1027,Locations!$B:$B,0))</f>
        <v>12</v>
      </c>
    </row>
    <row r="1028" spans="1:11" x14ac:dyDescent="0.2">
      <c r="A1028" s="3">
        <v>1027</v>
      </c>
      <c r="B1028" t="s">
        <v>513</v>
      </c>
      <c r="C1028" t="s">
        <v>321</v>
      </c>
      <c r="D1028" s="1">
        <v>31196</v>
      </c>
      <c r="E1028" t="s">
        <v>1552</v>
      </c>
      <c r="F1028">
        <v>4</v>
      </c>
      <c r="G1028" t="s">
        <v>1645</v>
      </c>
      <c r="H1028" s="2">
        <v>993</v>
      </c>
      <c r="I1028" t="s">
        <v>1384</v>
      </c>
      <c r="J1028" s="2">
        <f>INDEX(Positions!$A:$A,MATCH(E1028,Positions!$B:$B,0))</f>
        <v>69</v>
      </c>
      <c r="K1028" s="2">
        <f>INDEX(Locations!$A:$A,MATCH(I1028,Locations!$B:$B,0))</f>
        <v>2</v>
      </c>
    </row>
    <row r="1029" spans="1:11" x14ac:dyDescent="0.2">
      <c r="A1029" s="3">
        <v>1028</v>
      </c>
      <c r="B1029" t="s">
        <v>250</v>
      </c>
      <c r="C1029" t="s">
        <v>162</v>
      </c>
      <c r="D1029" s="1">
        <v>32851</v>
      </c>
      <c r="E1029" t="s">
        <v>1582</v>
      </c>
      <c r="F1029">
        <v>5</v>
      </c>
      <c r="G1029" t="s">
        <v>1646</v>
      </c>
      <c r="H1029" s="2">
        <v>977</v>
      </c>
      <c r="I1029" t="s">
        <v>1375</v>
      </c>
      <c r="J1029" s="2">
        <f>INDEX(Positions!$A:$A,MATCH(E1029,Positions!$B:$B,0))</f>
        <v>77</v>
      </c>
      <c r="K1029" s="2">
        <f>INDEX(Locations!$A:$A,MATCH(I1029,Locations!$B:$B,0))</f>
        <v>12</v>
      </c>
    </row>
    <row r="1030" spans="1:11" x14ac:dyDescent="0.2">
      <c r="A1030" s="3">
        <v>1029</v>
      </c>
      <c r="B1030" t="s">
        <v>102</v>
      </c>
      <c r="C1030" t="s">
        <v>544</v>
      </c>
      <c r="D1030" s="1">
        <v>36609</v>
      </c>
      <c r="E1030" t="s">
        <v>1565</v>
      </c>
      <c r="F1030">
        <v>3</v>
      </c>
      <c r="G1030" t="s">
        <v>1647</v>
      </c>
      <c r="H1030" s="2">
        <v>993</v>
      </c>
      <c r="I1030" t="s">
        <v>1384</v>
      </c>
      <c r="J1030" s="2">
        <f>INDEX(Positions!$A:$A,MATCH(E1030,Positions!$B:$B,0))</f>
        <v>54</v>
      </c>
      <c r="K1030" s="2">
        <f>INDEX(Locations!$A:$A,MATCH(I1030,Locations!$B:$B,0))</f>
        <v>2</v>
      </c>
    </row>
    <row r="1031" spans="1:11" x14ac:dyDescent="0.2">
      <c r="A1031" s="3">
        <v>1030</v>
      </c>
      <c r="B1031" t="s">
        <v>215</v>
      </c>
      <c r="C1031" t="s">
        <v>539</v>
      </c>
      <c r="D1031" s="1">
        <v>38583</v>
      </c>
      <c r="E1031" t="s">
        <v>1556</v>
      </c>
      <c r="F1031">
        <v>1</v>
      </c>
      <c r="G1031" t="s">
        <v>1648</v>
      </c>
      <c r="H1031" s="2">
        <v>1028</v>
      </c>
      <c r="I1031" t="s">
        <v>1375</v>
      </c>
      <c r="J1031" s="2">
        <f>INDEX(Positions!$A:$A,MATCH(E1031,Positions!$B:$B,0))</f>
        <v>8</v>
      </c>
      <c r="K1031" s="2">
        <f>INDEX(Locations!$A:$A,MATCH(I1031,Locations!$B:$B,0))</f>
        <v>12</v>
      </c>
    </row>
    <row r="1032" spans="1:11" x14ac:dyDescent="0.2">
      <c r="A1032" s="3">
        <v>1031</v>
      </c>
      <c r="B1032" t="s">
        <v>501</v>
      </c>
      <c r="C1032" t="s">
        <v>288</v>
      </c>
      <c r="D1032" s="1">
        <v>34788</v>
      </c>
      <c r="E1032" t="s">
        <v>1556</v>
      </c>
      <c r="F1032">
        <v>1</v>
      </c>
      <c r="G1032" t="s">
        <v>1649</v>
      </c>
      <c r="H1032" s="2">
        <v>993</v>
      </c>
      <c r="I1032" t="s">
        <v>1384</v>
      </c>
      <c r="J1032" s="2">
        <f>INDEX(Positions!$A:$A,MATCH(E1032,Positions!$B:$B,0))</f>
        <v>8</v>
      </c>
      <c r="K1032" s="2">
        <f>INDEX(Locations!$A:$A,MATCH(I1032,Locations!$B:$B,0))</f>
        <v>2</v>
      </c>
    </row>
    <row r="1033" spans="1:11" x14ac:dyDescent="0.2">
      <c r="A1033" s="3">
        <v>1032</v>
      </c>
      <c r="B1033" t="s">
        <v>207</v>
      </c>
      <c r="C1033" t="s">
        <v>462</v>
      </c>
      <c r="D1033" s="1">
        <v>38600</v>
      </c>
      <c r="E1033" t="s">
        <v>1556</v>
      </c>
      <c r="F1033">
        <v>1</v>
      </c>
      <c r="G1033" t="s">
        <v>1650</v>
      </c>
      <c r="H1033" s="2">
        <v>1028</v>
      </c>
      <c r="I1033" t="s">
        <v>1375</v>
      </c>
      <c r="J1033" s="2">
        <f>INDEX(Positions!$A:$A,MATCH(E1033,Positions!$B:$B,0))</f>
        <v>8</v>
      </c>
      <c r="K1033" s="2">
        <f>INDEX(Locations!$A:$A,MATCH(I1033,Locations!$B:$B,0))</f>
        <v>12</v>
      </c>
    </row>
    <row r="1034" spans="1:11" x14ac:dyDescent="0.2">
      <c r="A1034" s="3">
        <v>1033</v>
      </c>
      <c r="B1034" t="s">
        <v>650</v>
      </c>
      <c r="C1034" t="s">
        <v>399</v>
      </c>
      <c r="D1034" s="1">
        <v>36443</v>
      </c>
      <c r="E1034" t="s">
        <v>1552</v>
      </c>
      <c r="F1034">
        <v>4</v>
      </c>
      <c r="G1034" t="s">
        <v>1651</v>
      </c>
      <c r="H1034" s="2">
        <v>1014</v>
      </c>
      <c r="I1034" t="s">
        <v>1375</v>
      </c>
      <c r="J1034" s="2">
        <f>INDEX(Positions!$A:$A,MATCH(E1034,Positions!$B:$B,0))</f>
        <v>69</v>
      </c>
      <c r="K1034" s="2">
        <f>INDEX(Locations!$A:$A,MATCH(I1034,Locations!$B:$B,0))</f>
        <v>12</v>
      </c>
    </row>
    <row r="1035" spans="1:11" x14ac:dyDescent="0.2">
      <c r="A1035" s="3">
        <v>1034</v>
      </c>
      <c r="B1035" t="s">
        <v>435</v>
      </c>
      <c r="C1035" t="s">
        <v>560</v>
      </c>
      <c r="D1035" s="1">
        <v>36882</v>
      </c>
      <c r="E1035" t="s">
        <v>1554</v>
      </c>
      <c r="F1035">
        <v>2</v>
      </c>
      <c r="G1035" t="s">
        <v>1652</v>
      </c>
      <c r="H1035" s="2">
        <v>987</v>
      </c>
      <c r="I1035" t="s">
        <v>1375</v>
      </c>
      <c r="J1035" s="2">
        <f>INDEX(Positions!$A:$A,MATCH(E1035,Positions!$B:$B,0))</f>
        <v>25</v>
      </c>
      <c r="K1035" s="2">
        <f>INDEX(Locations!$A:$A,MATCH(I1035,Locations!$B:$B,0))</f>
        <v>12</v>
      </c>
    </row>
    <row r="1036" spans="1:11" x14ac:dyDescent="0.2">
      <c r="A1036" s="3">
        <v>1035</v>
      </c>
      <c r="B1036" t="s">
        <v>170</v>
      </c>
      <c r="C1036" t="s">
        <v>251</v>
      </c>
      <c r="D1036" s="1">
        <v>37767</v>
      </c>
      <c r="E1036" t="s">
        <v>1554</v>
      </c>
      <c r="F1036">
        <v>2</v>
      </c>
      <c r="G1036" t="s">
        <v>1653</v>
      </c>
      <c r="H1036" s="2">
        <v>1028</v>
      </c>
      <c r="I1036" t="s">
        <v>1375</v>
      </c>
      <c r="J1036" s="2">
        <f>INDEX(Positions!$A:$A,MATCH(E1036,Positions!$B:$B,0))</f>
        <v>25</v>
      </c>
      <c r="K1036" s="2">
        <f>INDEX(Locations!$A:$A,MATCH(I1036,Locations!$B:$B,0))</f>
        <v>12</v>
      </c>
    </row>
    <row r="1037" spans="1:11" x14ac:dyDescent="0.2">
      <c r="A1037" s="3">
        <v>1036</v>
      </c>
      <c r="B1037" t="s">
        <v>376</v>
      </c>
      <c r="C1037" t="s">
        <v>407</v>
      </c>
      <c r="D1037" s="1">
        <v>38145</v>
      </c>
      <c r="E1037" t="s">
        <v>1552</v>
      </c>
      <c r="F1037">
        <v>4</v>
      </c>
      <c r="G1037" t="s">
        <v>1654</v>
      </c>
      <c r="H1037" s="2">
        <v>979</v>
      </c>
      <c r="I1037" t="s">
        <v>50</v>
      </c>
      <c r="J1037" s="2">
        <f>INDEX(Positions!$A:$A,MATCH(E1037,Positions!$B:$B,0))</f>
        <v>69</v>
      </c>
      <c r="K1037" s="2">
        <f>INDEX(Locations!$A:$A,MATCH(I1037,Locations!$B:$B,0))</f>
        <v>1</v>
      </c>
    </row>
    <row r="1038" spans="1:11" x14ac:dyDescent="0.2">
      <c r="A1038" s="3">
        <v>1037</v>
      </c>
      <c r="B1038" t="s">
        <v>426</v>
      </c>
      <c r="C1038" t="s">
        <v>449</v>
      </c>
      <c r="D1038" s="1">
        <v>38267</v>
      </c>
      <c r="E1038" t="s">
        <v>1556</v>
      </c>
      <c r="F1038">
        <v>1</v>
      </c>
      <c r="G1038" t="s">
        <v>1655</v>
      </c>
      <c r="H1038" s="2">
        <v>986</v>
      </c>
      <c r="I1038" t="s">
        <v>1384</v>
      </c>
      <c r="J1038" s="2">
        <f>INDEX(Positions!$A:$A,MATCH(E1038,Positions!$B:$B,0))</f>
        <v>8</v>
      </c>
      <c r="K1038" s="2">
        <f>INDEX(Locations!$A:$A,MATCH(I1038,Locations!$B:$B,0))</f>
        <v>2</v>
      </c>
    </row>
    <row r="1039" spans="1:11" x14ac:dyDescent="0.2">
      <c r="A1039" s="3">
        <v>1038</v>
      </c>
      <c r="B1039" t="s">
        <v>473</v>
      </c>
      <c r="C1039" t="s">
        <v>251</v>
      </c>
      <c r="D1039" s="1">
        <v>35077</v>
      </c>
      <c r="E1039" t="s">
        <v>1552</v>
      </c>
      <c r="F1039">
        <v>4</v>
      </c>
      <c r="G1039" t="s">
        <v>1656</v>
      </c>
      <c r="H1039" s="2">
        <v>986</v>
      </c>
      <c r="I1039" t="s">
        <v>1384</v>
      </c>
      <c r="J1039" s="2">
        <f>INDEX(Positions!$A:$A,MATCH(E1039,Positions!$B:$B,0))</f>
        <v>69</v>
      </c>
      <c r="K1039" s="2">
        <f>INDEX(Locations!$A:$A,MATCH(I1039,Locations!$B:$B,0))</f>
        <v>2</v>
      </c>
    </row>
    <row r="1040" spans="1:11" x14ac:dyDescent="0.2">
      <c r="A1040" s="3">
        <v>1039</v>
      </c>
      <c r="B1040" t="s">
        <v>364</v>
      </c>
      <c r="C1040" t="s">
        <v>155</v>
      </c>
      <c r="D1040" s="1">
        <v>32874</v>
      </c>
      <c r="E1040" t="s">
        <v>1552</v>
      </c>
      <c r="F1040">
        <v>4</v>
      </c>
      <c r="G1040" t="s">
        <v>1657</v>
      </c>
      <c r="H1040" s="2">
        <v>987</v>
      </c>
      <c r="I1040" t="s">
        <v>1375</v>
      </c>
      <c r="J1040" s="2">
        <f>INDEX(Positions!$A:$A,MATCH(E1040,Positions!$B:$B,0))</f>
        <v>69</v>
      </c>
      <c r="K1040" s="2">
        <f>INDEX(Locations!$A:$A,MATCH(I1040,Locations!$B:$B,0))</f>
        <v>12</v>
      </c>
    </row>
    <row r="1041" spans="1:11" x14ac:dyDescent="0.2">
      <c r="A1041" s="3">
        <v>1040</v>
      </c>
      <c r="B1041" t="s">
        <v>241</v>
      </c>
      <c r="C1041" t="s">
        <v>512</v>
      </c>
      <c r="D1041" s="1">
        <v>32386</v>
      </c>
      <c r="E1041" t="s">
        <v>1565</v>
      </c>
      <c r="F1041">
        <v>3</v>
      </c>
      <c r="G1041" t="s">
        <v>1658</v>
      </c>
      <c r="H1041" s="2">
        <v>1028</v>
      </c>
      <c r="I1041" t="s">
        <v>1375</v>
      </c>
      <c r="J1041" s="2">
        <f>INDEX(Positions!$A:$A,MATCH(E1041,Positions!$B:$B,0))</f>
        <v>54</v>
      </c>
      <c r="K1041" s="2">
        <f>INDEX(Locations!$A:$A,MATCH(I1041,Locations!$B:$B,0))</f>
        <v>12</v>
      </c>
    </row>
    <row r="1042" spans="1:11" x14ac:dyDescent="0.2">
      <c r="A1042" s="3">
        <v>1041</v>
      </c>
      <c r="B1042" t="s">
        <v>323</v>
      </c>
      <c r="C1042" t="s">
        <v>220</v>
      </c>
      <c r="D1042" s="1">
        <v>34175</v>
      </c>
      <c r="E1042" t="s">
        <v>1552</v>
      </c>
      <c r="F1042">
        <v>4</v>
      </c>
      <c r="G1042" t="s">
        <v>1659</v>
      </c>
      <c r="H1042" s="2">
        <v>987</v>
      </c>
      <c r="I1042" t="s">
        <v>1375</v>
      </c>
      <c r="J1042" s="2">
        <f>INDEX(Positions!$A:$A,MATCH(E1042,Positions!$B:$B,0))</f>
        <v>69</v>
      </c>
      <c r="K1042" s="2">
        <f>INDEX(Locations!$A:$A,MATCH(I1042,Locations!$B:$B,0))</f>
        <v>12</v>
      </c>
    </row>
    <row r="1043" spans="1:11" x14ac:dyDescent="0.2">
      <c r="A1043" s="3">
        <v>1042</v>
      </c>
      <c r="B1043" t="s">
        <v>227</v>
      </c>
      <c r="C1043" t="s">
        <v>96</v>
      </c>
      <c r="D1043" s="1">
        <v>36814</v>
      </c>
      <c r="E1043" t="s">
        <v>1552</v>
      </c>
      <c r="F1043">
        <v>4</v>
      </c>
      <c r="G1043" t="s">
        <v>1660</v>
      </c>
      <c r="H1043" s="2">
        <v>1028</v>
      </c>
      <c r="I1043" t="s">
        <v>1375</v>
      </c>
      <c r="J1043" s="2">
        <f>INDEX(Positions!$A:$A,MATCH(E1043,Positions!$B:$B,0))</f>
        <v>69</v>
      </c>
      <c r="K1043" s="2">
        <f>INDEX(Locations!$A:$A,MATCH(I1043,Locations!$B:$B,0))</f>
        <v>12</v>
      </c>
    </row>
    <row r="1044" spans="1:11" x14ac:dyDescent="0.2">
      <c r="A1044" s="3">
        <v>1043</v>
      </c>
      <c r="B1044" t="s">
        <v>530</v>
      </c>
      <c r="C1044" t="s">
        <v>520</v>
      </c>
      <c r="D1044" s="1">
        <v>39638</v>
      </c>
      <c r="E1044" t="s">
        <v>1556</v>
      </c>
      <c r="F1044">
        <v>1</v>
      </c>
      <c r="G1044" t="s">
        <v>1661</v>
      </c>
      <c r="H1044" s="2">
        <v>1028</v>
      </c>
      <c r="I1044" t="s">
        <v>1375</v>
      </c>
      <c r="J1044" s="2">
        <f>INDEX(Positions!$A:$A,MATCH(E1044,Positions!$B:$B,0))</f>
        <v>8</v>
      </c>
      <c r="K1044" s="2">
        <f>INDEX(Locations!$A:$A,MATCH(I1044,Locations!$B:$B,0))</f>
        <v>12</v>
      </c>
    </row>
    <row r="1045" spans="1:11" x14ac:dyDescent="0.2">
      <c r="A1045" s="3">
        <v>1044</v>
      </c>
      <c r="B1045" t="s">
        <v>533</v>
      </c>
      <c r="C1045" t="s">
        <v>321</v>
      </c>
      <c r="D1045" s="1">
        <v>36716</v>
      </c>
      <c r="E1045" t="s">
        <v>1556</v>
      </c>
      <c r="F1045">
        <v>1</v>
      </c>
      <c r="G1045" t="s">
        <v>1662</v>
      </c>
      <c r="H1045" s="2">
        <v>1014</v>
      </c>
      <c r="I1045" t="s">
        <v>1375</v>
      </c>
      <c r="J1045" s="2">
        <f>INDEX(Positions!$A:$A,MATCH(E1045,Positions!$B:$B,0))</f>
        <v>8</v>
      </c>
      <c r="K1045" s="2">
        <f>INDEX(Locations!$A:$A,MATCH(I1045,Locations!$B:$B,0))</f>
        <v>12</v>
      </c>
    </row>
    <row r="1046" spans="1:11" x14ac:dyDescent="0.2">
      <c r="A1046" s="3">
        <v>1045</v>
      </c>
      <c r="B1046" t="s">
        <v>300</v>
      </c>
      <c r="C1046" t="s">
        <v>184</v>
      </c>
      <c r="D1046" s="1">
        <v>35987</v>
      </c>
      <c r="E1046" t="s">
        <v>1554</v>
      </c>
      <c r="F1046">
        <v>2</v>
      </c>
      <c r="G1046" t="s">
        <v>1663</v>
      </c>
      <c r="H1046" s="2">
        <v>1028</v>
      </c>
      <c r="I1046" t="s">
        <v>1375</v>
      </c>
      <c r="J1046" s="2">
        <f>INDEX(Positions!$A:$A,MATCH(E1046,Positions!$B:$B,0))</f>
        <v>25</v>
      </c>
      <c r="K1046" s="2">
        <f>INDEX(Locations!$A:$A,MATCH(I1046,Locations!$B:$B,0))</f>
        <v>12</v>
      </c>
    </row>
    <row r="1047" spans="1:11" x14ac:dyDescent="0.2">
      <c r="A1047" s="3">
        <v>1046</v>
      </c>
      <c r="B1047" t="s">
        <v>179</v>
      </c>
      <c r="C1047" t="s">
        <v>170</v>
      </c>
      <c r="D1047" s="1">
        <v>36992</v>
      </c>
      <c r="E1047" t="s">
        <v>1554</v>
      </c>
      <c r="F1047">
        <v>2</v>
      </c>
      <c r="G1047" t="s">
        <v>1664</v>
      </c>
      <c r="H1047" s="2">
        <v>993</v>
      </c>
      <c r="I1047" t="s">
        <v>1384</v>
      </c>
      <c r="J1047" s="2">
        <f>INDEX(Positions!$A:$A,MATCH(E1047,Positions!$B:$B,0))</f>
        <v>25</v>
      </c>
      <c r="K1047" s="2">
        <f>INDEX(Locations!$A:$A,MATCH(I1047,Locations!$B:$B,0))</f>
        <v>2</v>
      </c>
    </row>
    <row r="1048" spans="1:11" x14ac:dyDescent="0.2">
      <c r="A1048" s="3">
        <v>1047</v>
      </c>
      <c r="B1048" t="s">
        <v>396</v>
      </c>
      <c r="C1048" t="s">
        <v>399</v>
      </c>
      <c r="D1048" s="1">
        <v>38019</v>
      </c>
      <c r="E1048" t="s">
        <v>1556</v>
      </c>
      <c r="F1048">
        <v>1</v>
      </c>
      <c r="G1048" t="s">
        <v>1665</v>
      </c>
      <c r="H1048" s="2">
        <v>1028</v>
      </c>
      <c r="I1048" t="s">
        <v>1375</v>
      </c>
      <c r="J1048" s="2">
        <f>INDEX(Positions!$A:$A,MATCH(E1048,Positions!$B:$B,0))</f>
        <v>8</v>
      </c>
      <c r="K1048" s="2">
        <f>INDEX(Locations!$A:$A,MATCH(I1048,Locations!$B:$B,0))</f>
        <v>12</v>
      </c>
    </row>
    <row r="1049" spans="1:11" x14ac:dyDescent="0.2">
      <c r="A1049" s="3">
        <v>1048</v>
      </c>
      <c r="B1049" t="s">
        <v>337</v>
      </c>
      <c r="C1049" t="s">
        <v>457</v>
      </c>
      <c r="D1049" s="1">
        <v>35945</v>
      </c>
      <c r="E1049" t="s">
        <v>1556</v>
      </c>
      <c r="F1049">
        <v>1</v>
      </c>
      <c r="G1049" t="s">
        <v>1666</v>
      </c>
      <c r="H1049" s="2">
        <v>979</v>
      </c>
      <c r="I1049" t="s">
        <v>50</v>
      </c>
      <c r="J1049" s="2">
        <f>INDEX(Positions!$A:$A,MATCH(E1049,Positions!$B:$B,0))</f>
        <v>8</v>
      </c>
      <c r="K1049" s="2">
        <f>INDEX(Locations!$A:$A,MATCH(I1049,Locations!$B:$B,0))</f>
        <v>1</v>
      </c>
    </row>
    <row r="1050" spans="1:11" x14ac:dyDescent="0.2">
      <c r="A1050" s="3">
        <v>1049</v>
      </c>
      <c r="B1050" t="s">
        <v>453</v>
      </c>
      <c r="C1050" t="s">
        <v>462</v>
      </c>
      <c r="D1050" s="1">
        <v>36781</v>
      </c>
      <c r="E1050" t="s">
        <v>1554</v>
      </c>
      <c r="F1050">
        <v>2</v>
      </c>
      <c r="G1050" t="s">
        <v>1667</v>
      </c>
      <c r="H1050" s="2">
        <v>1014</v>
      </c>
      <c r="I1050" t="s">
        <v>1375</v>
      </c>
      <c r="J1050" s="2">
        <f>INDEX(Positions!$A:$A,MATCH(E1050,Positions!$B:$B,0))</f>
        <v>25</v>
      </c>
      <c r="K1050" s="2">
        <f>INDEX(Locations!$A:$A,MATCH(I1050,Locations!$B:$B,0))</f>
        <v>12</v>
      </c>
    </row>
    <row r="1051" spans="1:11" x14ac:dyDescent="0.2">
      <c r="A1051" s="3">
        <v>1050</v>
      </c>
      <c r="B1051" t="s">
        <v>273</v>
      </c>
      <c r="C1051" t="s">
        <v>1668</v>
      </c>
      <c r="D1051" s="1">
        <v>25507</v>
      </c>
      <c r="E1051" t="s">
        <v>1669</v>
      </c>
      <c r="F1051">
        <v>8</v>
      </c>
      <c r="G1051" t="s">
        <v>1670</v>
      </c>
      <c r="H1051" s="2">
        <v>5</v>
      </c>
      <c r="I1051" t="s">
        <v>50</v>
      </c>
      <c r="J1051" s="2">
        <f>INDEX(Positions!$A:$A,MATCH(E1051,Positions!$B:$B,0))</f>
        <v>108</v>
      </c>
      <c r="K1051" s="2">
        <f>INDEX(Locations!$A:$A,MATCH(I1051,Locations!$B:$B,0))</f>
        <v>1</v>
      </c>
    </row>
    <row r="1052" spans="1:11" x14ac:dyDescent="0.2">
      <c r="A1052" s="3">
        <v>1051</v>
      </c>
      <c r="B1052" t="s">
        <v>248</v>
      </c>
      <c r="C1052" t="s">
        <v>560</v>
      </c>
      <c r="D1052" s="1">
        <v>32537</v>
      </c>
      <c r="E1052" t="s">
        <v>1671</v>
      </c>
      <c r="F1052">
        <v>3</v>
      </c>
      <c r="G1052" t="s">
        <v>1672</v>
      </c>
      <c r="H1052" s="2">
        <v>1050</v>
      </c>
      <c r="I1052" t="s">
        <v>50</v>
      </c>
      <c r="J1052" s="2">
        <f>INDEX(Positions!$A:$A,MATCH(E1052,Positions!$B:$B,0))</f>
        <v>38</v>
      </c>
      <c r="K1052" s="2">
        <f>INDEX(Locations!$A:$A,MATCH(I1052,Locations!$B:$B,0))</f>
        <v>1</v>
      </c>
    </row>
    <row r="1053" spans="1:11" x14ac:dyDescent="0.2">
      <c r="A1053" s="3">
        <v>1052</v>
      </c>
      <c r="B1053" t="s">
        <v>364</v>
      </c>
      <c r="C1053" t="s">
        <v>130</v>
      </c>
      <c r="D1053" s="1">
        <v>34913</v>
      </c>
      <c r="E1053" t="s">
        <v>1673</v>
      </c>
      <c r="F1053">
        <v>2</v>
      </c>
      <c r="G1053" t="s">
        <v>1674</v>
      </c>
      <c r="H1053" s="2">
        <v>1069</v>
      </c>
      <c r="I1053" t="s">
        <v>50</v>
      </c>
      <c r="J1053" s="2">
        <f>INDEX(Positions!$A:$A,MATCH(E1053,Positions!$B:$B,0))</f>
        <v>17</v>
      </c>
      <c r="K1053" s="2">
        <f>INDEX(Locations!$A:$A,MATCH(I1053,Locations!$B:$B,0))</f>
        <v>1</v>
      </c>
    </row>
    <row r="1054" spans="1:11" x14ac:dyDescent="0.2">
      <c r="A1054" s="3">
        <v>1053</v>
      </c>
      <c r="B1054" t="s">
        <v>63</v>
      </c>
      <c r="C1054" t="s">
        <v>505</v>
      </c>
      <c r="D1054" s="1">
        <v>35482</v>
      </c>
      <c r="E1054" t="s">
        <v>1675</v>
      </c>
      <c r="F1054">
        <v>4</v>
      </c>
      <c r="G1054" t="s">
        <v>1676</v>
      </c>
      <c r="H1054" s="2">
        <v>1050</v>
      </c>
      <c r="I1054" t="s">
        <v>50</v>
      </c>
      <c r="J1054" s="2">
        <f>INDEX(Positions!$A:$A,MATCH(E1054,Positions!$B:$B,0))</f>
        <v>65</v>
      </c>
      <c r="K1054" s="2">
        <f>INDEX(Locations!$A:$A,MATCH(I1054,Locations!$B:$B,0))</f>
        <v>1</v>
      </c>
    </row>
    <row r="1055" spans="1:11" x14ac:dyDescent="0.2">
      <c r="A1055" s="3">
        <v>1054</v>
      </c>
      <c r="B1055" t="s">
        <v>381</v>
      </c>
      <c r="C1055" t="s">
        <v>336</v>
      </c>
      <c r="D1055" s="1">
        <v>28706</v>
      </c>
      <c r="E1055" t="s">
        <v>1677</v>
      </c>
      <c r="F1055">
        <v>7</v>
      </c>
      <c r="G1055" t="s">
        <v>1678</v>
      </c>
      <c r="H1055" s="2">
        <v>1050</v>
      </c>
      <c r="I1055" t="s">
        <v>50</v>
      </c>
      <c r="J1055" s="2">
        <f>INDEX(Positions!$A:$A,MATCH(E1055,Positions!$B:$B,0))</f>
        <v>103</v>
      </c>
      <c r="K1055" s="2">
        <f>INDEX(Locations!$A:$A,MATCH(I1055,Locations!$B:$B,0))</f>
        <v>1</v>
      </c>
    </row>
    <row r="1056" spans="1:11" x14ac:dyDescent="0.2">
      <c r="A1056" s="3">
        <v>1055</v>
      </c>
      <c r="B1056" t="s">
        <v>409</v>
      </c>
      <c r="C1056" t="s">
        <v>789</v>
      </c>
      <c r="D1056" s="1">
        <v>31462</v>
      </c>
      <c r="E1056" t="s">
        <v>1679</v>
      </c>
      <c r="F1056">
        <v>6</v>
      </c>
      <c r="G1056" t="s">
        <v>1680</v>
      </c>
      <c r="H1056" s="2">
        <v>1054</v>
      </c>
      <c r="I1056" t="s">
        <v>50</v>
      </c>
      <c r="J1056" s="2">
        <f>INDEX(Positions!$A:$A,MATCH(E1056,Positions!$B:$B,0))</f>
        <v>83</v>
      </c>
      <c r="K1056" s="2">
        <f>INDEX(Locations!$A:$A,MATCH(I1056,Locations!$B:$B,0))</f>
        <v>1</v>
      </c>
    </row>
    <row r="1057" spans="1:11" x14ac:dyDescent="0.2">
      <c r="A1057" s="3">
        <v>1056</v>
      </c>
      <c r="B1057" t="s">
        <v>185</v>
      </c>
      <c r="C1057" t="s">
        <v>467</v>
      </c>
      <c r="D1057" s="1">
        <v>35871</v>
      </c>
      <c r="E1057" t="s">
        <v>1675</v>
      </c>
      <c r="F1057">
        <v>4</v>
      </c>
      <c r="G1057" t="s">
        <v>1681</v>
      </c>
      <c r="H1057" s="2">
        <v>1055</v>
      </c>
      <c r="I1057" t="s">
        <v>50</v>
      </c>
      <c r="J1057" s="2">
        <f>INDEX(Positions!$A:$A,MATCH(E1057,Positions!$B:$B,0))</f>
        <v>65</v>
      </c>
      <c r="K1057" s="2">
        <f>INDEX(Locations!$A:$A,MATCH(I1057,Locations!$B:$B,0))</f>
        <v>1</v>
      </c>
    </row>
    <row r="1058" spans="1:11" x14ac:dyDescent="0.2">
      <c r="A1058" s="3">
        <v>1057</v>
      </c>
      <c r="B1058" t="s">
        <v>71</v>
      </c>
      <c r="C1058" t="s">
        <v>276</v>
      </c>
      <c r="D1058" s="1">
        <v>34278</v>
      </c>
      <c r="E1058" t="s">
        <v>1675</v>
      </c>
      <c r="F1058">
        <v>4</v>
      </c>
      <c r="G1058" t="s">
        <v>1682</v>
      </c>
      <c r="H1058" s="2">
        <v>1055</v>
      </c>
      <c r="I1058" t="s">
        <v>50</v>
      </c>
      <c r="J1058" s="2">
        <f>INDEX(Positions!$A:$A,MATCH(E1058,Positions!$B:$B,0))</f>
        <v>65</v>
      </c>
      <c r="K1058" s="2">
        <f>INDEX(Locations!$A:$A,MATCH(I1058,Locations!$B:$B,0))</f>
        <v>1</v>
      </c>
    </row>
    <row r="1059" spans="1:11" x14ac:dyDescent="0.2">
      <c r="A1059" s="3">
        <v>1058</v>
      </c>
      <c r="B1059" t="s">
        <v>110</v>
      </c>
      <c r="C1059" t="s">
        <v>286</v>
      </c>
      <c r="D1059" s="1">
        <v>30424</v>
      </c>
      <c r="E1059" t="s">
        <v>1679</v>
      </c>
      <c r="F1059">
        <v>6</v>
      </c>
      <c r="G1059" t="s">
        <v>1683</v>
      </c>
      <c r="H1059" s="2">
        <v>1054</v>
      </c>
      <c r="I1059" t="s">
        <v>1375</v>
      </c>
      <c r="J1059" s="2">
        <f>INDEX(Positions!$A:$A,MATCH(E1059,Positions!$B:$B,0))</f>
        <v>83</v>
      </c>
      <c r="K1059" s="2">
        <f>INDEX(Locations!$A:$A,MATCH(I1059,Locations!$B:$B,0))</f>
        <v>12</v>
      </c>
    </row>
    <row r="1060" spans="1:11" x14ac:dyDescent="0.2">
      <c r="A1060" s="3">
        <v>1059</v>
      </c>
      <c r="B1060" t="s">
        <v>351</v>
      </c>
      <c r="C1060" t="s">
        <v>208</v>
      </c>
      <c r="D1060" s="1">
        <v>34078</v>
      </c>
      <c r="E1060" t="s">
        <v>1671</v>
      </c>
      <c r="F1060">
        <v>3</v>
      </c>
      <c r="G1060" t="s">
        <v>1684</v>
      </c>
      <c r="H1060" s="2">
        <v>1058</v>
      </c>
      <c r="I1060" t="s">
        <v>1375</v>
      </c>
      <c r="J1060" s="2">
        <f>INDEX(Positions!$A:$A,MATCH(E1060,Positions!$B:$B,0))</f>
        <v>38</v>
      </c>
      <c r="K1060" s="2">
        <f>INDEX(Locations!$A:$A,MATCH(I1060,Locations!$B:$B,0))</f>
        <v>12</v>
      </c>
    </row>
    <row r="1061" spans="1:11" x14ac:dyDescent="0.2">
      <c r="A1061" s="3">
        <v>1060</v>
      </c>
      <c r="B1061" t="s">
        <v>102</v>
      </c>
      <c r="C1061" t="s">
        <v>134</v>
      </c>
      <c r="D1061" s="1">
        <v>35704</v>
      </c>
      <c r="E1061" t="s">
        <v>1673</v>
      </c>
      <c r="F1061">
        <v>2</v>
      </c>
      <c r="G1061" t="s">
        <v>1685</v>
      </c>
      <c r="H1061" s="2">
        <v>1055</v>
      </c>
      <c r="I1061" t="s">
        <v>50</v>
      </c>
      <c r="J1061" s="2">
        <f>INDEX(Positions!$A:$A,MATCH(E1061,Positions!$B:$B,0))</f>
        <v>17</v>
      </c>
      <c r="K1061" s="2">
        <f>INDEX(Locations!$A:$A,MATCH(I1061,Locations!$B:$B,0))</f>
        <v>1</v>
      </c>
    </row>
    <row r="1062" spans="1:11" x14ac:dyDescent="0.2">
      <c r="A1062" s="3">
        <v>1061</v>
      </c>
      <c r="B1062" t="s">
        <v>364</v>
      </c>
      <c r="C1062" t="s">
        <v>123</v>
      </c>
      <c r="D1062" s="1">
        <v>36636</v>
      </c>
      <c r="E1062" t="s">
        <v>1671</v>
      </c>
      <c r="F1062">
        <v>3</v>
      </c>
      <c r="G1062" t="s">
        <v>1686</v>
      </c>
      <c r="H1062" s="2">
        <v>1055</v>
      </c>
      <c r="I1062" t="s">
        <v>50</v>
      </c>
      <c r="J1062" s="2">
        <f>INDEX(Positions!$A:$A,MATCH(E1062,Positions!$B:$B,0))</f>
        <v>38</v>
      </c>
      <c r="K1062" s="2">
        <f>INDEX(Locations!$A:$A,MATCH(I1062,Locations!$B:$B,0))</f>
        <v>1</v>
      </c>
    </row>
    <row r="1063" spans="1:11" x14ac:dyDescent="0.2">
      <c r="A1063" s="3">
        <v>1062</v>
      </c>
      <c r="B1063" t="s">
        <v>178</v>
      </c>
      <c r="C1063" t="s">
        <v>550</v>
      </c>
      <c r="D1063" s="1">
        <v>36573</v>
      </c>
      <c r="E1063" t="s">
        <v>1673</v>
      </c>
      <c r="F1063">
        <v>2</v>
      </c>
      <c r="G1063" t="s">
        <v>1687</v>
      </c>
      <c r="H1063" s="2">
        <v>1055</v>
      </c>
      <c r="I1063" t="s">
        <v>50</v>
      </c>
      <c r="J1063" s="2">
        <f>INDEX(Positions!$A:$A,MATCH(E1063,Positions!$B:$B,0))</f>
        <v>17</v>
      </c>
      <c r="K1063" s="2">
        <f>INDEX(Locations!$A:$A,MATCH(I1063,Locations!$B:$B,0))</f>
        <v>1</v>
      </c>
    </row>
    <row r="1064" spans="1:11" x14ac:dyDescent="0.2">
      <c r="A1064" s="3">
        <v>1063</v>
      </c>
      <c r="B1064" t="s">
        <v>387</v>
      </c>
      <c r="C1064" t="s">
        <v>493</v>
      </c>
      <c r="D1064" s="1">
        <v>35453</v>
      </c>
      <c r="E1064" t="s">
        <v>1671</v>
      </c>
      <c r="F1064">
        <v>3</v>
      </c>
      <c r="G1064" t="s">
        <v>1688</v>
      </c>
      <c r="H1064" s="2">
        <v>1055</v>
      </c>
      <c r="I1064" t="s">
        <v>50</v>
      </c>
      <c r="J1064" s="2">
        <f>INDEX(Positions!$A:$A,MATCH(E1064,Positions!$B:$B,0))</f>
        <v>38</v>
      </c>
      <c r="K1064" s="2">
        <f>INDEX(Locations!$A:$A,MATCH(I1064,Locations!$B:$B,0))</f>
        <v>1</v>
      </c>
    </row>
    <row r="1065" spans="1:11" x14ac:dyDescent="0.2">
      <c r="A1065" s="3">
        <v>1064</v>
      </c>
      <c r="B1065" t="s">
        <v>319</v>
      </c>
      <c r="C1065" t="s">
        <v>434</v>
      </c>
      <c r="D1065" s="1">
        <v>32951</v>
      </c>
      <c r="E1065" t="s">
        <v>1675</v>
      </c>
      <c r="F1065">
        <v>4</v>
      </c>
      <c r="G1065" t="s">
        <v>1689</v>
      </c>
      <c r="H1065" s="2">
        <v>1058</v>
      </c>
      <c r="I1065" t="s">
        <v>1375</v>
      </c>
      <c r="J1065" s="2">
        <f>INDEX(Positions!$A:$A,MATCH(E1065,Positions!$B:$B,0))</f>
        <v>65</v>
      </c>
      <c r="K1065" s="2">
        <f>INDEX(Locations!$A:$A,MATCH(I1065,Locations!$B:$B,0))</f>
        <v>12</v>
      </c>
    </row>
    <row r="1066" spans="1:11" x14ac:dyDescent="0.2">
      <c r="A1066" s="3">
        <v>1065</v>
      </c>
      <c r="B1066" t="s">
        <v>328</v>
      </c>
      <c r="C1066" t="s">
        <v>531</v>
      </c>
      <c r="D1066" s="1">
        <v>35890</v>
      </c>
      <c r="E1066" t="s">
        <v>1675</v>
      </c>
      <c r="F1066">
        <v>4</v>
      </c>
      <c r="G1066" t="s">
        <v>1690</v>
      </c>
      <c r="H1066" s="2">
        <v>1055</v>
      </c>
      <c r="I1066" t="s">
        <v>50</v>
      </c>
      <c r="J1066" s="2">
        <f>INDEX(Positions!$A:$A,MATCH(E1066,Positions!$B:$B,0))</f>
        <v>65</v>
      </c>
      <c r="K1066" s="2">
        <f>INDEX(Locations!$A:$A,MATCH(I1066,Locations!$B:$B,0))</f>
        <v>1</v>
      </c>
    </row>
    <row r="1067" spans="1:11" x14ac:dyDescent="0.2">
      <c r="A1067" s="3">
        <v>1066</v>
      </c>
      <c r="B1067" t="s">
        <v>579</v>
      </c>
      <c r="C1067" t="s">
        <v>192</v>
      </c>
      <c r="D1067" s="1">
        <v>34191</v>
      </c>
      <c r="E1067" t="s">
        <v>1671</v>
      </c>
      <c r="F1067">
        <v>3</v>
      </c>
      <c r="G1067" t="s">
        <v>1691</v>
      </c>
      <c r="H1067" s="2">
        <v>1058</v>
      </c>
      <c r="I1067" t="s">
        <v>1375</v>
      </c>
      <c r="J1067" s="2">
        <f>INDEX(Positions!$A:$A,MATCH(E1067,Positions!$B:$B,0))</f>
        <v>38</v>
      </c>
      <c r="K1067" s="2">
        <f>INDEX(Locations!$A:$A,MATCH(I1067,Locations!$B:$B,0))</f>
        <v>12</v>
      </c>
    </row>
    <row r="1068" spans="1:11" x14ac:dyDescent="0.2">
      <c r="A1068" s="3">
        <v>1067</v>
      </c>
      <c r="B1068" t="s">
        <v>473</v>
      </c>
      <c r="C1068" t="s">
        <v>363</v>
      </c>
      <c r="D1068" s="1">
        <v>33648</v>
      </c>
      <c r="E1068" t="s">
        <v>1671</v>
      </c>
      <c r="F1068">
        <v>3</v>
      </c>
      <c r="G1068" t="s">
        <v>1692</v>
      </c>
      <c r="H1068" s="2">
        <v>1055</v>
      </c>
      <c r="I1068" t="s">
        <v>50</v>
      </c>
      <c r="J1068" s="2">
        <f>INDEX(Positions!$A:$A,MATCH(E1068,Positions!$B:$B,0))</f>
        <v>38</v>
      </c>
      <c r="K1068" s="2">
        <f>INDEX(Locations!$A:$A,MATCH(I1068,Locations!$B:$B,0))</f>
        <v>1</v>
      </c>
    </row>
    <row r="1069" spans="1:11" x14ac:dyDescent="0.2">
      <c r="A1069" s="3">
        <v>1068</v>
      </c>
      <c r="B1069" t="s">
        <v>746</v>
      </c>
      <c r="C1069" t="s">
        <v>195</v>
      </c>
      <c r="D1069" s="1">
        <v>36442</v>
      </c>
      <c r="E1069" t="s">
        <v>1673</v>
      </c>
      <c r="F1069">
        <v>2</v>
      </c>
      <c r="G1069" t="s">
        <v>1693</v>
      </c>
      <c r="H1069" s="2">
        <v>1058</v>
      </c>
      <c r="I1069" t="s">
        <v>1375</v>
      </c>
      <c r="J1069" s="2">
        <f>INDEX(Positions!$A:$A,MATCH(E1069,Positions!$B:$B,0))</f>
        <v>17</v>
      </c>
      <c r="K1069" s="2">
        <f>INDEX(Locations!$A:$A,MATCH(I1069,Locations!$B:$B,0))</f>
        <v>12</v>
      </c>
    </row>
    <row r="1070" spans="1:11" x14ac:dyDescent="0.2">
      <c r="A1070" s="3">
        <v>1069</v>
      </c>
      <c r="B1070" t="s">
        <v>257</v>
      </c>
      <c r="C1070" t="s">
        <v>529</v>
      </c>
      <c r="D1070" s="1">
        <v>31495</v>
      </c>
      <c r="E1070" t="s">
        <v>1679</v>
      </c>
      <c r="F1070">
        <v>6</v>
      </c>
      <c r="G1070" t="s">
        <v>1694</v>
      </c>
      <c r="H1070" s="2">
        <v>1054</v>
      </c>
      <c r="I1070" t="s">
        <v>50</v>
      </c>
      <c r="J1070" s="2">
        <f>INDEX(Positions!$A:$A,MATCH(E1070,Positions!$B:$B,0))</f>
        <v>83</v>
      </c>
      <c r="K1070" s="2">
        <f>INDEX(Locations!$A:$A,MATCH(I1070,Locations!$B:$B,0))</f>
        <v>1</v>
      </c>
    </row>
    <row r="1071" spans="1:11" x14ac:dyDescent="0.2">
      <c r="A1071" s="3">
        <v>1070</v>
      </c>
      <c r="B1071" t="s">
        <v>183</v>
      </c>
      <c r="C1071" t="s">
        <v>108</v>
      </c>
      <c r="D1071" s="1">
        <v>32004</v>
      </c>
      <c r="E1071" t="s">
        <v>1671</v>
      </c>
      <c r="F1071">
        <v>3</v>
      </c>
      <c r="G1071" t="s">
        <v>1695</v>
      </c>
      <c r="H1071" s="2">
        <v>1069</v>
      </c>
      <c r="I1071" t="s">
        <v>50</v>
      </c>
      <c r="J1071" s="2">
        <f>INDEX(Positions!$A:$A,MATCH(E1071,Positions!$B:$B,0))</f>
        <v>38</v>
      </c>
      <c r="K1071" s="2">
        <f>INDEX(Locations!$A:$A,MATCH(I1071,Locations!$B:$B,0))</f>
        <v>1</v>
      </c>
    </row>
    <row r="1072" spans="1:11" x14ac:dyDescent="0.2">
      <c r="A1072" s="3">
        <v>1071</v>
      </c>
      <c r="B1072" t="s">
        <v>358</v>
      </c>
      <c r="C1072" t="s">
        <v>240</v>
      </c>
      <c r="D1072" s="1">
        <v>33560</v>
      </c>
      <c r="E1072" t="s">
        <v>1675</v>
      </c>
      <c r="F1072">
        <v>4</v>
      </c>
      <c r="G1072" t="s">
        <v>1696</v>
      </c>
      <c r="H1072" s="2">
        <v>1069</v>
      </c>
      <c r="I1072" t="s">
        <v>50</v>
      </c>
      <c r="J1072" s="2">
        <f>INDEX(Positions!$A:$A,MATCH(E1072,Positions!$B:$B,0))</f>
        <v>65</v>
      </c>
      <c r="K1072" s="2">
        <f>INDEX(Locations!$A:$A,MATCH(I1072,Locations!$B:$B,0))</f>
        <v>1</v>
      </c>
    </row>
    <row r="1073" spans="1:11" x14ac:dyDescent="0.2">
      <c r="A1073" s="3">
        <v>1072</v>
      </c>
      <c r="B1073" t="s">
        <v>191</v>
      </c>
      <c r="C1073" t="s">
        <v>123</v>
      </c>
      <c r="D1073" s="1">
        <v>37143</v>
      </c>
      <c r="E1073" t="s">
        <v>1675</v>
      </c>
      <c r="F1073">
        <v>4</v>
      </c>
      <c r="G1073" t="s">
        <v>1697</v>
      </c>
      <c r="H1073" s="2">
        <v>1069</v>
      </c>
      <c r="I1073" t="s">
        <v>50</v>
      </c>
      <c r="J1073" s="2">
        <f>INDEX(Positions!$A:$A,MATCH(E1073,Positions!$B:$B,0))</f>
        <v>65</v>
      </c>
      <c r="K1073" s="2">
        <f>INDEX(Locations!$A:$A,MATCH(I1073,Locations!$B:$B,0))</f>
        <v>1</v>
      </c>
    </row>
    <row r="1074" spans="1:11" x14ac:dyDescent="0.2">
      <c r="A1074" s="3">
        <v>1073</v>
      </c>
      <c r="B1074" t="s">
        <v>417</v>
      </c>
      <c r="C1074" t="s">
        <v>111</v>
      </c>
      <c r="D1074" s="1">
        <v>36822</v>
      </c>
      <c r="E1074" t="s">
        <v>1671</v>
      </c>
      <c r="F1074">
        <v>3</v>
      </c>
      <c r="G1074" t="s">
        <v>1698</v>
      </c>
      <c r="H1074" s="2">
        <v>1069</v>
      </c>
      <c r="I1074" t="s">
        <v>50</v>
      </c>
      <c r="J1074" s="2">
        <f>INDEX(Positions!$A:$A,MATCH(E1074,Positions!$B:$B,0))</f>
        <v>38</v>
      </c>
      <c r="K1074" s="2">
        <f>INDEX(Locations!$A:$A,MATCH(I1074,Locations!$B:$B,0))</f>
        <v>1</v>
      </c>
    </row>
    <row r="1075" spans="1:11" x14ac:dyDescent="0.2">
      <c r="A1075" s="3">
        <v>1074</v>
      </c>
      <c r="B1075" t="s">
        <v>461</v>
      </c>
      <c r="C1075" t="s">
        <v>164</v>
      </c>
      <c r="D1075" s="1">
        <v>34968</v>
      </c>
      <c r="E1075" t="s">
        <v>1675</v>
      </c>
      <c r="F1075">
        <v>4</v>
      </c>
      <c r="G1075" t="s">
        <v>1699</v>
      </c>
      <c r="H1075" s="2">
        <v>1069</v>
      </c>
      <c r="I1075" t="s">
        <v>50</v>
      </c>
      <c r="J1075" s="2">
        <f>INDEX(Positions!$A:$A,MATCH(E1075,Positions!$B:$B,0))</f>
        <v>65</v>
      </c>
      <c r="K1075" s="2">
        <f>INDEX(Locations!$A:$A,MATCH(I1075,Locations!$B:$B,0))</f>
        <v>1</v>
      </c>
    </row>
    <row r="1076" spans="1:11" x14ac:dyDescent="0.2">
      <c r="A1076" s="3">
        <v>1075</v>
      </c>
      <c r="B1076" t="s">
        <v>444</v>
      </c>
      <c r="C1076" t="s">
        <v>214</v>
      </c>
      <c r="D1076" s="1">
        <v>38512</v>
      </c>
      <c r="E1076" t="s">
        <v>1673</v>
      </c>
      <c r="F1076">
        <v>2</v>
      </c>
      <c r="G1076" t="s">
        <v>1700</v>
      </c>
      <c r="H1076" s="2">
        <v>1069</v>
      </c>
      <c r="I1076" t="s">
        <v>50</v>
      </c>
      <c r="J1076" s="2">
        <f>INDEX(Positions!$A:$A,MATCH(E1076,Positions!$B:$B,0))</f>
        <v>17</v>
      </c>
      <c r="K1076" s="2">
        <f>INDEX(Locations!$A:$A,MATCH(I1076,Locations!$B:$B,0))</f>
        <v>1</v>
      </c>
    </row>
    <row r="1077" spans="1:11" x14ac:dyDescent="0.2">
      <c r="A1077" s="3">
        <v>1076</v>
      </c>
      <c r="B1077" t="s">
        <v>537</v>
      </c>
      <c r="C1077" t="s">
        <v>117</v>
      </c>
      <c r="D1077" s="1">
        <v>33857</v>
      </c>
      <c r="E1077" t="s">
        <v>1671</v>
      </c>
      <c r="F1077">
        <v>3</v>
      </c>
      <c r="G1077" t="s">
        <v>1701</v>
      </c>
      <c r="H1077" s="2">
        <v>1069</v>
      </c>
      <c r="I1077" t="s">
        <v>50</v>
      </c>
      <c r="J1077" s="2">
        <f>INDEX(Positions!$A:$A,MATCH(E1077,Positions!$B:$B,0))</f>
        <v>38</v>
      </c>
      <c r="K1077" s="2">
        <f>INDEX(Locations!$A:$A,MATCH(I1077,Locations!$B:$B,0))</f>
        <v>1</v>
      </c>
    </row>
    <row r="1078" spans="1:11" x14ac:dyDescent="0.2">
      <c r="A1078" s="3">
        <v>1077</v>
      </c>
      <c r="B1078" t="s">
        <v>189</v>
      </c>
      <c r="C1078" t="s">
        <v>456</v>
      </c>
      <c r="D1078" s="1">
        <v>37243</v>
      </c>
      <c r="E1078" t="s">
        <v>1671</v>
      </c>
      <c r="F1078">
        <v>3</v>
      </c>
      <c r="G1078" t="s">
        <v>1702</v>
      </c>
      <c r="H1078" s="2">
        <v>1069</v>
      </c>
      <c r="I1078" t="s">
        <v>50</v>
      </c>
      <c r="J1078" s="2">
        <f>INDEX(Positions!$A:$A,MATCH(E1078,Positions!$B:$B,0))</f>
        <v>38</v>
      </c>
      <c r="K1078" s="2">
        <f>INDEX(Locations!$A:$A,MATCH(I1078,Locations!$B:$B,0))</f>
        <v>1</v>
      </c>
    </row>
    <row r="1079" spans="1:11" x14ac:dyDescent="0.2">
      <c r="A1079" s="3">
        <v>1078</v>
      </c>
      <c r="B1079" t="s">
        <v>257</v>
      </c>
      <c r="C1079" t="s">
        <v>395</v>
      </c>
      <c r="D1079" s="1">
        <v>29744</v>
      </c>
      <c r="E1079" t="s">
        <v>1703</v>
      </c>
      <c r="F1079">
        <v>7</v>
      </c>
      <c r="G1079" t="s">
        <v>1704</v>
      </c>
      <c r="H1079" s="2">
        <v>1050</v>
      </c>
      <c r="I1079" t="s">
        <v>50</v>
      </c>
      <c r="J1079" s="2">
        <f>INDEX(Positions!$A:$A,MATCH(E1079,Positions!$B:$B,0))</f>
        <v>93</v>
      </c>
      <c r="K1079" s="2">
        <f>INDEX(Locations!$A:$A,MATCH(I1079,Locations!$B:$B,0))</f>
        <v>1</v>
      </c>
    </row>
    <row r="1080" spans="1:11" x14ac:dyDescent="0.2">
      <c r="A1080" s="3">
        <v>1079</v>
      </c>
      <c r="B1080" t="s">
        <v>93</v>
      </c>
      <c r="C1080" t="s">
        <v>488</v>
      </c>
      <c r="D1080" s="1">
        <v>32163</v>
      </c>
      <c r="E1080" t="s">
        <v>1705</v>
      </c>
      <c r="F1080">
        <v>4</v>
      </c>
      <c r="G1080" t="s">
        <v>1706</v>
      </c>
      <c r="H1080" s="2">
        <v>1078</v>
      </c>
      <c r="I1080" t="s">
        <v>50</v>
      </c>
      <c r="J1080" s="2">
        <f>INDEX(Positions!$A:$A,MATCH(E1080,Positions!$B:$B,0))</f>
        <v>62</v>
      </c>
      <c r="K1080" s="2">
        <f>INDEX(Locations!$A:$A,MATCH(I1080,Locations!$B:$B,0))</f>
        <v>1</v>
      </c>
    </row>
    <row r="1081" spans="1:11" x14ac:dyDescent="0.2">
      <c r="A1081" s="3">
        <v>1080</v>
      </c>
      <c r="B1081" t="s">
        <v>114</v>
      </c>
      <c r="C1081" t="s">
        <v>363</v>
      </c>
      <c r="D1081" s="1">
        <v>27594</v>
      </c>
      <c r="E1081" t="s">
        <v>1707</v>
      </c>
      <c r="F1081">
        <v>6</v>
      </c>
      <c r="G1081" t="s">
        <v>1708</v>
      </c>
      <c r="H1081" s="2">
        <v>1078</v>
      </c>
      <c r="I1081" t="s">
        <v>50</v>
      </c>
      <c r="J1081" s="2">
        <f>INDEX(Positions!$A:$A,MATCH(E1081,Positions!$B:$B,0))</f>
        <v>79</v>
      </c>
      <c r="K1081" s="2">
        <f>INDEX(Locations!$A:$A,MATCH(I1081,Locations!$B:$B,0))</f>
        <v>1</v>
      </c>
    </row>
    <row r="1082" spans="1:11" x14ac:dyDescent="0.2">
      <c r="A1082" s="3">
        <v>1081</v>
      </c>
      <c r="B1082" t="s">
        <v>436</v>
      </c>
      <c r="C1082" t="s">
        <v>480</v>
      </c>
      <c r="D1082" s="1">
        <v>34945</v>
      </c>
      <c r="E1082" t="s">
        <v>1709</v>
      </c>
      <c r="F1082">
        <v>2</v>
      </c>
      <c r="G1082" t="s">
        <v>1710</v>
      </c>
      <c r="H1082" s="2">
        <v>1084</v>
      </c>
      <c r="I1082" t="s">
        <v>50</v>
      </c>
      <c r="J1082" s="2">
        <f>INDEX(Positions!$A:$A,MATCH(E1082,Positions!$B:$B,0))</f>
        <v>10</v>
      </c>
      <c r="K1082" s="2">
        <f>INDEX(Locations!$A:$A,MATCH(I1082,Locations!$B:$B,0))</f>
        <v>1</v>
      </c>
    </row>
    <row r="1083" spans="1:11" x14ac:dyDescent="0.2">
      <c r="A1083" s="3">
        <v>1082</v>
      </c>
      <c r="B1083" t="s">
        <v>86</v>
      </c>
      <c r="C1083" t="s">
        <v>249</v>
      </c>
      <c r="D1083" s="1">
        <v>33511</v>
      </c>
      <c r="E1083" t="s">
        <v>1711</v>
      </c>
      <c r="F1083">
        <v>2</v>
      </c>
      <c r="G1083" t="s">
        <v>1712</v>
      </c>
      <c r="H1083" s="2">
        <v>1084</v>
      </c>
      <c r="I1083" t="s">
        <v>50</v>
      </c>
      <c r="J1083" s="2">
        <f>INDEX(Positions!$A:$A,MATCH(E1083,Positions!$B:$B,0))</f>
        <v>11</v>
      </c>
      <c r="K1083" s="2">
        <f>INDEX(Locations!$A:$A,MATCH(I1083,Locations!$B:$B,0))</f>
        <v>1</v>
      </c>
    </row>
    <row r="1084" spans="1:11" x14ac:dyDescent="0.2">
      <c r="A1084" s="3">
        <v>1083</v>
      </c>
      <c r="B1084" t="s">
        <v>296</v>
      </c>
      <c r="C1084" t="s">
        <v>126</v>
      </c>
      <c r="D1084" s="1">
        <v>36482</v>
      </c>
      <c r="E1084" t="s">
        <v>1713</v>
      </c>
      <c r="F1084">
        <v>3</v>
      </c>
      <c r="G1084" t="s">
        <v>1714</v>
      </c>
      <c r="H1084" s="2">
        <v>1084</v>
      </c>
      <c r="I1084" t="s">
        <v>50</v>
      </c>
      <c r="J1084" s="2">
        <f>INDEX(Positions!$A:$A,MATCH(E1084,Positions!$B:$B,0))</f>
        <v>51</v>
      </c>
      <c r="K1084" s="2">
        <f>INDEX(Locations!$A:$A,MATCH(I1084,Locations!$B:$B,0))</f>
        <v>1</v>
      </c>
    </row>
    <row r="1085" spans="1:11" x14ac:dyDescent="0.2">
      <c r="A1085" s="3">
        <v>1084</v>
      </c>
      <c r="B1085" t="s">
        <v>78</v>
      </c>
      <c r="C1085" t="s">
        <v>363</v>
      </c>
      <c r="D1085" s="1">
        <v>33506</v>
      </c>
      <c r="E1085" t="s">
        <v>1715</v>
      </c>
      <c r="F1085">
        <v>5</v>
      </c>
      <c r="G1085" t="s">
        <v>1716</v>
      </c>
      <c r="H1085" s="2">
        <v>1080</v>
      </c>
      <c r="I1085" t="s">
        <v>50</v>
      </c>
      <c r="J1085" s="2">
        <f>INDEX(Positions!$A:$A,MATCH(E1085,Positions!$B:$B,0))</f>
        <v>70</v>
      </c>
      <c r="K1085" s="2">
        <f>INDEX(Locations!$A:$A,MATCH(I1085,Locations!$B:$B,0))</f>
        <v>1</v>
      </c>
    </row>
    <row r="1086" spans="1:11" x14ac:dyDescent="0.2">
      <c r="A1086" s="3">
        <v>1085</v>
      </c>
      <c r="B1086" t="s">
        <v>167</v>
      </c>
      <c r="C1086" t="s">
        <v>228</v>
      </c>
      <c r="D1086" s="1">
        <v>35356</v>
      </c>
      <c r="E1086" t="s">
        <v>1713</v>
      </c>
      <c r="F1086">
        <v>3</v>
      </c>
      <c r="G1086" t="s">
        <v>1717</v>
      </c>
      <c r="H1086" s="2">
        <v>1084</v>
      </c>
      <c r="I1086" t="s">
        <v>50</v>
      </c>
      <c r="J1086" s="2">
        <f>INDEX(Positions!$A:$A,MATCH(E1086,Positions!$B:$B,0))</f>
        <v>51</v>
      </c>
      <c r="K1086" s="2">
        <f>INDEX(Locations!$A:$A,MATCH(I1086,Locations!$B:$B,0))</f>
        <v>1</v>
      </c>
    </row>
    <row r="1087" spans="1:11" x14ac:dyDescent="0.2">
      <c r="A1087" s="3">
        <v>1086</v>
      </c>
      <c r="B1087" t="s">
        <v>55</v>
      </c>
      <c r="C1087" t="s">
        <v>350</v>
      </c>
      <c r="D1087" s="1">
        <v>35142</v>
      </c>
      <c r="E1087" t="s">
        <v>1705</v>
      </c>
      <c r="F1087">
        <v>4</v>
      </c>
      <c r="G1087" t="s">
        <v>1718</v>
      </c>
      <c r="H1087" s="2">
        <v>1084</v>
      </c>
      <c r="I1087" t="s">
        <v>1375</v>
      </c>
      <c r="J1087" s="2">
        <f>INDEX(Positions!$A:$A,MATCH(E1087,Positions!$B:$B,0))</f>
        <v>62</v>
      </c>
      <c r="K1087" s="2">
        <f>INDEX(Locations!$A:$A,MATCH(I1087,Locations!$B:$B,0))</f>
        <v>12</v>
      </c>
    </row>
    <row r="1088" spans="1:11" x14ac:dyDescent="0.2">
      <c r="A1088" s="3">
        <v>1087</v>
      </c>
      <c r="B1088" t="s">
        <v>250</v>
      </c>
      <c r="C1088" t="s">
        <v>1449</v>
      </c>
      <c r="D1088" s="1">
        <v>31294</v>
      </c>
      <c r="E1088" t="s">
        <v>1713</v>
      </c>
      <c r="F1088">
        <v>3</v>
      </c>
      <c r="G1088" t="s">
        <v>1719</v>
      </c>
      <c r="H1088" s="2">
        <v>1084</v>
      </c>
      <c r="I1088" t="s">
        <v>1375</v>
      </c>
      <c r="J1088" s="2">
        <f>INDEX(Positions!$A:$A,MATCH(E1088,Positions!$B:$B,0))</f>
        <v>51</v>
      </c>
      <c r="K1088" s="2">
        <f>INDEX(Locations!$A:$A,MATCH(I1088,Locations!$B:$B,0))</f>
        <v>12</v>
      </c>
    </row>
    <row r="1089" spans="1:11" x14ac:dyDescent="0.2">
      <c r="A1089" s="3">
        <v>1088</v>
      </c>
      <c r="B1089" t="s">
        <v>515</v>
      </c>
      <c r="C1089" t="s">
        <v>481</v>
      </c>
      <c r="D1089" s="1">
        <v>34241</v>
      </c>
      <c r="E1089" t="s">
        <v>1713</v>
      </c>
      <c r="F1089">
        <v>3</v>
      </c>
      <c r="G1089" t="s">
        <v>1720</v>
      </c>
      <c r="H1089" s="2">
        <v>1084</v>
      </c>
      <c r="I1089" t="s">
        <v>50</v>
      </c>
      <c r="J1089" s="2">
        <f>INDEX(Positions!$A:$A,MATCH(E1089,Positions!$B:$B,0))</f>
        <v>51</v>
      </c>
      <c r="K1089" s="2">
        <f>INDEX(Locations!$A:$A,MATCH(I1089,Locations!$B:$B,0))</f>
        <v>1</v>
      </c>
    </row>
    <row r="1090" spans="1:11" x14ac:dyDescent="0.2">
      <c r="A1090" s="3">
        <v>1089</v>
      </c>
      <c r="B1090" t="s">
        <v>185</v>
      </c>
      <c r="C1090" t="s">
        <v>493</v>
      </c>
      <c r="D1090" s="1">
        <v>33494</v>
      </c>
      <c r="E1090" t="s">
        <v>1721</v>
      </c>
      <c r="F1090">
        <v>3</v>
      </c>
      <c r="G1090" t="s">
        <v>1722</v>
      </c>
      <c r="H1090" s="2">
        <v>1084</v>
      </c>
      <c r="I1090" t="s">
        <v>50</v>
      </c>
      <c r="J1090" s="2">
        <f>INDEX(Positions!$A:$A,MATCH(E1090,Positions!$B:$B,0))</f>
        <v>46</v>
      </c>
      <c r="K1090" s="2">
        <f>INDEX(Locations!$A:$A,MATCH(I1090,Locations!$B:$B,0))</f>
        <v>1</v>
      </c>
    </row>
    <row r="1091" spans="1:11" x14ac:dyDescent="0.2">
      <c r="A1091" s="3">
        <v>1090</v>
      </c>
      <c r="B1091" t="s">
        <v>235</v>
      </c>
      <c r="C1091" t="s">
        <v>549</v>
      </c>
      <c r="D1091" s="1">
        <v>35866</v>
      </c>
      <c r="E1091" t="s">
        <v>1711</v>
      </c>
      <c r="F1091">
        <v>2</v>
      </c>
      <c r="G1091" t="s">
        <v>1723</v>
      </c>
      <c r="H1091" s="2">
        <v>1084</v>
      </c>
      <c r="I1091" t="s">
        <v>50</v>
      </c>
      <c r="J1091" s="2">
        <f>INDEX(Positions!$A:$A,MATCH(E1091,Positions!$B:$B,0))</f>
        <v>11</v>
      </c>
      <c r="K1091" s="2">
        <f>INDEX(Locations!$A:$A,MATCH(I1091,Locations!$B:$B,0))</f>
        <v>1</v>
      </c>
    </row>
    <row r="1092" spans="1:11" x14ac:dyDescent="0.2">
      <c r="A1092" s="3">
        <v>1091</v>
      </c>
      <c r="B1092" t="s">
        <v>46</v>
      </c>
      <c r="C1092" t="s">
        <v>382</v>
      </c>
      <c r="D1092" s="1">
        <v>35911</v>
      </c>
      <c r="E1092" t="s">
        <v>1705</v>
      </c>
      <c r="F1092">
        <v>4</v>
      </c>
      <c r="G1092" t="s">
        <v>1724</v>
      </c>
      <c r="H1092" s="2">
        <v>1084</v>
      </c>
      <c r="I1092" t="s">
        <v>1375</v>
      </c>
      <c r="J1092" s="2">
        <f>INDEX(Positions!$A:$A,MATCH(E1092,Positions!$B:$B,0))</f>
        <v>62</v>
      </c>
      <c r="K1092" s="2">
        <f>INDEX(Locations!$A:$A,MATCH(I1092,Locations!$B:$B,0))</f>
        <v>12</v>
      </c>
    </row>
    <row r="1093" spans="1:11" x14ac:dyDescent="0.2">
      <c r="A1093" s="3">
        <v>1092</v>
      </c>
      <c r="B1093" t="s">
        <v>259</v>
      </c>
      <c r="C1093" t="s">
        <v>170</v>
      </c>
      <c r="D1093" s="1">
        <v>38786</v>
      </c>
      <c r="E1093" t="s">
        <v>1711</v>
      </c>
      <c r="F1093">
        <v>2</v>
      </c>
      <c r="G1093" t="s">
        <v>1725</v>
      </c>
      <c r="H1093" s="2">
        <v>1084</v>
      </c>
      <c r="I1093" t="s">
        <v>1375</v>
      </c>
      <c r="J1093" s="2">
        <f>INDEX(Positions!$A:$A,MATCH(E1093,Positions!$B:$B,0))</f>
        <v>11</v>
      </c>
      <c r="K1093" s="2">
        <f>INDEX(Locations!$A:$A,MATCH(I1093,Locations!$B:$B,0))</f>
        <v>12</v>
      </c>
    </row>
    <row r="1094" spans="1:11" x14ac:dyDescent="0.2">
      <c r="A1094" s="3">
        <v>1093</v>
      </c>
      <c r="B1094" t="s">
        <v>244</v>
      </c>
      <c r="C1094" t="s">
        <v>507</v>
      </c>
      <c r="D1094" s="1">
        <v>32448</v>
      </c>
      <c r="E1094" t="s">
        <v>1713</v>
      </c>
      <c r="F1094">
        <v>3</v>
      </c>
      <c r="G1094" t="s">
        <v>1726</v>
      </c>
      <c r="H1094" s="2">
        <v>1084</v>
      </c>
      <c r="I1094" t="s">
        <v>50</v>
      </c>
      <c r="J1094" s="2">
        <f>INDEX(Positions!$A:$A,MATCH(E1094,Positions!$B:$B,0))</f>
        <v>51</v>
      </c>
      <c r="K1094" s="2">
        <f>INDEX(Locations!$A:$A,MATCH(I1094,Locations!$B:$B,0))</f>
        <v>1</v>
      </c>
    </row>
    <row r="1095" spans="1:11" x14ac:dyDescent="0.2">
      <c r="A1095" s="3">
        <v>1094</v>
      </c>
      <c r="B1095" t="s">
        <v>401</v>
      </c>
      <c r="C1095" t="s">
        <v>96</v>
      </c>
      <c r="D1095" s="1">
        <v>36689</v>
      </c>
      <c r="E1095" t="s">
        <v>1709</v>
      </c>
      <c r="F1095">
        <v>2</v>
      </c>
      <c r="G1095" t="s">
        <v>1727</v>
      </c>
      <c r="H1095" s="2">
        <v>1084</v>
      </c>
      <c r="I1095" t="s">
        <v>50</v>
      </c>
      <c r="J1095" s="2">
        <f>INDEX(Positions!$A:$A,MATCH(E1095,Positions!$B:$B,0))</f>
        <v>10</v>
      </c>
      <c r="K1095" s="2">
        <f>INDEX(Locations!$A:$A,MATCH(I1095,Locations!$B:$B,0))</f>
        <v>1</v>
      </c>
    </row>
    <row r="1096" spans="1:11" x14ac:dyDescent="0.2">
      <c r="A1096" s="3">
        <v>1095</v>
      </c>
      <c r="B1096" t="s">
        <v>273</v>
      </c>
      <c r="C1096" t="s">
        <v>403</v>
      </c>
      <c r="D1096" s="1">
        <v>35972</v>
      </c>
      <c r="E1096" t="s">
        <v>1713</v>
      </c>
      <c r="F1096">
        <v>3</v>
      </c>
      <c r="G1096" t="s">
        <v>1728</v>
      </c>
      <c r="H1096" s="2">
        <v>1084</v>
      </c>
      <c r="I1096" t="s">
        <v>50</v>
      </c>
      <c r="J1096" s="2">
        <f>INDEX(Positions!$A:$A,MATCH(E1096,Positions!$B:$B,0))</f>
        <v>51</v>
      </c>
      <c r="K1096" s="2">
        <f>INDEX(Locations!$A:$A,MATCH(I1096,Locations!$B:$B,0))</f>
        <v>1</v>
      </c>
    </row>
    <row r="1097" spans="1:11" x14ac:dyDescent="0.2">
      <c r="A1097" s="3">
        <v>1096</v>
      </c>
      <c r="B1097" t="s">
        <v>1010</v>
      </c>
      <c r="C1097" t="s">
        <v>344</v>
      </c>
      <c r="D1097" s="1">
        <v>36471</v>
      </c>
      <c r="E1097" t="s">
        <v>1713</v>
      </c>
      <c r="F1097">
        <v>3</v>
      </c>
      <c r="G1097" t="s">
        <v>1729</v>
      </c>
      <c r="H1097" s="2">
        <v>1084</v>
      </c>
      <c r="I1097" t="s">
        <v>50</v>
      </c>
      <c r="J1097" s="2">
        <f>INDEX(Positions!$A:$A,MATCH(E1097,Positions!$B:$B,0))</f>
        <v>51</v>
      </c>
      <c r="K1097" s="2">
        <f>INDEX(Locations!$A:$A,MATCH(I1097,Locations!$B:$B,0))</f>
        <v>1</v>
      </c>
    </row>
    <row r="1098" spans="1:11" x14ac:dyDescent="0.2">
      <c r="A1098" s="3">
        <v>1097</v>
      </c>
      <c r="B1098" t="s">
        <v>444</v>
      </c>
      <c r="C1098" t="s">
        <v>430</v>
      </c>
      <c r="D1098" s="1">
        <v>38760</v>
      </c>
      <c r="E1098" t="s">
        <v>1709</v>
      </c>
      <c r="F1098">
        <v>2</v>
      </c>
      <c r="G1098" t="s">
        <v>1730</v>
      </c>
      <c r="H1098" s="2">
        <v>1084</v>
      </c>
      <c r="I1098" t="s">
        <v>50</v>
      </c>
      <c r="J1098" s="2">
        <f>INDEX(Positions!$A:$A,MATCH(E1098,Positions!$B:$B,0))</f>
        <v>10</v>
      </c>
      <c r="K1098" s="2">
        <f>INDEX(Locations!$A:$A,MATCH(I1098,Locations!$B:$B,0))</f>
        <v>1</v>
      </c>
    </row>
    <row r="1099" spans="1:11" x14ac:dyDescent="0.2">
      <c r="A1099" s="3">
        <v>1098</v>
      </c>
      <c r="B1099" t="s">
        <v>178</v>
      </c>
      <c r="C1099" t="s">
        <v>521</v>
      </c>
      <c r="D1099" s="1">
        <v>39227</v>
      </c>
      <c r="E1099" t="s">
        <v>1709</v>
      </c>
      <c r="F1099">
        <v>2</v>
      </c>
      <c r="G1099" t="s">
        <v>1731</v>
      </c>
      <c r="H1099" s="2">
        <v>1084</v>
      </c>
      <c r="I1099" t="s">
        <v>50</v>
      </c>
      <c r="J1099" s="2">
        <f>INDEX(Positions!$A:$A,MATCH(E1099,Positions!$B:$B,0))</f>
        <v>10</v>
      </c>
      <c r="K1099" s="2">
        <f>INDEX(Locations!$A:$A,MATCH(I1099,Locations!$B:$B,0))</f>
        <v>1</v>
      </c>
    </row>
    <row r="1100" spans="1:11" x14ac:dyDescent="0.2">
      <c r="A1100" s="3">
        <v>1099</v>
      </c>
      <c r="B1100" t="s">
        <v>473</v>
      </c>
      <c r="C1100" t="s">
        <v>521</v>
      </c>
      <c r="D1100" s="1">
        <v>35039</v>
      </c>
      <c r="E1100" t="s">
        <v>1705</v>
      </c>
      <c r="F1100">
        <v>4</v>
      </c>
      <c r="G1100" t="s">
        <v>1732</v>
      </c>
      <c r="H1100" s="2">
        <v>1084</v>
      </c>
      <c r="I1100" t="s">
        <v>50</v>
      </c>
      <c r="J1100" s="2">
        <f>INDEX(Positions!$A:$A,MATCH(E1100,Positions!$B:$B,0))</f>
        <v>62</v>
      </c>
      <c r="K1100" s="2">
        <f>INDEX(Locations!$A:$A,MATCH(I1100,Locations!$B:$B,0))</f>
        <v>1</v>
      </c>
    </row>
    <row r="1101" spans="1:11" x14ac:dyDescent="0.2">
      <c r="A1101" s="3">
        <v>1100</v>
      </c>
      <c r="B1101" t="s">
        <v>231</v>
      </c>
      <c r="C1101" t="s">
        <v>128</v>
      </c>
      <c r="D1101" s="1">
        <v>33237</v>
      </c>
      <c r="E1101" t="s">
        <v>1705</v>
      </c>
      <c r="F1101">
        <v>4</v>
      </c>
      <c r="G1101" t="s">
        <v>1733</v>
      </c>
      <c r="H1101" s="2">
        <v>1084</v>
      </c>
      <c r="I1101" t="s">
        <v>50</v>
      </c>
      <c r="J1101" s="2">
        <f>INDEX(Positions!$A:$A,MATCH(E1101,Positions!$B:$B,0))</f>
        <v>62</v>
      </c>
      <c r="K1101" s="2">
        <f>INDEX(Locations!$A:$A,MATCH(I1101,Locations!$B:$B,0))</f>
        <v>1</v>
      </c>
    </row>
    <row r="1102" spans="1:11" x14ac:dyDescent="0.2">
      <c r="A1102" s="3">
        <v>1101</v>
      </c>
      <c r="B1102" t="s">
        <v>719</v>
      </c>
      <c r="C1102" t="s">
        <v>462</v>
      </c>
      <c r="D1102" s="1">
        <v>33603</v>
      </c>
      <c r="E1102" t="s">
        <v>1711</v>
      </c>
      <c r="F1102">
        <v>2</v>
      </c>
      <c r="G1102" t="s">
        <v>1734</v>
      </c>
      <c r="H1102" s="2">
        <v>1084</v>
      </c>
      <c r="I1102" t="s">
        <v>50</v>
      </c>
      <c r="J1102" s="2">
        <f>INDEX(Positions!$A:$A,MATCH(E1102,Positions!$B:$B,0))</f>
        <v>11</v>
      </c>
      <c r="K1102" s="2">
        <f>INDEX(Locations!$A:$A,MATCH(I1102,Locations!$B:$B,0))</f>
        <v>1</v>
      </c>
    </row>
    <row r="1103" spans="1:11" x14ac:dyDescent="0.2">
      <c r="A1103" s="3">
        <v>1102</v>
      </c>
      <c r="B1103" t="s">
        <v>191</v>
      </c>
      <c r="C1103" t="s">
        <v>193</v>
      </c>
      <c r="D1103" s="1">
        <v>29866</v>
      </c>
      <c r="E1103" t="s">
        <v>1707</v>
      </c>
      <c r="F1103">
        <v>6</v>
      </c>
      <c r="G1103" t="s">
        <v>1735</v>
      </c>
      <c r="H1103" s="2">
        <v>1078</v>
      </c>
      <c r="I1103" t="s">
        <v>50</v>
      </c>
      <c r="J1103" s="2">
        <f>INDEX(Positions!$A:$A,MATCH(E1103,Positions!$B:$B,0))</f>
        <v>79</v>
      </c>
      <c r="K1103" s="2">
        <f>INDEX(Locations!$A:$A,MATCH(I1103,Locations!$B:$B,0))</f>
        <v>1</v>
      </c>
    </row>
    <row r="1104" spans="1:11" x14ac:dyDescent="0.2">
      <c r="A1104" s="3">
        <v>1103</v>
      </c>
      <c r="B1104" t="s">
        <v>515</v>
      </c>
      <c r="C1104" t="s">
        <v>182</v>
      </c>
      <c r="D1104" s="1">
        <v>34556</v>
      </c>
      <c r="E1104" t="s">
        <v>1709</v>
      </c>
      <c r="F1104">
        <v>2</v>
      </c>
      <c r="G1104" t="s">
        <v>1736</v>
      </c>
      <c r="H1104" s="2">
        <v>1084</v>
      </c>
      <c r="I1104" t="s">
        <v>1375</v>
      </c>
      <c r="J1104" s="2">
        <f>INDEX(Positions!$A:$A,MATCH(E1104,Positions!$B:$B,0))</f>
        <v>10</v>
      </c>
      <c r="K1104" s="2">
        <f>INDEX(Locations!$A:$A,MATCH(I1104,Locations!$B:$B,0))</f>
        <v>12</v>
      </c>
    </row>
    <row r="1105" spans="1:11" x14ac:dyDescent="0.2">
      <c r="A1105" s="3">
        <v>1104</v>
      </c>
      <c r="B1105" t="s">
        <v>328</v>
      </c>
      <c r="C1105" t="s">
        <v>238</v>
      </c>
      <c r="D1105" s="1">
        <v>32955</v>
      </c>
      <c r="E1105" t="s">
        <v>1715</v>
      </c>
      <c r="F1105">
        <v>5</v>
      </c>
      <c r="G1105" t="s">
        <v>1737</v>
      </c>
      <c r="H1105" s="2">
        <v>1102</v>
      </c>
      <c r="I1105" t="s">
        <v>50</v>
      </c>
      <c r="J1105" s="2">
        <f>INDEX(Positions!$A:$A,MATCH(E1105,Positions!$B:$B,0))</f>
        <v>70</v>
      </c>
      <c r="K1105" s="2">
        <f>INDEX(Locations!$A:$A,MATCH(I1105,Locations!$B:$B,0))</f>
        <v>1</v>
      </c>
    </row>
    <row r="1106" spans="1:11" x14ac:dyDescent="0.2">
      <c r="A1106" s="3">
        <v>1105</v>
      </c>
      <c r="B1106" t="s">
        <v>273</v>
      </c>
      <c r="C1106" t="s">
        <v>355</v>
      </c>
      <c r="D1106" s="1">
        <v>38298</v>
      </c>
      <c r="E1106" t="s">
        <v>1713</v>
      </c>
      <c r="F1106">
        <v>3</v>
      </c>
      <c r="G1106" t="s">
        <v>1738</v>
      </c>
      <c r="H1106" s="2">
        <v>1104</v>
      </c>
      <c r="I1106" t="s">
        <v>1375</v>
      </c>
      <c r="J1106" s="2">
        <f>INDEX(Positions!$A:$A,MATCH(E1106,Positions!$B:$B,0))</f>
        <v>51</v>
      </c>
      <c r="K1106" s="2">
        <f>INDEX(Locations!$A:$A,MATCH(I1106,Locations!$B:$B,0))</f>
        <v>12</v>
      </c>
    </row>
    <row r="1107" spans="1:11" x14ac:dyDescent="0.2">
      <c r="A1107" s="3">
        <v>1106</v>
      </c>
      <c r="B1107" t="s">
        <v>322</v>
      </c>
      <c r="C1107" t="s">
        <v>462</v>
      </c>
      <c r="D1107" s="1">
        <v>34341</v>
      </c>
      <c r="E1107" t="s">
        <v>1713</v>
      </c>
      <c r="F1107">
        <v>3</v>
      </c>
      <c r="G1107" t="s">
        <v>1739</v>
      </c>
      <c r="H1107" s="2">
        <v>1104</v>
      </c>
      <c r="I1107" t="s">
        <v>1375</v>
      </c>
      <c r="J1107" s="2">
        <f>INDEX(Positions!$A:$A,MATCH(E1107,Positions!$B:$B,0))</f>
        <v>51</v>
      </c>
      <c r="K1107" s="2">
        <f>INDEX(Locations!$A:$A,MATCH(I1107,Locations!$B:$B,0))</f>
        <v>12</v>
      </c>
    </row>
    <row r="1108" spans="1:11" x14ac:dyDescent="0.2">
      <c r="A1108" s="3">
        <v>1107</v>
      </c>
      <c r="B1108" t="s">
        <v>412</v>
      </c>
      <c r="C1108" t="s">
        <v>266</v>
      </c>
      <c r="D1108" s="1">
        <v>34234</v>
      </c>
      <c r="E1108" t="s">
        <v>1713</v>
      </c>
      <c r="F1108">
        <v>3</v>
      </c>
      <c r="G1108" t="s">
        <v>1740</v>
      </c>
      <c r="H1108" s="2">
        <v>1104</v>
      </c>
      <c r="I1108" t="s">
        <v>50</v>
      </c>
      <c r="J1108" s="2">
        <f>INDEX(Positions!$A:$A,MATCH(E1108,Positions!$B:$B,0))</f>
        <v>51</v>
      </c>
      <c r="K1108" s="2">
        <f>INDEX(Locations!$A:$A,MATCH(I1108,Locations!$B:$B,0))</f>
        <v>1</v>
      </c>
    </row>
    <row r="1109" spans="1:11" x14ac:dyDescent="0.2">
      <c r="A1109" s="3">
        <v>1108</v>
      </c>
      <c r="B1109" t="s">
        <v>196</v>
      </c>
      <c r="C1109" t="s">
        <v>303</v>
      </c>
      <c r="D1109" s="1">
        <v>35239</v>
      </c>
      <c r="E1109" t="s">
        <v>1713</v>
      </c>
      <c r="F1109">
        <v>3</v>
      </c>
      <c r="G1109" t="s">
        <v>1741</v>
      </c>
      <c r="H1109" s="2">
        <v>1104</v>
      </c>
      <c r="I1109" t="s">
        <v>50</v>
      </c>
      <c r="J1109" s="2">
        <f>INDEX(Positions!$A:$A,MATCH(E1109,Positions!$B:$B,0))</f>
        <v>51</v>
      </c>
      <c r="K1109" s="2">
        <f>INDEX(Locations!$A:$A,MATCH(I1109,Locations!$B:$B,0))</f>
        <v>1</v>
      </c>
    </row>
    <row r="1110" spans="1:11" x14ac:dyDescent="0.2">
      <c r="A1110" s="3">
        <v>1109</v>
      </c>
      <c r="B1110" t="s">
        <v>281</v>
      </c>
      <c r="C1110" t="s">
        <v>408</v>
      </c>
      <c r="D1110" s="1">
        <v>35133</v>
      </c>
      <c r="E1110" t="s">
        <v>1721</v>
      </c>
      <c r="F1110">
        <v>3</v>
      </c>
      <c r="G1110" t="s">
        <v>1742</v>
      </c>
      <c r="H1110" s="2">
        <v>1104</v>
      </c>
      <c r="I1110" t="s">
        <v>50</v>
      </c>
      <c r="J1110" s="2">
        <f>INDEX(Positions!$A:$A,MATCH(E1110,Positions!$B:$B,0))</f>
        <v>46</v>
      </c>
      <c r="K1110" s="2">
        <f>INDEX(Locations!$A:$A,MATCH(I1110,Locations!$B:$B,0))</f>
        <v>1</v>
      </c>
    </row>
    <row r="1111" spans="1:11" x14ac:dyDescent="0.2">
      <c r="A1111" s="3">
        <v>1110</v>
      </c>
      <c r="B1111" t="s">
        <v>178</v>
      </c>
      <c r="C1111" t="s">
        <v>320</v>
      </c>
      <c r="D1111" s="1">
        <v>34463</v>
      </c>
      <c r="E1111" t="s">
        <v>1705</v>
      </c>
      <c r="F1111">
        <v>4</v>
      </c>
      <c r="G1111" t="s">
        <v>1743</v>
      </c>
      <c r="H1111" s="2">
        <v>1104</v>
      </c>
      <c r="I1111" t="s">
        <v>50</v>
      </c>
      <c r="J1111" s="2">
        <f>INDEX(Positions!$A:$A,MATCH(E1111,Positions!$B:$B,0))</f>
        <v>62</v>
      </c>
      <c r="K1111" s="2">
        <f>INDEX(Locations!$A:$A,MATCH(I1111,Locations!$B:$B,0))</f>
        <v>1</v>
      </c>
    </row>
    <row r="1112" spans="1:11" x14ac:dyDescent="0.2">
      <c r="A1112" s="3">
        <v>1111</v>
      </c>
      <c r="B1112" t="s">
        <v>116</v>
      </c>
      <c r="C1112" t="s">
        <v>517</v>
      </c>
      <c r="D1112" s="1">
        <v>35049</v>
      </c>
      <c r="E1112" t="s">
        <v>1705</v>
      </c>
      <c r="F1112">
        <v>4</v>
      </c>
      <c r="G1112" t="s">
        <v>1744</v>
      </c>
      <c r="H1112" s="2">
        <v>1104</v>
      </c>
      <c r="I1112" t="s">
        <v>50</v>
      </c>
      <c r="J1112" s="2">
        <f>INDEX(Positions!$A:$A,MATCH(E1112,Positions!$B:$B,0))</f>
        <v>62</v>
      </c>
      <c r="K1112" s="2">
        <f>INDEX(Locations!$A:$A,MATCH(I1112,Locations!$B:$B,0))</f>
        <v>1</v>
      </c>
    </row>
    <row r="1113" spans="1:11" x14ac:dyDescent="0.2">
      <c r="A1113" s="3">
        <v>1112</v>
      </c>
      <c r="B1113" t="s">
        <v>475</v>
      </c>
      <c r="C1113" t="s">
        <v>170</v>
      </c>
      <c r="D1113" s="1">
        <v>38247</v>
      </c>
      <c r="E1113" t="s">
        <v>1745</v>
      </c>
      <c r="F1113">
        <v>1</v>
      </c>
      <c r="G1113" t="s">
        <v>1746</v>
      </c>
      <c r="H1113" s="2">
        <v>1104</v>
      </c>
      <c r="I1113" t="s">
        <v>50</v>
      </c>
      <c r="J1113" s="2">
        <f>INDEX(Positions!$A:$A,MATCH(E1113,Positions!$B:$B,0))</f>
        <v>1</v>
      </c>
      <c r="K1113" s="2">
        <f>INDEX(Locations!$A:$A,MATCH(I1113,Locations!$B:$B,0))</f>
        <v>1</v>
      </c>
    </row>
    <row r="1114" spans="1:11" x14ac:dyDescent="0.2">
      <c r="A1114" s="3">
        <v>1113</v>
      </c>
      <c r="B1114" t="s">
        <v>385</v>
      </c>
      <c r="C1114" t="s">
        <v>472</v>
      </c>
      <c r="D1114" s="1">
        <v>33669</v>
      </c>
      <c r="E1114" t="s">
        <v>1705</v>
      </c>
      <c r="F1114">
        <v>4</v>
      </c>
      <c r="G1114" t="s">
        <v>1747</v>
      </c>
      <c r="H1114" s="2">
        <v>1104</v>
      </c>
      <c r="I1114" t="s">
        <v>50</v>
      </c>
      <c r="J1114" s="2">
        <f>INDEX(Positions!$A:$A,MATCH(E1114,Positions!$B:$B,0))</f>
        <v>62</v>
      </c>
      <c r="K1114" s="2">
        <f>INDEX(Locations!$A:$A,MATCH(I1114,Locations!$B:$B,0))</f>
        <v>1</v>
      </c>
    </row>
    <row r="1115" spans="1:11" x14ac:dyDescent="0.2">
      <c r="A1115" s="3">
        <v>1114</v>
      </c>
      <c r="B1115" t="s">
        <v>185</v>
      </c>
      <c r="C1115" t="s">
        <v>489</v>
      </c>
      <c r="D1115" s="1">
        <v>39600</v>
      </c>
      <c r="E1115" t="s">
        <v>1709</v>
      </c>
      <c r="F1115">
        <v>2</v>
      </c>
      <c r="G1115" t="s">
        <v>1748</v>
      </c>
      <c r="H1115" s="2">
        <v>1104</v>
      </c>
      <c r="I1115" t="s">
        <v>50</v>
      </c>
      <c r="J1115" s="2">
        <f>INDEX(Positions!$A:$A,MATCH(E1115,Positions!$B:$B,0))</f>
        <v>10</v>
      </c>
      <c r="K1115" s="2">
        <f>INDEX(Locations!$A:$A,MATCH(I1115,Locations!$B:$B,0))</f>
        <v>1</v>
      </c>
    </row>
    <row r="1116" spans="1:11" x14ac:dyDescent="0.2">
      <c r="A1116" s="3">
        <v>1115</v>
      </c>
      <c r="B1116" t="s">
        <v>360</v>
      </c>
      <c r="C1116" t="s">
        <v>420</v>
      </c>
      <c r="D1116" s="1">
        <v>33495</v>
      </c>
      <c r="E1116" t="s">
        <v>1705</v>
      </c>
      <c r="F1116">
        <v>4</v>
      </c>
      <c r="G1116" t="s">
        <v>1749</v>
      </c>
      <c r="H1116" s="2">
        <v>1104</v>
      </c>
      <c r="I1116" t="s">
        <v>50</v>
      </c>
      <c r="J1116" s="2">
        <f>INDEX(Positions!$A:$A,MATCH(E1116,Positions!$B:$B,0))</f>
        <v>62</v>
      </c>
      <c r="K1116" s="2">
        <f>INDEX(Locations!$A:$A,MATCH(I1116,Locations!$B:$B,0))</f>
        <v>1</v>
      </c>
    </row>
    <row r="1117" spans="1:11" x14ac:dyDescent="0.2">
      <c r="A1117" s="3">
        <v>1116</v>
      </c>
      <c r="B1117" t="s">
        <v>221</v>
      </c>
      <c r="C1117" t="s">
        <v>169</v>
      </c>
      <c r="D1117" s="1">
        <v>38554</v>
      </c>
      <c r="E1117" t="s">
        <v>1745</v>
      </c>
      <c r="F1117">
        <v>1</v>
      </c>
      <c r="G1117" t="s">
        <v>1750</v>
      </c>
      <c r="H1117" s="2">
        <v>1104</v>
      </c>
      <c r="I1117" t="s">
        <v>50</v>
      </c>
      <c r="J1117" s="2">
        <f>INDEX(Positions!$A:$A,MATCH(E1117,Positions!$B:$B,0))</f>
        <v>1</v>
      </c>
      <c r="K1117" s="2">
        <f>INDEX(Locations!$A:$A,MATCH(I1117,Locations!$B:$B,0))</f>
        <v>1</v>
      </c>
    </row>
    <row r="1118" spans="1:11" x14ac:dyDescent="0.2">
      <c r="A1118" s="3">
        <v>1117</v>
      </c>
      <c r="B1118" t="s">
        <v>638</v>
      </c>
      <c r="C1118" t="s">
        <v>141</v>
      </c>
      <c r="D1118" s="1">
        <v>37702</v>
      </c>
      <c r="E1118" t="s">
        <v>1709</v>
      </c>
      <c r="F1118">
        <v>2</v>
      </c>
      <c r="G1118" t="s">
        <v>1751</v>
      </c>
      <c r="H1118" s="2">
        <v>1104</v>
      </c>
      <c r="I1118" t="s">
        <v>50</v>
      </c>
      <c r="J1118" s="2">
        <f>INDEX(Positions!$A:$A,MATCH(E1118,Positions!$B:$B,0))</f>
        <v>10</v>
      </c>
      <c r="K1118" s="2">
        <f>INDEX(Locations!$A:$A,MATCH(I1118,Locations!$B:$B,0))</f>
        <v>1</v>
      </c>
    </row>
    <row r="1119" spans="1:11" x14ac:dyDescent="0.2">
      <c r="A1119" s="3">
        <v>1118</v>
      </c>
      <c r="B1119" t="s">
        <v>127</v>
      </c>
      <c r="C1119" t="s">
        <v>555</v>
      </c>
      <c r="D1119" s="1">
        <v>34645</v>
      </c>
      <c r="E1119" t="s">
        <v>1713</v>
      </c>
      <c r="F1119">
        <v>3</v>
      </c>
      <c r="G1119" t="s">
        <v>1752</v>
      </c>
      <c r="H1119" s="2">
        <v>1104</v>
      </c>
      <c r="I1119" t="s">
        <v>50</v>
      </c>
      <c r="J1119" s="2">
        <f>INDEX(Positions!$A:$A,MATCH(E1119,Positions!$B:$B,0))</f>
        <v>51</v>
      </c>
      <c r="K1119" s="2">
        <f>INDEX(Locations!$A:$A,MATCH(I1119,Locations!$B:$B,0))</f>
        <v>1</v>
      </c>
    </row>
    <row r="1120" spans="1:11" x14ac:dyDescent="0.2">
      <c r="A1120" s="3">
        <v>1119</v>
      </c>
      <c r="B1120" t="s">
        <v>337</v>
      </c>
      <c r="C1120" t="s">
        <v>72</v>
      </c>
      <c r="D1120" s="1">
        <v>39560</v>
      </c>
      <c r="E1120" t="s">
        <v>1709</v>
      </c>
      <c r="F1120">
        <v>2</v>
      </c>
      <c r="G1120" t="s">
        <v>1753</v>
      </c>
      <c r="H1120" s="2">
        <v>1104</v>
      </c>
      <c r="I1120" t="s">
        <v>1375</v>
      </c>
      <c r="J1120" s="2">
        <f>INDEX(Positions!$A:$A,MATCH(E1120,Positions!$B:$B,0))</f>
        <v>10</v>
      </c>
      <c r="K1120" s="2">
        <f>INDEX(Locations!$A:$A,MATCH(I1120,Locations!$B:$B,0))</f>
        <v>12</v>
      </c>
    </row>
    <row r="1121" spans="1:11" x14ac:dyDescent="0.2">
      <c r="A1121" s="3">
        <v>1120</v>
      </c>
      <c r="B1121" t="s">
        <v>498</v>
      </c>
      <c r="C1121" t="s">
        <v>457</v>
      </c>
      <c r="D1121" s="1">
        <v>34136</v>
      </c>
      <c r="E1121" t="s">
        <v>1709</v>
      </c>
      <c r="F1121">
        <v>2</v>
      </c>
      <c r="G1121" t="s">
        <v>1754</v>
      </c>
      <c r="H1121" s="2">
        <v>1104</v>
      </c>
      <c r="I1121" t="s">
        <v>50</v>
      </c>
      <c r="J1121" s="2">
        <f>INDEX(Positions!$A:$A,MATCH(E1121,Positions!$B:$B,0))</f>
        <v>10</v>
      </c>
      <c r="K1121" s="2">
        <f>INDEX(Locations!$A:$A,MATCH(I1121,Locations!$B:$B,0))</f>
        <v>1</v>
      </c>
    </row>
    <row r="1122" spans="1:11" x14ac:dyDescent="0.2">
      <c r="A1122" s="3">
        <v>1121</v>
      </c>
      <c r="B1122" t="s">
        <v>187</v>
      </c>
      <c r="C1122" t="s">
        <v>224</v>
      </c>
      <c r="D1122" s="1">
        <v>32160</v>
      </c>
      <c r="E1122" t="s">
        <v>1713</v>
      </c>
      <c r="F1122">
        <v>3</v>
      </c>
      <c r="G1122" t="s">
        <v>1755</v>
      </c>
      <c r="H1122" s="2">
        <v>1104</v>
      </c>
      <c r="I1122" t="s">
        <v>50</v>
      </c>
      <c r="J1122" s="2">
        <f>INDEX(Positions!$A:$A,MATCH(E1122,Positions!$B:$B,0))</f>
        <v>51</v>
      </c>
      <c r="K1122" s="2">
        <f>INDEX(Locations!$A:$A,MATCH(I1122,Locations!$B:$B,0))</f>
        <v>1</v>
      </c>
    </row>
    <row r="1123" spans="1:11" x14ac:dyDescent="0.2">
      <c r="A1123" s="3">
        <v>1122</v>
      </c>
      <c r="B1123" t="s">
        <v>411</v>
      </c>
      <c r="C1123" t="s">
        <v>549</v>
      </c>
      <c r="D1123" s="1">
        <v>35313</v>
      </c>
      <c r="E1123" t="s">
        <v>1711</v>
      </c>
      <c r="F1123">
        <v>2</v>
      </c>
      <c r="G1123" t="s">
        <v>1756</v>
      </c>
      <c r="H1123" s="2">
        <v>1104</v>
      </c>
      <c r="I1123" t="s">
        <v>50</v>
      </c>
      <c r="J1123" s="2">
        <f>INDEX(Positions!$A:$A,MATCH(E1123,Positions!$B:$B,0))</f>
        <v>11</v>
      </c>
      <c r="K1123" s="2">
        <f>INDEX(Locations!$A:$A,MATCH(I1123,Locations!$B:$B,0))</f>
        <v>1</v>
      </c>
    </row>
    <row r="1124" spans="1:11" x14ac:dyDescent="0.2">
      <c r="A1124" s="3">
        <v>1123</v>
      </c>
      <c r="B1124" t="s">
        <v>445</v>
      </c>
      <c r="C1124" t="s">
        <v>560</v>
      </c>
      <c r="D1124" s="1">
        <v>26985</v>
      </c>
      <c r="E1124" t="s">
        <v>1757</v>
      </c>
      <c r="F1124">
        <v>7</v>
      </c>
      <c r="G1124" t="s">
        <v>1758</v>
      </c>
      <c r="H1124" s="2">
        <v>7</v>
      </c>
      <c r="I1124" t="s">
        <v>50</v>
      </c>
      <c r="J1124" s="2">
        <f>INDEX(Positions!$A:$A,MATCH(E1124,Positions!$B:$B,0))</f>
        <v>98</v>
      </c>
      <c r="K1124" s="2">
        <f>INDEX(Locations!$A:$A,MATCH(I1124,Locations!$B:$B,0))</f>
        <v>1</v>
      </c>
    </row>
    <row r="1125" spans="1:11" x14ac:dyDescent="0.2">
      <c r="A1125" s="3">
        <v>1124</v>
      </c>
      <c r="B1125" t="s">
        <v>139</v>
      </c>
      <c r="C1125" t="s">
        <v>115</v>
      </c>
      <c r="D1125" s="1">
        <v>30450</v>
      </c>
      <c r="E1125" t="s">
        <v>1759</v>
      </c>
      <c r="F1125">
        <v>2</v>
      </c>
      <c r="G1125" t="s">
        <v>1760</v>
      </c>
      <c r="H1125" s="2">
        <v>1123</v>
      </c>
      <c r="I1125" t="s">
        <v>50</v>
      </c>
      <c r="J1125" s="2">
        <f>INDEX(Positions!$A:$A,MATCH(E1125,Positions!$B:$B,0))</f>
        <v>15</v>
      </c>
      <c r="K1125" s="2">
        <f>INDEX(Locations!$A:$A,MATCH(I1125,Locations!$B:$B,0))</f>
        <v>1</v>
      </c>
    </row>
    <row r="1126" spans="1:11" x14ac:dyDescent="0.2">
      <c r="A1126" s="3">
        <v>1125</v>
      </c>
      <c r="B1126" t="s">
        <v>207</v>
      </c>
      <c r="C1126" t="s">
        <v>273</v>
      </c>
      <c r="D1126" s="1">
        <v>29180</v>
      </c>
      <c r="E1126" t="s">
        <v>1761</v>
      </c>
      <c r="F1126">
        <v>4</v>
      </c>
      <c r="G1126" t="s">
        <v>1762</v>
      </c>
      <c r="H1126" s="2">
        <v>1123</v>
      </c>
      <c r="I1126" t="s">
        <v>50</v>
      </c>
      <c r="J1126" s="2">
        <f>INDEX(Positions!$A:$A,MATCH(E1126,Positions!$B:$B,0))</f>
        <v>66</v>
      </c>
      <c r="K1126" s="2">
        <f>INDEX(Locations!$A:$A,MATCH(I1126,Locations!$B:$B,0))</f>
        <v>1</v>
      </c>
    </row>
    <row r="1127" spans="1:11" x14ac:dyDescent="0.2">
      <c r="A1127" s="3">
        <v>1126</v>
      </c>
      <c r="B1127" t="s">
        <v>285</v>
      </c>
      <c r="C1127" t="s">
        <v>323</v>
      </c>
      <c r="D1127" s="1">
        <v>33329</v>
      </c>
      <c r="E1127" t="s">
        <v>1763</v>
      </c>
      <c r="F1127">
        <v>3</v>
      </c>
      <c r="G1127" t="s">
        <v>1764</v>
      </c>
      <c r="H1127" s="2">
        <v>1127</v>
      </c>
      <c r="I1127" t="s">
        <v>50</v>
      </c>
      <c r="J1127" s="2">
        <f>INDEX(Positions!$A:$A,MATCH(E1127,Positions!$B:$B,0))</f>
        <v>48</v>
      </c>
      <c r="K1127" s="2">
        <f>INDEX(Locations!$A:$A,MATCH(I1127,Locations!$B:$B,0))</f>
        <v>1</v>
      </c>
    </row>
    <row r="1128" spans="1:11" x14ac:dyDescent="0.2">
      <c r="A1128" s="3">
        <v>1127</v>
      </c>
      <c r="B1128" t="s">
        <v>509</v>
      </c>
      <c r="C1128" t="s">
        <v>304</v>
      </c>
      <c r="D1128" s="1">
        <v>32862</v>
      </c>
      <c r="E1128" t="s">
        <v>1765</v>
      </c>
      <c r="F1128">
        <v>6</v>
      </c>
      <c r="G1128" t="s">
        <v>1766</v>
      </c>
      <c r="H1128" s="2">
        <v>1123</v>
      </c>
      <c r="I1128" t="s">
        <v>1375</v>
      </c>
      <c r="J1128" s="2">
        <f>INDEX(Positions!$A:$A,MATCH(E1128,Positions!$B:$B,0))</f>
        <v>84</v>
      </c>
      <c r="K1128" s="2">
        <f>INDEX(Locations!$A:$A,MATCH(I1128,Locations!$B:$B,0))</f>
        <v>12</v>
      </c>
    </row>
    <row r="1129" spans="1:11" x14ac:dyDescent="0.2">
      <c r="A1129" s="3">
        <v>1128</v>
      </c>
      <c r="B1129" t="s">
        <v>231</v>
      </c>
      <c r="C1129" t="s">
        <v>255</v>
      </c>
      <c r="D1129" s="1">
        <v>33987</v>
      </c>
      <c r="E1129" t="s">
        <v>1761</v>
      </c>
      <c r="F1129">
        <v>4</v>
      </c>
      <c r="G1129" t="s">
        <v>256</v>
      </c>
      <c r="H1129" s="2">
        <v>1127</v>
      </c>
      <c r="I1129" t="s">
        <v>1375</v>
      </c>
      <c r="J1129" s="2">
        <f>INDEX(Positions!$A:$A,MATCH(E1129,Positions!$B:$B,0))</f>
        <v>66</v>
      </c>
      <c r="K1129" s="2">
        <f>INDEX(Locations!$A:$A,MATCH(I1129,Locations!$B:$B,0))</f>
        <v>12</v>
      </c>
    </row>
    <row r="1130" spans="1:11" x14ac:dyDescent="0.2">
      <c r="A1130" s="3">
        <v>1129</v>
      </c>
      <c r="B1130" t="s">
        <v>207</v>
      </c>
      <c r="C1130" t="s">
        <v>424</v>
      </c>
      <c r="D1130" s="1">
        <v>32519</v>
      </c>
      <c r="E1130" t="s">
        <v>1767</v>
      </c>
      <c r="F1130">
        <v>3</v>
      </c>
      <c r="G1130" t="s">
        <v>1768</v>
      </c>
      <c r="H1130" s="2">
        <v>1133</v>
      </c>
      <c r="I1130" t="s">
        <v>50</v>
      </c>
      <c r="J1130" s="2">
        <f>INDEX(Positions!$A:$A,MATCH(E1130,Positions!$B:$B,0))</f>
        <v>40</v>
      </c>
      <c r="K1130" s="2">
        <f>INDEX(Locations!$A:$A,MATCH(I1130,Locations!$B:$B,0))</f>
        <v>1</v>
      </c>
    </row>
    <row r="1131" spans="1:11" x14ac:dyDescent="0.2">
      <c r="A1131" s="3">
        <v>1130</v>
      </c>
      <c r="B1131" t="s">
        <v>97</v>
      </c>
      <c r="C1131" t="s">
        <v>541</v>
      </c>
      <c r="D1131" s="1">
        <v>36469</v>
      </c>
      <c r="E1131" t="s">
        <v>1759</v>
      </c>
      <c r="F1131">
        <v>2</v>
      </c>
      <c r="G1131" t="s">
        <v>1769</v>
      </c>
      <c r="H1131" s="2">
        <v>1127</v>
      </c>
      <c r="I1131" t="s">
        <v>1375</v>
      </c>
      <c r="J1131" s="2">
        <f>INDEX(Positions!$A:$A,MATCH(E1131,Positions!$B:$B,0))</f>
        <v>15</v>
      </c>
      <c r="K1131" s="2">
        <f>INDEX(Locations!$A:$A,MATCH(I1131,Locations!$B:$B,0))</f>
        <v>12</v>
      </c>
    </row>
    <row r="1132" spans="1:11" x14ac:dyDescent="0.2">
      <c r="A1132" s="3">
        <v>1131</v>
      </c>
      <c r="B1132" t="s">
        <v>337</v>
      </c>
      <c r="C1132" t="s">
        <v>236</v>
      </c>
      <c r="D1132" s="1">
        <v>34046</v>
      </c>
      <c r="E1132" t="s">
        <v>1763</v>
      </c>
      <c r="F1132">
        <v>3</v>
      </c>
      <c r="G1132" t="s">
        <v>1770</v>
      </c>
      <c r="H1132" s="2">
        <v>1127</v>
      </c>
      <c r="I1132" t="s">
        <v>1375</v>
      </c>
      <c r="J1132" s="2">
        <f>INDEX(Positions!$A:$A,MATCH(E1132,Positions!$B:$B,0))</f>
        <v>48</v>
      </c>
      <c r="K1132" s="2">
        <f>INDEX(Locations!$A:$A,MATCH(I1132,Locations!$B:$B,0))</f>
        <v>12</v>
      </c>
    </row>
    <row r="1133" spans="1:11" x14ac:dyDescent="0.2">
      <c r="A1133" s="3">
        <v>1132</v>
      </c>
      <c r="B1133" t="s">
        <v>553</v>
      </c>
      <c r="C1133" t="s">
        <v>368</v>
      </c>
      <c r="D1133" s="1">
        <v>31941</v>
      </c>
      <c r="E1133" t="s">
        <v>1765</v>
      </c>
      <c r="F1133">
        <v>6</v>
      </c>
      <c r="G1133" t="s">
        <v>1771</v>
      </c>
      <c r="H1133" s="2">
        <v>1123</v>
      </c>
      <c r="I1133" t="s">
        <v>50</v>
      </c>
      <c r="J1133" s="2">
        <f>INDEX(Positions!$A:$A,MATCH(E1133,Positions!$B:$B,0))</f>
        <v>84</v>
      </c>
      <c r="K1133" s="2">
        <f>INDEX(Locations!$A:$A,MATCH(I1133,Locations!$B:$B,0))</f>
        <v>1</v>
      </c>
    </row>
    <row r="1134" spans="1:11" x14ac:dyDescent="0.2">
      <c r="A1134" s="3">
        <v>1133</v>
      </c>
      <c r="B1134" t="s">
        <v>259</v>
      </c>
      <c r="C1134" t="s">
        <v>236</v>
      </c>
      <c r="D1134" s="1">
        <v>31535</v>
      </c>
      <c r="E1134" t="s">
        <v>1765</v>
      </c>
      <c r="F1134">
        <v>6</v>
      </c>
      <c r="G1134" t="s">
        <v>1772</v>
      </c>
      <c r="H1134" s="2">
        <v>1123</v>
      </c>
      <c r="I1134" t="s">
        <v>50</v>
      </c>
      <c r="J1134" s="2">
        <f>INDEX(Positions!$A:$A,MATCH(E1134,Positions!$B:$B,0))</f>
        <v>84</v>
      </c>
      <c r="K1134" s="2">
        <f>INDEX(Locations!$A:$A,MATCH(I1134,Locations!$B:$B,0))</f>
        <v>1</v>
      </c>
    </row>
    <row r="1135" spans="1:11" x14ac:dyDescent="0.2">
      <c r="A1135" s="3">
        <v>1134</v>
      </c>
      <c r="B1135" t="s">
        <v>129</v>
      </c>
      <c r="C1135" t="s">
        <v>123</v>
      </c>
      <c r="D1135" s="1">
        <v>36252</v>
      </c>
      <c r="E1135" t="s">
        <v>1763</v>
      </c>
      <c r="F1135">
        <v>3</v>
      </c>
      <c r="G1135" t="s">
        <v>1773</v>
      </c>
      <c r="H1135" s="2">
        <v>1132</v>
      </c>
      <c r="I1135" t="s">
        <v>50</v>
      </c>
      <c r="J1135" s="2">
        <f>INDEX(Positions!$A:$A,MATCH(E1135,Positions!$B:$B,0))</f>
        <v>48</v>
      </c>
      <c r="K1135" s="2">
        <f>INDEX(Locations!$A:$A,MATCH(I1135,Locations!$B:$B,0))</f>
        <v>1</v>
      </c>
    </row>
    <row r="1136" spans="1:11" x14ac:dyDescent="0.2">
      <c r="A1136" s="3">
        <v>1135</v>
      </c>
      <c r="B1136" t="s">
        <v>86</v>
      </c>
      <c r="C1136" t="s">
        <v>568</v>
      </c>
      <c r="D1136" s="1">
        <v>30896</v>
      </c>
      <c r="E1136" t="s">
        <v>1767</v>
      </c>
      <c r="F1136">
        <v>3</v>
      </c>
      <c r="G1136" t="s">
        <v>1774</v>
      </c>
      <c r="H1136" s="2">
        <v>1132</v>
      </c>
      <c r="I1136" t="s">
        <v>50</v>
      </c>
      <c r="J1136" s="2">
        <f>INDEX(Positions!$A:$A,MATCH(E1136,Positions!$B:$B,0))</f>
        <v>40</v>
      </c>
      <c r="K1136" s="2">
        <f>INDEX(Locations!$A:$A,MATCH(I1136,Locations!$B:$B,0))</f>
        <v>1</v>
      </c>
    </row>
    <row r="1137" spans="1:11" x14ac:dyDescent="0.2">
      <c r="A1137" s="3">
        <v>1136</v>
      </c>
      <c r="B1137" t="s">
        <v>279</v>
      </c>
      <c r="C1137" t="s">
        <v>199</v>
      </c>
      <c r="D1137" s="1">
        <v>34448</v>
      </c>
      <c r="E1137" t="s">
        <v>1767</v>
      </c>
      <c r="F1137">
        <v>3</v>
      </c>
      <c r="G1137" t="s">
        <v>1775</v>
      </c>
      <c r="H1137" s="2">
        <v>1133</v>
      </c>
      <c r="I1137" t="s">
        <v>50</v>
      </c>
      <c r="J1137" s="2">
        <f>INDEX(Positions!$A:$A,MATCH(E1137,Positions!$B:$B,0))</f>
        <v>40</v>
      </c>
      <c r="K1137" s="2">
        <f>INDEX(Locations!$A:$A,MATCH(I1137,Locations!$B:$B,0))</f>
        <v>1</v>
      </c>
    </row>
    <row r="1138" spans="1:11" x14ac:dyDescent="0.2">
      <c r="A1138" s="3">
        <v>1137</v>
      </c>
      <c r="B1138" t="s">
        <v>546</v>
      </c>
      <c r="C1138" t="s">
        <v>407</v>
      </c>
      <c r="D1138" s="1">
        <v>37413</v>
      </c>
      <c r="E1138" t="s">
        <v>1759</v>
      </c>
      <c r="F1138">
        <v>2</v>
      </c>
      <c r="G1138" t="s">
        <v>1776</v>
      </c>
      <c r="H1138" s="2">
        <v>1133</v>
      </c>
      <c r="I1138" t="s">
        <v>50</v>
      </c>
      <c r="J1138" s="2">
        <f>INDEX(Positions!$A:$A,MATCH(E1138,Positions!$B:$B,0))</f>
        <v>15</v>
      </c>
      <c r="K1138" s="2">
        <f>INDEX(Locations!$A:$A,MATCH(I1138,Locations!$B:$B,0))</f>
        <v>1</v>
      </c>
    </row>
    <row r="1139" spans="1:11" x14ac:dyDescent="0.2">
      <c r="A1139" s="3">
        <v>1138</v>
      </c>
      <c r="B1139" t="s">
        <v>393</v>
      </c>
      <c r="C1139" t="s">
        <v>490</v>
      </c>
      <c r="D1139" s="1">
        <v>36754</v>
      </c>
      <c r="E1139" t="s">
        <v>1767</v>
      </c>
      <c r="F1139">
        <v>3</v>
      </c>
      <c r="G1139" t="s">
        <v>1777</v>
      </c>
      <c r="H1139" s="2">
        <v>1127</v>
      </c>
      <c r="I1139" t="s">
        <v>1375</v>
      </c>
      <c r="J1139" s="2">
        <f>INDEX(Positions!$A:$A,MATCH(E1139,Positions!$B:$B,0))</f>
        <v>40</v>
      </c>
      <c r="K1139" s="2">
        <f>INDEX(Locations!$A:$A,MATCH(I1139,Locations!$B:$B,0))</f>
        <v>12</v>
      </c>
    </row>
    <row r="1140" spans="1:11" x14ac:dyDescent="0.2">
      <c r="A1140" s="3">
        <v>1139</v>
      </c>
      <c r="B1140" t="s">
        <v>401</v>
      </c>
      <c r="C1140" t="s">
        <v>496</v>
      </c>
      <c r="D1140" s="1">
        <v>33574</v>
      </c>
      <c r="E1140" t="s">
        <v>1767</v>
      </c>
      <c r="F1140">
        <v>3</v>
      </c>
      <c r="G1140" t="s">
        <v>1778</v>
      </c>
      <c r="H1140" s="2">
        <v>1132</v>
      </c>
      <c r="I1140" t="s">
        <v>50</v>
      </c>
      <c r="J1140" s="2">
        <f>INDEX(Positions!$A:$A,MATCH(E1140,Positions!$B:$B,0))</f>
        <v>40</v>
      </c>
      <c r="K1140" s="2">
        <f>INDEX(Locations!$A:$A,MATCH(I1140,Locations!$B:$B,0))</f>
        <v>1</v>
      </c>
    </row>
    <row r="1141" spans="1:11" x14ac:dyDescent="0.2">
      <c r="A1141" s="3">
        <v>1140</v>
      </c>
      <c r="B1141" t="s">
        <v>533</v>
      </c>
      <c r="C1141" t="s">
        <v>135</v>
      </c>
      <c r="D1141" s="1">
        <v>35279</v>
      </c>
      <c r="E1141" t="s">
        <v>1779</v>
      </c>
      <c r="F1141">
        <v>3</v>
      </c>
      <c r="G1141" t="s">
        <v>1780</v>
      </c>
      <c r="H1141" s="2">
        <v>1132</v>
      </c>
      <c r="I1141" t="s">
        <v>50</v>
      </c>
      <c r="J1141" s="2">
        <f>INDEX(Positions!$A:$A,MATCH(E1141,Positions!$B:$B,0))</f>
        <v>29</v>
      </c>
      <c r="K1141" s="2">
        <f>INDEX(Locations!$A:$A,MATCH(I1141,Locations!$B:$B,0))</f>
        <v>1</v>
      </c>
    </row>
    <row r="1142" spans="1:11" x14ac:dyDescent="0.2">
      <c r="A1142" s="3">
        <v>1141</v>
      </c>
      <c r="B1142" t="s">
        <v>335</v>
      </c>
      <c r="C1142" t="s">
        <v>242</v>
      </c>
      <c r="D1142" s="1">
        <v>31322</v>
      </c>
      <c r="E1142" t="s">
        <v>1761</v>
      </c>
      <c r="F1142">
        <v>4</v>
      </c>
      <c r="G1142" t="s">
        <v>1781</v>
      </c>
      <c r="H1142" s="2">
        <v>1132</v>
      </c>
      <c r="I1142" t="s">
        <v>50</v>
      </c>
      <c r="J1142" s="2">
        <f>INDEX(Positions!$A:$A,MATCH(E1142,Positions!$B:$B,0))</f>
        <v>66</v>
      </c>
      <c r="K1142" s="2">
        <f>INDEX(Locations!$A:$A,MATCH(I1142,Locations!$B:$B,0))</f>
        <v>1</v>
      </c>
    </row>
    <row r="1143" spans="1:11" x14ac:dyDescent="0.2">
      <c r="A1143" s="3">
        <v>1142</v>
      </c>
      <c r="B1143" t="s">
        <v>308</v>
      </c>
      <c r="C1143" t="s">
        <v>245</v>
      </c>
      <c r="D1143" s="1">
        <v>33895</v>
      </c>
      <c r="E1143" t="s">
        <v>1763</v>
      </c>
      <c r="F1143">
        <v>3</v>
      </c>
      <c r="G1143" t="s">
        <v>1782</v>
      </c>
      <c r="H1143" s="2">
        <v>1133</v>
      </c>
      <c r="I1143" t="s">
        <v>50</v>
      </c>
      <c r="J1143" s="2">
        <f>INDEX(Positions!$A:$A,MATCH(E1143,Positions!$B:$B,0))</f>
        <v>48</v>
      </c>
      <c r="K1143" s="2">
        <f>INDEX(Locations!$A:$A,MATCH(I1143,Locations!$B:$B,0))</f>
        <v>1</v>
      </c>
    </row>
    <row r="1144" spans="1:11" x14ac:dyDescent="0.2">
      <c r="A1144" s="3">
        <v>1143</v>
      </c>
      <c r="B1144" t="s">
        <v>308</v>
      </c>
      <c r="C1144" t="s">
        <v>399</v>
      </c>
      <c r="D1144" s="1">
        <v>38273</v>
      </c>
      <c r="E1144" t="s">
        <v>1761</v>
      </c>
      <c r="F1144">
        <v>4</v>
      </c>
      <c r="G1144" t="s">
        <v>1783</v>
      </c>
      <c r="H1144" s="2">
        <v>1133</v>
      </c>
      <c r="I1144" t="s">
        <v>50</v>
      </c>
      <c r="J1144" s="2">
        <f>INDEX(Positions!$A:$A,MATCH(E1144,Positions!$B:$B,0))</f>
        <v>66</v>
      </c>
      <c r="K1144" s="2">
        <f>INDEX(Locations!$A:$A,MATCH(I1144,Locations!$B:$B,0))</f>
        <v>1</v>
      </c>
    </row>
    <row r="1145" spans="1:11" x14ac:dyDescent="0.2">
      <c r="A1145" s="3">
        <v>1144</v>
      </c>
      <c r="B1145" t="s">
        <v>453</v>
      </c>
      <c r="C1145" t="s">
        <v>524</v>
      </c>
      <c r="D1145" s="1">
        <v>34093</v>
      </c>
      <c r="E1145" t="s">
        <v>1767</v>
      </c>
      <c r="F1145">
        <v>3</v>
      </c>
      <c r="G1145" t="s">
        <v>1784</v>
      </c>
      <c r="H1145" s="2">
        <v>1133</v>
      </c>
      <c r="I1145" t="s">
        <v>50</v>
      </c>
      <c r="J1145" s="2">
        <f>INDEX(Positions!$A:$A,MATCH(E1145,Positions!$B:$B,0))</f>
        <v>40</v>
      </c>
      <c r="K1145" s="2">
        <f>INDEX(Locations!$A:$A,MATCH(I1145,Locations!$B:$B,0))</f>
        <v>1</v>
      </c>
    </row>
    <row r="1146" spans="1:11" x14ac:dyDescent="0.2">
      <c r="A1146" s="3">
        <v>1145</v>
      </c>
      <c r="B1146" t="s">
        <v>579</v>
      </c>
      <c r="C1146" t="s">
        <v>534</v>
      </c>
      <c r="D1146" s="1">
        <v>36172</v>
      </c>
      <c r="E1146" t="s">
        <v>1763</v>
      </c>
      <c r="F1146">
        <v>3</v>
      </c>
      <c r="G1146" t="s">
        <v>1785</v>
      </c>
      <c r="H1146" s="2">
        <v>1133</v>
      </c>
      <c r="I1146" t="s">
        <v>50</v>
      </c>
      <c r="J1146" s="2">
        <f>INDEX(Positions!$A:$A,MATCH(E1146,Positions!$B:$B,0))</f>
        <v>48</v>
      </c>
      <c r="K1146" s="2">
        <f>INDEX(Locations!$A:$A,MATCH(I1146,Locations!$B:$B,0))</f>
        <v>1</v>
      </c>
    </row>
    <row r="1147" spans="1:11" x14ac:dyDescent="0.2">
      <c r="A1147" s="3">
        <v>1146</v>
      </c>
      <c r="B1147" t="s">
        <v>476</v>
      </c>
      <c r="C1147" t="s">
        <v>531</v>
      </c>
      <c r="D1147" s="1">
        <v>34406</v>
      </c>
      <c r="E1147" t="s">
        <v>1759</v>
      </c>
      <c r="F1147">
        <v>2</v>
      </c>
      <c r="G1147" t="s">
        <v>1786</v>
      </c>
      <c r="H1147" s="2">
        <v>1133</v>
      </c>
      <c r="I1147" t="s">
        <v>50</v>
      </c>
      <c r="J1147" s="2">
        <f>INDEX(Positions!$A:$A,MATCH(E1147,Positions!$B:$B,0))</f>
        <v>15</v>
      </c>
      <c r="K1147" s="2">
        <f>INDEX(Locations!$A:$A,MATCH(I1147,Locations!$B:$B,0))</f>
        <v>1</v>
      </c>
    </row>
    <row r="1148" spans="1:11" x14ac:dyDescent="0.2">
      <c r="A1148" s="3">
        <v>1147</v>
      </c>
      <c r="B1148" t="s">
        <v>538</v>
      </c>
      <c r="C1148" t="s">
        <v>251</v>
      </c>
      <c r="D1148" s="1">
        <v>34935</v>
      </c>
      <c r="E1148" t="s">
        <v>1779</v>
      </c>
      <c r="F1148">
        <v>3</v>
      </c>
      <c r="G1148" t="s">
        <v>1787</v>
      </c>
      <c r="H1148" s="2">
        <v>1133</v>
      </c>
      <c r="I1148" t="s">
        <v>50</v>
      </c>
      <c r="J1148" s="2">
        <f>INDEX(Positions!$A:$A,MATCH(E1148,Positions!$B:$B,0))</f>
        <v>29</v>
      </c>
      <c r="K1148" s="2">
        <f>INDEX(Locations!$A:$A,MATCH(I1148,Locations!$B:$B,0))</f>
        <v>1</v>
      </c>
    </row>
    <row r="1149" spans="1:11" x14ac:dyDescent="0.2">
      <c r="A1149" s="3">
        <v>1148</v>
      </c>
      <c r="B1149" t="s">
        <v>189</v>
      </c>
      <c r="C1149" t="s">
        <v>305</v>
      </c>
      <c r="D1149" s="1">
        <v>34597</v>
      </c>
      <c r="E1149" t="s">
        <v>1761</v>
      </c>
      <c r="F1149">
        <v>4</v>
      </c>
      <c r="G1149" t="s">
        <v>1788</v>
      </c>
      <c r="H1149" s="2">
        <v>1133</v>
      </c>
      <c r="I1149" t="s">
        <v>50</v>
      </c>
      <c r="J1149" s="2">
        <f>INDEX(Positions!$A:$A,MATCH(E1149,Positions!$B:$B,0))</f>
        <v>66</v>
      </c>
      <c r="K1149" s="2">
        <f>INDEX(Locations!$A:$A,MATCH(I1149,Locations!$B:$B,0))</f>
        <v>1</v>
      </c>
    </row>
    <row r="1150" spans="1:11" x14ac:dyDescent="0.2">
      <c r="A1150" s="3">
        <v>1149</v>
      </c>
      <c r="B1150" t="s">
        <v>289</v>
      </c>
      <c r="C1150" t="s">
        <v>133</v>
      </c>
      <c r="D1150" s="1">
        <v>34065</v>
      </c>
      <c r="E1150" t="s">
        <v>1763</v>
      </c>
      <c r="F1150">
        <v>3</v>
      </c>
      <c r="G1150" t="s">
        <v>1789</v>
      </c>
      <c r="H1150" s="2">
        <v>1132</v>
      </c>
      <c r="I1150" t="s">
        <v>50</v>
      </c>
      <c r="J1150" s="2">
        <f>INDEX(Positions!$A:$A,MATCH(E1150,Positions!$B:$B,0))</f>
        <v>48</v>
      </c>
      <c r="K1150" s="2">
        <f>INDEX(Locations!$A:$A,MATCH(I1150,Locations!$B:$B,0))</f>
        <v>1</v>
      </c>
    </row>
    <row r="1151" spans="1:11" x14ac:dyDescent="0.2">
      <c r="A1151" s="3">
        <v>1150</v>
      </c>
      <c r="B1151" t="s">
        <v>163</v>
      </c>
      <c r="C1151" t="s">
        <v>255</v>
      </c>
      <c r="D1151" s="1">
        <v>34935</v>
      </c>
      <c r="E1151" t="s">
        <v>1761</v>
      </c>
      <c r="F1151">
        <v>4</v>
      </c>
      <c r="G1151" t="s">
        <v>1790</v>
      </c>
      <c r="H1151" s="2">
        <v>1132</v>
      </c>
      <c r="I1151" t="s">
        <v>50</v>
      </c>
      <c r="J1151" s="2">
        <f>INDEX(Positions!$A:$A,MATCH(E1151,Positions!$B:$B,0))</f>
        <v>66</v>
      </c>
      <c r="K1151" s="2">
        <f>INDEX(Locations!$A:$A,MATCH(I1151,Locations!$B:$B,0))</f>
        <v>1</v>
      </c>
    </row>
    <row r="1152" spans="1:11" x14ac:dyDescent="0.2">
      <c r="A1152" s="3">
        <v>1151</v>
      </c>
      <c r="B1152" t="s">
        <v>185</v>
      </c>
      <c r="C1152" t="s">
        <v>462</v>
      </c>
      <c r="D1152" s="1">
        <v>30960</v>
      </c>
      <c r="E1152" t="s">
        <v>1763</v>
      </c>
      <c r="F1152">
        <v>3</v>
      </c>
      <c r="G1152" t="s">
        <v>1791</v>
      </c>
      <c r="H1152" s="2">
        <v>1132</v>
      </c>
      <c r="I1152" t="s">
        <v>50</v>
      </c>
      <c r="J1152" s="2">
        <f>INDEX(Positions!$A:$A,MATCH(E1152,Positions!$B:$B,0))</f>
        <v>48</v>
      </c>
      <c r="K1152" s="2">
        <f>INDEX(Locations!$A:$A,MATCH(I1152,Locations!$B:$B,0))</f>
        <v>1</v>
      </c>
    </row>
    <row r="1153" spans="1:11" x14ac:dyDescent="0.2">
      <c r="A1153" s="3">
        <v>1152</v>
      </c>
      <c r="B1153" t="s">
        <v>364</v>
      </c>
      <c r="C1153" t="s">
        <v>149</v>
      </c>
      <c r="D1153" s="1">
        <v>29649</v>
      </c>
      <c r="E1153" t="s">
        <v>1792</v>
      </c>
      <c r="F1153">
        <v>8</v>
      </c>
      <c r="G1153" t="s">
        <v>1793</v>
      </c>
      <c r="H1153" s="2">
        <v>8</v>
      </c>
      <c r="I1153" t="s">
        <v>50</v>
      </c>
      <c r="J1153" s="2">
        <f>INDEX(Positions!$A:$A,MATCH(E1153,Positions!$B:$B,0))</f>
        <v>107</v>
      </c>
      <c r="K1153" s="2">
        <f>INDEX(Locations!$A:$A,MATCH(I1153,Locations!$B:$B,0))</f>
        <v>1</v>
      </c>
    </row>
    <row r="1154" spans="1:11" x14ac:dyDescent="0.2">
      <c r="A1154" s="3">
        <v>1153</v>
      </c>
      <c r="B1154" t="s">
        <v>453</v>
      </c>
      <c r="C1154" t="s">
        <v>143</v>
      </c>
      <c r="D1154" s="1">
        <v>30445</v>
      </c>
      <c r="E1154" t="s">
        <v>1794</v>
      </c>
      <c r="F1154">
        <v>4</v>
      </c>
      <c r="G1154" t="s">
        <v>1795</v>
      </c>
      <c r="H1154" s="2">
        <v>1152</v>
      </c>
      <c r="I1154" t="s">
        <v>1375</v>
      </c>
      <c r="J1154" s="2">
        <f>INDEX(Positions!$A:$A,MATCH(E1154,Positions!$B:$B,0))</f>
        <v>64</v>
      </c>
      <c r="K1154" s="2">
        <f>INDEX(Locations!$A:$A,MATCH(I1154,Locations!$B:$B,0))</f>
        <v>12</v>
      </c>
    </row>
    <row r="1155" spans="1:11" x14ac:dyDescent="0.2">
      <c r="A1155" s="3">
        <v>1154</v>
      </c>
      <c r="B1155" t="s">
        <v>300</v>
      </c>
      <c r="C1155" t="s">
        <v>466</v>
      </c>
      <c r="D1155" s="1">
        <v>28730</v>
      </c>
      <c r="E1155" t="s">
        <v>1796</v>
      </c>
      <c r="F1155">
        <v>7</v>
      </c>
      <c r="G1155" t="s">
        <v>1797</v>
      </c>
      <c r="H1155" s="2">
        <v>1152</v>
      </c>
      <c r="I1155" t="s">
        <v>50</v>
      </c>
      <c r="J1155" s="2">
        <f>INDEX(Positions!$A:$A,MATCH(E1155,Positions!$B:$B,0))</f>
        <v>96</v>
      </c>
      <c r="K1155" s="2">
        <f>INDEX(Locations!$A:$A,MATCH(I1155,Locations!$B:$B,0))</f>
        <v>1</v>
      </c>
    </row>
    <row r="1156" spans="1:11" x14ac:dyDescent="0.2">
      <c r="A1156" s="3">
        <v>1155</v>
      </c>
      <c r="B1156" t="s">
        <v>142</v>
      </c>
      <c r="C1156" t="s">
        <v>525</v>
      </c>
      <c r="D1156" s="1">
        <v>33944</v>
      </c>
      <c r="E1156" t="s">
        <v>1798</v>
      </c>
      <c r="F1156">
        <v>3</v>
      </c>
      <c r="G1156" t="s">
        <v>1799</v>
      </c>
      <c r="H1156" s="2">
        <v>1152</v>
      </c>
      <c r="I1156" t="s">
        <v>50</v>
      </c>
      <c r="J1156" s="2">
        <f>INDEX(Positions!$A:$A,MATCH(E1156,Positions!$B:$B,0))</f>
        <v>35</v>
      </c>
      <c r="K1156" s="2">
        <f>INDEX(Locations!$A:$A,MATCH(I1156,Locations!$B:$B,0))</f>
        <v>1</v>
      </c>
    </row>
    <row r="1157" spans="1:11" x14ac:dyDescent="0.2">
      <c r="A1157" s="3">
        <v>1156</v>
      </c>
      <c r="B1157" t="s">
        <v>455</v>
      </c>
      <c r="C1157" t="s">
        <v>295</v>
      </c>
      <c r="D1157" s="1">
        <v>35241</v>
      </c>
      <c r="E1157" t="s">
        <v>1800</v>
      </c>
      <c r="F1157">
        <v>2</v>
      </c>
      <c r="G1157" t="s">
        <v>1801</v>
      </c>
      <c r="H1157" s="2">
        <v>1152</v>
      </c>
      <c r="I1157" t="s">
        <v>1375</v>
      </c>
      <c r="J1157" s="2">
        <f>INDEX(Positions!$A:$A,MATCH(E1157,Positions!$B:$B,0))</f>
        <v>13</v>
      </c>
      <c r="K1157" s="2">
        <f>INDEX(Locations!$A:$A,MATCH(I1157,Locations!$B:$B,0))</f>
        <v>12</v>
      </c>
    </row>
    <row r="1158" spans="1:11" x14ac:dyDescent="0.2">
      <c r="A1158" s="3">
        <v>1157</v>
      </c>
      <c r="B1158" t="s">
        <v>530</v>
      </c>
      <c r="C1158" t="s">
        <v>188</v>
      </c>
      <c r="D1158" s="1">
        <v>29243</v>
      </c>
      <c r="E1158" t="s">
        <v>1796</v>
      </c>
      <c r="F1158">
        <v>7</v>
      </c>
      <c r="G1158" t="s">
        <v>1802</v>
      </c>
      <c r="H1158" s="2">
        <v>1152</v>
      </c>
      <c r="I1158" t="s">
        <v>50</v>
      </c>
      <c r="J1158" s="2">
        <f>INDEX(Positions!$A:$A,MATCH(E1158,Positions!$B:$B,0))</f>
        <v>96</v>
      </c>
      <c r="K1158" s="2">
        <f>INDEX(Locations!$A:$A,MATCH(I1158,Locations!$B:$B,0))</f>
        <v>1</v>
      </c>
    </row>
    <row r="1159" spans="1:11" x14ac:dyDescent="0.2">
      <c r="A1159" s="3">
        <v>1158</v>
      </c>
      <c r="B1159" t="s">
        <v>453</v>
      </c>
      <c r="C1159" t="s">
        <v>286</v>
      </c>
      <c r="D1159" s="1">
        <v>32490</v>
      </c>
      <c r="E1159" t="s">
        <v>1803</v>
      </c>
      <c r="F1159">
        <v>2</v>
      </c>
      <c r="G1159" t="s">
        <v>1804</v>
      </c>
      <c r="H1159" s="2">
        <v>1152</v>
      </c>
      <c r="I1159" t="s">
        <v>99</v>
      </c>
      <c r="J1159" s="2">
        <f>INDEX(Positions!$A:$A,MATCH(E1159,Positions!$B:$B,0))</f>
        <v>12</v>
      </c>
      <c r="K1159" s="2">
        <f>INDEX(Locations!$A:$A,MATCH(I1159,Locations!$B:$B,0))</f>
        <v>3</v>
      </c>
    </row>
    <row r="1160" spans="1:11" x14ac:dyDescent="0.2">
      <c r="A1160" s="3">
        <v>1159</v>
      </c>
      <c r="B1160" t="s">
        <v>1010</v>
      </c>
      <c r="C1160" t="s">
        <v>264</v>
      </c>
      <c r="D1160" s="1">
        <v>30933</v>
      </c>
      <c r="E1160" t="s">
        <v>1798</v>
      </c>
      <c r="F1160">
        <v>3</v>
      </c>
      <c r="G1160" t="s">
        <v>1805</v>
      </c>
      <c r="H1160" s="2">
        <v>1152</v>
      </c>
      <c r="I1160" t="s">
        <v>50</v>
      </c>
      <c r="J1160" s="2">
        <f>INDEX(Positions!$A:$A,MATCH(E1160,Positions!$B:$B,0))</f>
        <v>35</v>
      </c>
      <c r="K1160" s="2">
        <f>INDEX(Locations!$A:$A,MATCH(I1160,Locations!$B:$B,0))</f>
        <v>1</v>
      </c>
    </row>
    <row r="1161" spans="1:11" x14ac:dyDescent="0.2">
      <c r="A1161" s="3">
        <v>1160</v>
      </c>
      <c r="B1161" t="s">
        <v>433</v>
      </c>
      <c r="C1161" t="s">
        <v>239</v>
      </c>
      <c r="D1161" s="1">
        <v>31824</v>
      </c>
      <c r="E1161" t="s">
        <v>1794</v>
      </c>
      <c r="F1161">
        <v>4</v>
      </c>
      <c r="G1161" t="s">
        <v>1806</v>
      </c>
      <c r="H1161" s="2">
        <v>1152</v>
      </c>
      <c r="I1161" t="s">
        <v>50</v>
      </c>
      <c r="J1161" s="2">
        <f>INDEX(Positions!$A:$A,MATCH(E1161,Positions!$B:$B,0))</f>
        <v>64</v>
      </c>
      <c r="K1161" s="2">
        <f>INDEX(Locations!$A:$A,MATCH(I1161,Locations!$B:$B,0))</f>
        <v>1</v>
      </c>
    </row>
    <row r="1162" spans="1:11" x14ac:dyDescent="0.2">
      <c r="A1162" s="3">
        <v>1161</v>
      </c>
      <c r="B1162" t="s">
        <v>200</v>
      </c>
      <c r="C1162" t="s">
        <v>228</v>
      </c>
      <c r="D1162" s="1">
        <v>35655</v>
      </c>
      <c r="E1162" t="s">
        <v>1807</v>
      </c>
      <c r="F1162">
        <v>3</v>
      </c>
      <c r="G1162" t="s">
        <v>1808</v>
      </c>
      <c r="H1162" s="2">
        <v>1152</v>
      </c>
      <c r="I1162" t="s">
        <v>50</v>
      </c>
      <c r="J1162" s="2">
        <f>INDEX(Positions!$A:$A,MATCH(E1162,Positions!$B:$B,0))</f>
        <v>44</v>
      </c>
      <c r="K1162" s="2">
        <f>INDEX(Locations!$A:$A,MATCH(I1162,Locations!$B:$B,0))</f>
        <v>1</v>
      </c>
    </row>
    <row r="1163" spans="1:11" x14ac:dyDescent="0.2">
      <c r="A1163" s="3">
        <v>1162</v>
      </c>
      <c r="B1163" t="s">
        <v>83</v>
      </c>
      <c r="C1163" t="s">
        <v>305</v>
      </c>
      <c r="D1163" s="1">
        <v>33864</v>
      </c>
      <c r="E1163" t="s">
        <v>1803</v>
      </c>
      <c r="F1163">
        <v>2</v>
      </c>
      <c r="G1163" t="s">
        <v>1809</v>
      </c>
      <c r="H1163" s="2">
        <v>1152</v>
      </c>
      <c r="I1163" t="s">
        <v>1375</v>
      </c>
      <c r="J1163" s="2">
        <f>INDEX(Positions!$A:$A,MATCH(E1163,Positions!$B:$B,0))</f>
        <v>12</v>
      </c>
      <c r="K1163" s="2">
        <f>INDEX(Locations!$A:$A,MATCH(I1163,Locations!$B:$B,0))</f>
        <v>12</v>
      </c>
    </row>
    <row r="1164" spans="1:11" x14ac:dyDescent="0.2">
      <c r="A1164" s="3">
        <v>1163</v>
      </c>
      <c r="B1164" t="s">
        <v>165</v>
      </c>
      <c r="C1164" t="s">
        <v>457</v>
      </c>
      <c r="D1164" s="1">
        <v>38134</v>
      </c>
      <c r="E1164" t="s">
        <v>1800</v>
      </c>
      <c r="F1164">
        <v>2</v>
      </c>
      <c r="G1164" t="s">
        <v>1810</v>
      </c>
      <c r="H1164" s="2">
        <v>1152</v>
      </c>
      <c r="I1164" t="s">
        <v>99</v>
      </c>
      <c r="J1164" s="2">
        <f>INDEX(Positions!$A:$A,MATCH(E1164,Positions!$B:$B,0))</f>
        <v>13</v>
      </c>
      <c r="K1164" s="2">
        <f>INDEX(Locations!$A:$A,MATCH(I1164,Locations!$B:$B,0))</f>
        <v>3</v>
      </c>
    </row>
    <row r="1165" spans="1:11" x14ac:dyDescent="0.2">
      <c r="A1165" s="3">
        <v>1164</v>
      </c>
      <c r="B1165" t="s">
        <v>330</v>
      </c>
      <c r="C1165" t="s">
        <v>242</v>
      </c>
      <c r="D1165" s="1">
        <v>31605</v>
      </c>
      <c r="E1165" t="s">
        <v>1794</v>
      </c>
      <c r="F1165">
        <v>4</v>
      </c>
      <c r="G1165" t="s">
        <v>1811</v>
      </c>
      <c r="H1165" s="2">
        <v>1152</v>
      </c>
      <c r="I1165" t="s">
        <v>99</v>
      </c>
      <c r="J1165" s="2">
        <f>INDEX(Positions!$A:$A,MATCH(E1165,Positions!$B:$B,0))</f>
        <v>64</v>
      </c>
      <c r="K1165" s="2">
        <f>INDEX(Locations!$A:$A,MATCH(I1165,Locations!$B:$B,0))</f>
        <v>3</v>
      </c>
    </row>
    <row r="1166" spans="1:11" x14ac:dyDescent="0.2">
      <c r="A1166" s="3">
        <v>1165</v>
      </c>
      <c r="B1166" t="s">
        <v>428</v>
      </c>
      <c r="C1166" t="s">
        <v>444</v>
      </c>
      <c r="D1166" s="1">
        <v>34354</v>
      </c>
      <c r="E1166" t="s">
        <v>1798</v>
      </c>
      <c r="F1166">
        <v>3</v>
      </c>
      <c r="G1166" t="s">
        <v>1812</v>
      </c>
      <c r="H1166" s="2">
        <v>1152</v>
      </c>
      <c r="I1166" t="s">
        <v>99</v>
      </c>
      <c r="J1166" s="2">
        <f>INDEX(Positions!$A:$A,MATCH(E1166,Positions!$B:$B,0))</f>
        <v>35</v>
      </c>
      <c r="K1166" s="2">
        <f>INDEX(Locations!$A:$A,MATCH(I1166,Locations!$B:$B,0))</f>
        <v>3</v>
      </c>
    </row>
    <row r="1167" spans="1:11" x14ac:dyDescent="0.2">
      <c r="A1167" s="3">
        <v>1166</v>
      </c>
      <c r="B1167" t="s">
        <v>947</v>
      </c>
      <c r="C1167" t="s">
        <v>549</v>
      </c>
      <c r="D1167" s="1">
        <v>32000</v>
      </c>
      <c r="E1167" t="s">
        <v>1800</v>
      </c>
      <c r="F1167">
        <v>2</v>
      </c>
      <c r="G1167" t="s">
        <v>1813</v>
      </c>
      <c r="H1167" s="2">
        <v>1173</v>
      </c>
      <c r="I1167" t="s">
        <v>50</v>
      </c>
      <c r="J1167" s="2">
        <f>INDEX(Positions!$A:$A,MATCH(E1167,Positions!$B:$B,0))</f>
        <v>13</v>
      </c>
      <c r="K1167" s="2">
        <f>INDEX(Locations!$A:$A,MATCH(I1167,Locations!$B:$B,0))</f>
        <v>1</v>
      </c>
    </row>
    <row r="1168" spans="1:11" x14ac:dyDescent="0.2">
      <c r="A1168" s="3">
        <v>1167</v>
      </c>
      <c r="B1168" t="s">
        <v>204</v>
      </c>
      <c r="C1168" t="s">
        <v>314</v>
      </c>
      <c r="D1168" s="1">
        <v>33923</v>
      </c>
      <c r="E1168" t="s">
        <v>1798</v>
      </c>
      <c r="F1168">
        <v>3</v>
      </c>
      <c r="G1168" t="s">
        <v>1814</v>
      </c>
      <c r="H1168" s="2">
        <v>1174</v>
      </c>
      <c r="I1168" t="s">
        <v>1375</v>
      </c>
      <c r="J1168" s="2">
        <f>INDEX(Positions!$A:$A,MATCH(E1168,Positions!$B:$B,0))</f>
        <v>35</v>
      </c>
      <c r="K1168" s="2">
        <f>INDEX(Locations!$A:$A,MATCH(I1168,Locations!$B:$B,0))</f>
        <v>12</v>
      </c>
    </row>
    <row r="1169" spans="1:11" x14ac:dyDescent="0.2">
      <c r="A1169" s="3">
        <v>1168</v>
      </c>
      <c r="B1169" t="s">
        <v>513</v>
      </c>
      <c r="C1169" t="s">
        <v>552</v>
      </c>
      <c r="D1169" s="1">
        <v>32235</v>
      </c>
      <c r="E1169" t="s">
        <v>1807</v>
      </c>
      <c r="F1169">
        <v>3</v>
      </c>
      <c r="G1169" t="s">
        <v>1815</v>
      </c>
      <c r="H1169" s="2">
        <v>1173</v>
      </c>
      <c r="I1169" t="s">
        <v>50</v>
      </c>
      <c r="J1169" s="2">
        <f>INDEX(Positions!$A:$A,MATCH(E1169,Positions!$B:$B,0))</f>
        <v>44</v>
      </c>
      <c r="K1169" s="2">
        <f>INDEX(Locations!$A:$A,MATCH(I1169,Locations!$B:$B,0))</f>
        <v>1</v>
      </c>
    </row>
    <row r="1170" spans="1:11" x14ac:dyDescent="0.2">
      <c r="A1170" s="3">
        <v>1169</v>
      </c>
      <c r="B1170" t="s">
        <v>412</v>
      </c>
      <c r="C1170" t="s">
        <v>242</v>
      </c>
      <c r="D1170" s="1">
        <v>34990</v>
      </c>
      <c r="E1170" t="s">
        <v>1800</v>
      </c>
      <c r="F1170">
        <v>2</v>
      </c>
      <c r="G1170" t="s">
        <v>1816</v>
      </c>
      <c r="H1170" s="2">
        <v>1152</v>
      </c>
      <c r="I1170" t="s">
        <v>50</v>
      </c>
      <c r="J1170" s="2">
        <f>INDEX(Positions!$A:$A,MATCH(E1170,Positions!$B:$B,0))</f>
        <v>13</v>
      </c>
      <c r="K1170" s="2">
        <f>INDEX(Locations!$A:$A,MATCH(I1170,Locations!$B:$B,0))</f>
        <v>1</v>
      </c>
    </row>
    <row r="1171" spans="1:11" x14ac:dyDescent="0.2">
      <c r="A1171" s="3">
        <v>1170</v>
      </c>
      <c r="B1171" t="s">
        <v>323</v>
      </c>
      <c r="C1171" t="s">
        <v>188</v>
      </c>
      <c r="D1171" s="1">
        <v>30006</v>
      </c>
      <c r="E1171" t="s">
        <v>1796</v>
      </c>
      <c r="F1171">
        <v>7</v>
      </c>
      <c r="G1171" t="s">
        <v>1817</v>
      </c>
      <c r="H1171" s="2">
        <v>1152</v>
      </c>
      <c r="I1171" t="s">
        <v>50</v>
      </c>
      <c r="J1171" s="2">
        <f>INDEX(Positions!$A:$A,MATCH(E1171,Positions!$B:$B,0))</f>
        <v>96</v>
      </c>
      <c r="K1171" s="2">
        <f>INDEX(Locations!$A:$A,MATCH(I1171,Locations!$B:$B,0))</f>
        <v>1</v>
      </c>
    </row>
    <row r="1172" spans="1:11" x14ac:dyDescent="0.2">
      <c r="A1172" s="3">
        <v>1171</v>
      </c>
      <c r="B1172" t="s">
        <v>244</v>
      </c>
      <c r="C1172" t="s">
        <v>641</v>
      </c>
      <c r="D1172" s="1">
        <v>34817</v>
      </c>
      <c r="E1172" t="s">
        <v>1807</v>
      </c>
      <c r="F1172">
        <v>3</v>
      </c>
      <c r="G1172" t="s">
        <v>1818</v>
      </c>
      <c r="H1172" s="2">
        <v>1174</v>
      </c>
      <c r="I1172" t="s">
        <v>50</v>
      </c>
      <c r="J1172" s="2">
        <f>INDEX(Positions!$A:$A,MATCH(E1172,Positions!$B:$B,0))</f>
        <v>44</v>
      </c>
      <c r="K1172" s="2">
        <f>INDEX(Locations!$A:$A,MATCH(I1172,Locations!$B:$B,0))</f>
        <v>1</v>
      </c>
    </row>
    <row r="1173" spans="1:11" x14ac:dyDescent="0.2">
      <c r="A1173" s="3">
        <v>1172</v>
      </c>
      <c r="B1173" t="s">
        <v>553</v>
      </c>
      <c r="C1173" t="s">
        <v>320</v>
      </c>
      <c r="D1173" s="1">
        <v>35772</v>
      </c>
      <c r="E1173" t="s">
        <v>1803</v>
      </c>
      <c r="F1173">
        <v>2</v>
      </c>
      <c r="G1173" t="s">
        <v>1819</v>
      </c>
      <c r="H1173" s="2">
        <v>1173</v>
      </c>
      <c r="I1173" t="s">
        <v>50</v>
      </c>
      <c r="J1173" s="2">
        <f>INDEX(Positions!$A:$A,MATCH(E1173,Positions!$B:$B,0))</f>
        <v>12</v>
      </c>
      <c r="K1173" s="2">
        <f>INDEX(Locations!$A:$A,MATCH(I1173,Locations!$B:$B,0))</f>
        <v>1</v>
      </c>
    </row>
    <row r="1174" spans="1:11" x14ac:dyDescent="0.2">
      <c r="A1174" s="3">
        <v>1173</v>
      </c>
      <c r="B1174" t="s">
        <v>385</v>
      </c>
      <c r="C1174" t="s">
        <v>732</v>
      </c>
      <c r="D1174" s="1">
        <v>30819</v>
      </c>
      <c r="E1174" t="s">
        <v>1820</v>
      </c>
      <c r="F1174">
        <v>6</v>
      </c>
      <c r="G1174" t="s">
        <v>1821</v>
      </c>
      <c r="H1174" s="2">
        <v>1170</v>
      </c>
      <c r="I1174" t="s">
        <v>50</v>
      </c>
      <c r="J1174" s="2">
        <f>INDEX(Positions!$A:$A,MATCH(E1174,Positions!$B:$B,0))</f>
        <v>81</v>
      </c>
      <c r="K1174" s="2">
        <f>INDEX(Locations!$A:$A,MATCH(I1174,Locations!$B:$B,0))</f>
        <v>1</v>
      </c>
    </row>
    <row r="1175" spans="1:11" x14ac:dyDescent="0.2">
      <c r="A1175" s="3">
        <v>1174</v>
      </c>
      <c r="B1175" t="s">
        <v>90</v>
      </c>
      <c r="C1175" t="s">
        <v>162</v>
      </c>
      <c r="D1175" s="1">
        <v>29926</v>
      </c>
      <c r="E1175" t="s">
        <v>1820</v>
      </c>
      <c r="F1175">
        <v>6</v>
      </c>
      <c r="G1175" t="s">
        <v>1822</v>
      </c>
      <c r="H1175" s="2">
        <v>1157</v>
      </c>
      <c r="I1175" t="s">
        <v>50</v>
      </c>
      <c r="J1175" s="2">
        <f>INDEX(Positions!$A:$A,MATCH(E1175,Positions!$B:$B,0))</f>
        <v>81</v>
      </c>
      <c r="K1175" s="2">
        <f>INDEX(Locations!$A:$A,MATCH(I1175,Locations!$B:$B,0))</f>
        <v>1</v>
      </c>
    </row>
    <row r="1176" spans="1:11" x14ac:dyDescent="0.2">
      <c r="A1176" s="3">
        <v>1175</v>
      </c>
      <c r="B1176" t="s">
        <v>546</v>
      </c>
      <c r="C1176" t="s">
        <v>117</v>
      </c>
      <c r="D1176" s="1">
        <v>35872</v>
      </c>
      <c r="E1176" t="s">
        <v>1807</v>
      </c>
      <c r="F1176">
        <v>3</v>
      </c>
      <c r="G1176" t="s">
        <v>1823</v>
      </c>
      <c r="H1176" s="2">
        <v>1183</v>
      </c>
      <c r="I1176" t="s">
        <v>99</v>
      </c>
      <c r="J1176" s="2">
        <f>INDEX(Positions!$A:$A,MATCH(E1176,Positions!$B:$B,0))</f>
        <v>44</v>
      </c>
      <c r="K1176" s="2">
        <f>INDEX(Locations!$A:$A,MATCH(I1176,Locations!$B:$B,0))</f>
        <v>3</v>
      </c>
    </row>
    <row r="1177" spans="1:11" x14ac:dyDescent="0.2">
      <c r="A1177" s="3">
        <v>1176</v>
      </c>
      <c r="B1177" t="s">
        <v>148</v>
      </c>
      <c r="C1177" t="s">
        <v>380</v>
      </c>
      <c r="D1177" s="1">
        <v>34998</v>
      </c>
      <c r="E1177" t="s">
        <v>1794</v>
      </c>
      <c r="F1177">
        <v>4</v>
      </c>
      <c r="G1177" t="s">
        <v>1824</v>
      </c>
      <c r="H1177" s="2">
        <v>1173</v>
      </c>
      <c r="I1177" t="s">
        <v>50</v>
      </c>
      <c r="J1177" s="2">
        <f>INDEX(Positions!$A:$A,MATCH(E1177,Positions!$B:$B,0))</f>
        <v>64</v>
      </c>
      <c r="K1177" s="2">
        <f>INDEX(Locations!$A:$A,MATCH(I1177,Locations!$B:$B,0))</f>
        <v>1</v>
      </c>
    </row>
    <row r="1178" spans="1:11" x14ac:dyDescent="0.2">
      <c r="A1178" s="3">
        <v>1177</v>
      </c>
      <c r="B1178" t="s">
        <v>445</v>
      </c>
      <c r="C1178" t="s">
        <v>550</v>
      </c>
      <c r="D1178" s="1">
        <v>32757</v>
      </c>
      <c r="E1178" t="s">
        <v>1794</v>
      </c>
      <c r="F1178">
        <v>4</v>
      </c>
      <c r="G1178" t="s">
        <v>1825</v>
      </c>
      <c r="H1178" s="2">
        <v>1183</v>
      </c>
      <c r="I1178" t="s">
        <v>50</v>
      </c>
      <c r="J1178" s="2">
        <f>INDEX(Positions!$A:$A,MATCH(E1178,Positions!$B:$B,0))</f>
        <v>64</v>
      </c>
      <c r="K1178" s="2">
        <f>INDEX(Locations!$A:$A,MATCH(I1178,Locations!$B:$B,0))</f>
        <v>1</v>
      </c>
    </row>
    <row r="1179" spans="1:11" x14ac:dyDescent="0.2">
      <c r="A1179" s="3">
        <v>1178</v>
      </c>
      <c r="B1179" t="s">
        <v>150</v>
      </c>
      <c r="C1179" t="s">
        <v>388</v>
      </c>
      <c r="D1179" s="1">
        <v>34579</v>
      </c>
      <c r="E1179" t="s">
        <v>1800</v>
      </c>
      <c r="F1179">
        <v>2</v>
      </c>
      <c r="G1179" t="s">
        <v>1826</v>
      </c>
      <c r="H1179" s="2">
        <v>1174</v>
      </c>
      <c r="I1179" t="s">
        <v>50</v>
      </c>
      <c r="J1179" s="2">
        <f>INDEX(Positions!$A:$A,MATCH(E1179,Positions!$B:$B,0))</f>
        <v>13</v>
      </c>
      <c r="K1179" s="2">
        <f>INDEX(Locations!$A:$A,MATCH(I1179,Locations!$B:$B,0))</f>
        <v>1</v>
      </c>
    </row>
    <row r="1180" spans="1:11" x14ac:dyDescent="0.2">
      <c r="A1180" s="3">
        <v>1179</v>
      </c>
      <c r="B1180" t="s">
        <v>343</v>
      </c>
      <c r="C1180" t="s">
        <v>1668</v>
      </c>
      <c r="D1180" s="1">
        <v>38008</v>
      </c>
      <c r="E1180" t="s">
        <v>1803</v>
      </c>
      <c r="F1180">
        <v>2</v>
      </c>
      <c r="G1180" t="s">
        <v>1827</v>
      </c>
      <c r="H1180" s="2">
        <v>1174</v>
      </c>
      <c r="I1180" t="s">
        <v>50</v>
      </c>
      <c r="J1180" s="2">
        <f>INDEX(Positions!$A:$A,MATCH(E1180,Positions!$B:$B,0))</f>
        <v>12</v>
      </c>
      <c r="K1180" s="2">
        <f>INDEX(Locations!$A:$A,MATCH(I1180,Locations!$B:$B,0))</f>
        <v>1</v>
      </c>
    </row>
    <row r="1181" spans="1:11" x14ac:dyDescent="0.2">
      <c r="A1181" s="3">
        <v>1180</v>
      </c>
      <c r="B1181" t="s">
        <v>349</v>
      </c>
      <c r="C1181" t="s">
        <v>182</v>
      </c>
      <c r="D1181" s="1">
        <v>34696</v>
      </c>
      <c r="E1181" t="s">
        <v>1807</v>
      </c>
      <c r="F1181">
        <v>3</v>
      </c>
      <c r="G1181" t="s">
        <v>1828</v>
      </c>
      <c r="H1181" s="2">
        <v>1173</v>
      </c>
      <c r="I1181" t="s">
        <v>50</v>
      </c>
      <c r="J1181" s="2">
        <f>INDEX(Positions!$A:$A,MATCH(E1181,Positions!$B:$B,0))</f>
        <v>44</v>
      </c>
      <c r="K1181" s="2">
        <f>INDEX(Locations!$A:$A,MATCH(I1181,Locations!$B:$B,0))</f>
        <v>1</v>
      </c>
    </row>
    <row r="1182" spans="1:11" x14ac:dyDescent="0.2">
      <c r="A1182" s="3">
        <v>1181</v>
      </c>
      <c r="B1182" t="s">
        <v>227</v>
      </c>
      <c r="C1182" t="s">
        <v>182</v>
      </c>
      <c r="D1182" s="1">
        <v>33699</v>
      </c>
      <c r="E1182" t="s">
        <v>1794</v>
      </c>
      <c r="F1182">
        <v>4</v>
      </c>
      <c r="G1182" t="s">
        <v>1829</v>
      </c>
      <c r="H1182" s="2">
        <v>1174</v>
      </c>
      <c r="I1182" t="s">
        <v>50</v>
      </c>
      <c r="J1182" s="2">
        <f>INDEX(Positions!$A:$A,MATCH(E1182,Positions!$B:$B,0))</f>
        <v>64</v>
      </c>
      <c r="K1182" s="2">
        <f>INDEX(Locations!$A:$A,MATCH(I1182,Locations!$B:$B,0))</f>
        <v>1</v>
      </c>
    </row>
    <row r="1183" spans="1:11" x14ac:dyDescent="0.2">
      <c r="A1183" s="3">
        <v>1182</v>
      </c>
      <c r="B1183" t="s">
        <v>329</v>
      </c>
      <c r="C1183" t="s">
        <v>497</v>
      </c>
      <c r="D1183" s="1">
        <v>33590</v>
      </c>
      <c r="E1183" t="s">
        <v>1803</v>
      </c>
      <c r="F1183">
        <v>2</v>
      </c>
      <c r="G1183" t="s">
        <v>1830</v>
      </c>
      <c r="H1183" s="2">
        <v>1174</v>
      </c>
      <c r="I1183" t="s">
        <v>50</v>
      </c>
      <c r="J1183" s="2">
        <f>INDEX(Positions!$A:$A,MATCH(E1183,Positions!$B:$B,0))</f>
        <v>12</v>
      </c>
      <c r="K1183" s="2">
        <f>INDEX(Locations!$A:$A,MATCH(I1183,Locations!$B:$B,0))</f>
        <v>1</v>
      </c>
    </row>
    <row r="1184" spans="1:11" x14ac:dyDescent="0.2">
      <c r="A1184" s="3">
        <v>1183</v>
      </c>
      <c r="B1184" t="s">
        <v>302</v>
      </c>
      <c r="C1184" t="s">
        <v>193</v>
      </c>
      <c r="D1184" s="1">
        <v>32384</v>
      </c>
      <c r="E1184" t="s">
        <v>1820</v>
      </c>
      <c r="F1184">
        <v>6</v>
      </c>
      <c r="G1184" t="s">
        <v>1831</v>
      </c>
      <c r="H1184" s="2">
        <v>1154</v>
      </c>
      <c r="I1184" t="s">
        <v>50</v>
      </c>
      <c r="J1184" s="2">
        <f>INDEX(Positions!$A:$A,MATCH(E1184,Positions!$B:$B,0))</f>
        <v>81</v>
      </c>
      <c r="K1184" s="2">
        <f>INDEX(Locations!$A:$A,MATCH(I1184,Locations!$B:$B,0))</f>
        <v>1</v>
      </c>
    </row>
    <row r="1185" spans="1:11" x14ac:dyDescent="0.2">
      <c r="A1185" s="3">
        <v>1184</v>
      </c>
      <c r="B1185" t="s">
        <v>213</v>
      </c>
      <c r="C1185" t="s">
        <v>354</v>
      </c>
      <c r="D1185" s="1">
        <v>35658</v>
      </c>
      <c r="E1185" t="s">
        <v>1807</v>
      </c>
      <c r="F1185">
        <v>3</v>
      </c>
      <c r="G1185" t="s">
        <v>1832</v>
      </c>
      <c r="H1185" s="2">
        <v>1174</v>
      </c>
      <c r="I1185" t="s">
        <v>50</v>
      </c>
      <c r="J1185" s="2">
        <f>INDEX(Positions!$A:$A,MATCH(E1185,Positions!$B:$B,0))</f>
        <v>44</v>
      </c>
      <c r="K1185" s="2">
        <f>INDEX(Locations!$A:$A,MATCH(I1185,Locations!$B:$B,0))</f>
        <v>1</v>
      </c>
    </row>
    <row r="1186" spans="1:11" x14ac:dyDescent="0.2">
      <c r="A1186" s="3">
        <v>1185</v>
      </c>
      <c r="B1186" t="s">
        <v>338</v>
      </c>
      <c r="C1186" t="s">
        <v>732</v>
      </c>
      <c r="D1186" s="1">
        <v>38080</v>
      </c>
      <c r="E1186" t="s">
        <v>1807</v>
      </c>
      <c r="F1186">
        <v>3</v>
      </c>
      <c r="G1186" t="s">
        <v>1833</v>
      </c>
      <c r="H1186" s="2">
        <v>1183</v>
      </c>
      <c r="I1186" t="s">
        <v>50</v>
      </c>
      <c r="J1186" s="2">
        <f>INDEX(Positions!$A:$A,MATCH(E1186,Positions!$B:$B,0))</f>
        <v>44</v>
      </c>
      <c r="K1186" s="2">
        <f>INDEX(Locations!$A:$A,MATCH(I1186,Locations!$B:$B,0))</f>
        <v>1</v>
      </c>
    </row>
    <row r="1187" spans="1:11" x14ac:dyDescent="0.2">
      <c r="A1187" s="3">
        <v>1186</v>
      </c>
      <c r="B1187" t="s">
        <v>75</v>
      </c>
      <c r="C1187" t="s">
        <v>294</v>
      </c>
      <c r="D1187" s="1">
        <v>33137</v>
      </c>
      <c r="E1187" t="s">
        <v>1798</v>
      </c>
      <c r="F1187">
        <v>3</v>
      </c>
      <c r="G1187" t="s">
        <v>1834</v>
      </c>
      <c r="H1187" s="2">
        <v>1173</v>
      </c>
      <c r="I1187" t="s">
        <v>50</v>
      </c>
      <c r="J1187" s="2">
        <f>INDEX(Positions!$A:$A,MATCH(E1187,Positions!$B:$B,0))</f>
        <v>35</v>
      </c>
      <c r="K1187" s="2">
        <f>INDEX(Locations!$A:$A,MATCH(I1187,Locations!$B:$B,0))</f>
        <v>1</v>
      </c>
    </row>
    <row r="1188" spans="1:11" x14ac:dyDescent="0.2">
      <c r="A1188" s="3">
        <v>1187</v>
      </c>
      <c r="B1188" t="s">
        <v>532</v>
      </c>
      <c r="C1188" t="s">
        <v>290</v>
      </c>
      <c r="D1188" s="1">
        <v>35947</v>
      </c>
      <c r="E1188" t="s">
        <v>1803</v>
      </c>
      <c r="F1188">
        <v>2</v>
      </c>
      <c r="G1188" t="s">
        <v>1835</v>
      </c>
      <c r="H1188" s="2">
        <v>1174</v>
      </c>
      <c r="I1188" t="s">
        <v>50</v>
      </c>
      <c r="J1188" s="2">
        <f>INDEX(Positions!$A:$A,MATCH(E1188,Positions!$B:$B,0))</f>
        <v>12</v>
      </c>
      <c r="K1188" s="2">
        <f>INDEX(Locations!$A:$A,MATCH(I1188,Locations!$B:$B,0))</f>
        <v>1</v>
      </c>
    </row>
    <row r="1189" spans="1:11" x14ac:dyDescent="0.2">
      <c r="A1189" s="3">
        <v>1188</v>
      </c>
      <c r="B1189" t="s">
        <v>501</v>
      </c>
      <c r="C1189" t="s">
        <v>327</v>
      </c>
      <c r="D1189" s="1">
        <v>33937</v>
      </c>
      <c r="E1189" t="s">
        <v>1794</v>
      </c>
      <c r="F1189">
        <v>4</v>
      </c>
      <c r="G1189" t="s">
        <v>1836</v>
      </c>
      <c r="H1189" s="2">
        <v>1183</v>
      </c>
      <c r="I1189" t="s">
        <v>50</v>
      </c>
      <c r="J1189" s="2">
        <f>INDEX(Positions!$A:$A,MATCH(E1189,Positions!$B:$B,0))</f>
        <v>64</v>
      </c>
      <c r="K1189" s="2">
        <f>INDEX(Locations!$A:$A,MATCH(I1189,Locations!$B:$B,0))</f>
        <v>1</v>
      </c>
    </row>
    <row r="1190" spans="1:11" x14ac:dyDescent="0.2">
      <c r="A1190" s="3">
        <v>1189</v>
      </c>
      <c r="B1190" t="s">
        <v>406</v>
      </c>
      <c r="C1190" t="s">
        <v>304</v>
      </c>
      <c r="D1190" s="1">
        <v>37680</v>
      </c>
      <c r="E1190" t="s">
        <v>1798</v>
      </c>
      <c r="F1190">
        <v>3</v>
      </c>
      <c r="G1190" t="s">
        <v>1837</v>
      </c>
      <c r="H1190" s="2">
        <v>1174</v>
      </c>
      <c r="I1190" t="s">
        <v>50</v>
      </c>
      <c r="J1190" s="2">
        <f>INDEX(Positions!$A:$A,MATCH(E1190,Positions!$B:$B,0))</f>
        <v>35</v>
      </c>
      <c r="K1190" s="2">
        <f>INDEX(Locations!$A:$A,MATCH(I1190,Locations!$B:$B,0))</f>
        <v>1</v>
      </c>
    </row>
    <row r="1191" spans="1:11" x14ac:dyDescent="0.2">
      <c r="A1191" s="3">
        <v>1190</v>
      </c>
      <c r="B1191" t="s">
        <v>202</v>
      </c>
      <c r="C1191" t="s">
        <v>98</v>
      </c>
      <c r="D1191" s="1">
        <v>31057</v>
      </c>
      <c r="E1191" t="s">
        <v>1794</v>
      </c>
      <c r="F1191">
        <v>4</v>
      </c>
      <c r="G1191" t="s">
        <v>1838</v>
      </c>
      <c r="H1191" s="2">
        <v>1183</v>
      </c>
      <c r="I1191" t="s">
        <v>50</v>
      </c>
      <c r="J1191" s="2">
        <f>INDEX(Positions!$A:$A,MATCH(E1191,Positions!$B:$B,0))</f>
        <v>64</v>
      </c>
      <c r="K1191" s="2">
        <f>INDEX(Locations!$A:$A,MATCH(I1191,Locations!$B:$B,0))</f>
        <v>1</v>
      </c>
    </row>
    <row r="1192" spans="1:11" x14ac:dyDescent="0.2">
      <c r="A1192" s="3">
        <v>1191</v>
      </c>
      <c r="B1192" t="s">
        <v>528</v>
      </c>
      <c r="C1192" t="s">
        <v>457</v>
      </c>
      <c r="D1192" s="1">
        <v>36273</v>
      </c>
      <c r="E1192" t="s">
        <v>1803</v>
      </c>
      <c r="F1192">
        <v>2</v>
      </c>
      <c r="G1192" t="s">
        <v>1839</v>
      </c>
      <c r="H1192" s="2">
        <v>1174</v>
      </c>
      <c r="I1192" t="s">
        <v>50</v>
      </c>
      <c r="J1192" s="2">
        <f>INDEX(Positions!$A:$A,MATCH(E1192,Positions!$B:$B,0))</f>
        <v>12</v>
      </c>
      <c r="K1192" s="2">
        <f>INDEX(Locations!$A:$A,MATCH(I1192,Locations!$B:$B,0))</f>
        <v>1</v>
      </c>
    </row>
    <row r="1193" spans="1:11" x14ac:dyDescent="0.2">
      <c r="A1193" s="3">
        <v>1192</v>
      </c>
      <c r="B1193" t="s">
        <v>486</v>
      </c>
      <c r="C1193" t="s">
        <v>72</v>
      </c>
      <c r="D1193" s="1">
        <v>35107</v>
      </c>
      <c r="E1193" t="s">
        <v>1798</v>
      </c>
      <c r="F1193">
        <v>3</v>
      </c>
      <c r="G1193" t="s">
        <v>1840</v>
      </c>
      <c r="H1193" s="2">
        <v>1174</v>
      </c>
      <c r="I1193" t="s">
        <v>50</v>
      </c>
      <c r="J1193" s="2">
        <f>INDEX(Positions!$A:$A,MATCH(E1193,Positions!$B:$B,0))</f>
        <v>35</v>
      </c>
      <c r="K1193" s="2">
        <f>INDEX(Locations!$A:$A,MATCH(I1193,Locations!$B:$B,0))</f>
        <v>1</v>
      </c>
    </row>
    <row r="1194" spans="1:11" x14ac:dyDescent="0.2">
      <c r="A1194" s="3">
        <v>1193</v>
      </c>
      <c r="B1194" t="s">
        <v>533</v>
      </c>
      <c r="C1194" t="s">
        <v>326</v>
      </c>
      <c r="D1194" s="1">
        <v>34815</v>
      </c>
      <c r="E1194" t="s">
        <v>1807</v>
      </c>
      <c r="F1194">
        <v>3</v>
      </c>
      <c r="G1194" t="s">
        <v>1841</v>
      </c>
      <c r="H1194" s="2">
        <v>1174</v>
      </c>
      <c r="I1194" t="s">
        <v>1375</v>
      </c>
      <c r="J1194" s="2">
        <f>INDEX(Positions!$A:$A,MATCH(E1194,Positions!$B:$B,0))</f>
        <v>44</v>
      </c>
      <c r="K1194" s="2">
        <f>INDEX(Locations!$A:$A,MATCH(I1194,Locations!$B:$B,0))</f>
        <v>12</v>
      </c>
    </row>
    <row r="1195" spans="1:11" x14ac:dyDescent="0.2">
      <c r="A1195" s="3">
        <v>1194</v>
      </c>
      <c r="B1195" t="s">
        <v>229</v>
      </c>
      <c r="C1195" t="s">
        <v>361</v>
      </c>
      <c r="D1195" s="1">
        <v>36677</v>
      </c>
      <c r="E1195" t="s">
        <v>1803</v>
      </c>
      <c r="F1195">
        <v>2</v>
      </c>
      <c r="G1195" t="s">
        <v>1842</v>
      </c>
      <c r="H1195" s="2">
        <v>1183</v>
      </c>
      <c r="I1195" t="s">
        <v>50</v>
      </c>
      <c r="J1195" s="2">
        <f>INDEX(Positions!$A:$A,MATCH(E1195,Positions!$B:$B,0))</f>
        <v>12</v>
      </c>
      <c r="K1195" s="2">
        <f>INDEX(Locations!$A:$A,MATCH(I1195,Locations!$B:$B,0))</f>
        <v>1</v>
      </c>
    </row>
    <row r="1196" spans="1:11" x14ac:dyDescent="0.2">
      <c r="A1196" s="3">
        <v>1195</v>
      </c>
      <c r="B1196" t="s">
        <v>306</v>
      </c>
      <c r="C1196" t="s">
        <v>439</v>
      </c>
      <c r="D1196" s="1">
        <v>34500</v>
      </c>
      <c r="E1196" t="s">
        <v>1807</v>
      </c>
      <c r="F1196">
        <v>3</v>
      </c>
      <c r="G1196" t="s">
        <v>1843</v>
      </c>
      <c r="H1196" s="2">
        <v>1174</v>
      </c>
      <c r="I1196" t="s">
        <v>50</v>
      </c>
      <c r="J1196" s="2">
        <f>INDEX(Positions!$A:$A,MATCH(E1196,Positions!$B:$B,0))</f>
        <v>44</v>
      </c>
      <c r="K1196" s="2">
        <f>INDEX(Locations!$A:$A,MATCH(I1196,Locations!$B:$B,0))</f>
        <v>1</v>
      </c>
    </row>
    <row r="1197" spans="1:11" x14ac:dyDescent="0.2">
      <c r="A1197" s="3">
        <v>1196</v>
      </c>
      <c r="B1197" t="s">
        <v>455</v>
      </c>
      <c r="C1197" t="s">
        <v>432</v>
      </c>
      <c r="D1197" s="1">
        <v>38506</v>
      </c>
      <c r="E1197" t="s">
        <v>1803</v>
      </c>
      <c r="F1197">
        <v>2</v>
      </c>
      <c r="G1197" t="s">
        <v>1844</v>
      </c>
      <c r="H1197" s="2">
        <v>1183</v>
      </c>
      <c r="I1197" t="s">
        <v>50</v>
      </c>
      <c r="J1197" s="2">
        <f>INDEX(Positions!$A:$A,MATCH(E1197,Positions!$B:$B,0))</f>
        <v>12</v>
      </c>
      <c r="K1197" s="2">
        <f>INDEX(Locations!$A:$A,MATCH(I1197,Locations!$B:$B,0))</f>
        <v>1</v>
      </c>
    </row>
    <row r="1198" spans="1:11" x14ac:dyDescent="0.2">
      <c r="A1198" s="3">
        <v>1197</v>
      </c>
      <c r="B1198" t="s">
        <v>268</v>
      </c>
      <c r="C1198" t="s">
        <v>549</v>
      </c>
      <c r="D1198" s="1">
        <v>32226</v>
      </c>
      <c r="E1198" t="s">
        <v>1845</v>
      </c>
      <c r="F1198">
        <v>5</v>
      </c>
      <c r="G1198" t="s">
        <v>1846</v>
      </c>
      <c r="H1198" s="2">
        <v>1173</v>
      </c>
      <c r="I1198" t="s">
        <v>50</v>
      </c>
      <c r="J1198" s="2">
        <f>INDEX(Positions!$A:$A,MATCH(E1198,Positions!$B:$B,0))</f>
        <v>72</v>
      </c>
      <c r="K1198" s="2">
        <f>INDEX(Locations!$A:$A,MATCH(I1198,Locations!$B:$B,0))</f>
        <v>1</v>
      </c>
    </row>
    <row r="1199" spans="1:11" x14ac:dyDescent="0.2">
      <c r="A1199" s="3">
        <v>1198</v>
      </c>
      <c r="B1199" t="s">
        <v>435</v>
      </c>
      <c r="C1199" t="s">
        <v>201</v>
      </c>
      <c r="D1199" s="1">
        <v>35482</v>
      </c>
      <c r="E1199" t="s">
        <v>1794</v>
      </c>
      <c r="F1199">
        <v>4</v>
      </c>
      <c r="G1199" t="s">
        <v>1847</v>
      </c>
      <c r="H1199" s="2">
        <v>1174</v>
      </c>
      <c r="I1199" t="s">
        <v>50</v>
      </c>
      <c r="J1199" s="2">
        <f>INDEX(Positions!$A:$A,MATCH(E1199,Positions!$B:$B,0))</f>
        <v>64</v>
      </c>
      <c r="K1199" s="2">
        <f>INDEX(Locations!$A:$A,MATCH(I1199,Locations!$B:$B,0))</f>
        <v>1</v>
      </c>
    </row>
    <row r="1200" spans="1:11" x14ac:dyDescent="0.2">
      <c r="A1200" s="3">
        <v>1199</v>
      </c>
      <c r="B1200" t="s">
        <v>638</v>
      </c>
      <c r="C1200" t="s">
        <v>552</v>
      </c>
      <c r="D1200" s="1">
        <v>38387</v>
      </c>
      <c r="E1200" t="s">
        <v>1803</v>
      </c>
      <c r="F1200">
        <v>2</v>
      </c>
      <c r="G1200" t="s">
        <v>1848</v>
      </c>
      <c r="H1200" s="2">
        <v>1173</v>
      </c>
      <c r="I1200" t="s">
        <v>50</v>
      </c>
      <c r="J1200" s="2">
        <f>INDEX(Positions!$A:$A,MATCH(E1200,Positions!$B:$B,0))</f>
        <v>12</v>
      </c>
      <c r="K1200" s="2">
        <f>INDEX(Locations!$A:$A,MATCH(I1200,Locations!$B:$B,0))</f>
        <v>1</v>
      </c>
    </row>
    <row r="1201" spans="1:11" x14ac:dyDescent="0.2">
      <c r="A1201" s="3">
        <v>1200</v>
      </c>
      <c r="B1201" t="s">
        <v>328</v>
      </c>
      <c r="C1201" t="s">
        <v>392</v>
      </c>
      <c r="D1201" s="1">
        <v>31962</v>
      </c>
      <c r="E1201" t="s">
        <v>1845</v>
      </c>
      <c r="F1201">
        <v>5</v>
      </c>
      <c r="G1201" t="s">
        <v>1849</v>
      </c>
      <c r="H1201" s="2">
        <v>1183</v>
      </c>
      <c r="I1201" t="s">
        <v>50</v>
      </c>
      <c r="J1201" s="2">
        <f>INDEX(Positions!$A:$A,MATCH(E1201,Positions!$B:$B,0))</f>
        <v>72</v>
      </c>
      <c r="K1201" s="2">
        <f>INDEX(Locations!$A:$A,MATCH(I1201,Locations!$B:$B,0))</f>
        <v>1</v>
      </c>
    </row>
    <row r="1202" spans="1:11" x14ac:dyDescent="0.2">
      <c r="A1202" s="3">
        <v>1201</v>
      </c>
      <c r="B1202" t="s">
        <v>436</v>
      </c>
      <c r="C1202" t="s">
        <v>554</v>
      </c>
      <c r="D1202" s="1">
        <v>35826</v>
      </c>
      <c r="E1202" t="s">
        <v>1803</v>
      </c>
      <c r="F1202">
        <v>2</v>
      </c>
      <c r="G1202" t="s">
        <v>1850</v>
      </c>
      <c r="H1202" s="2">
        <v>1183</v>
      </c>
      <c r="I1202" t="s">
        <v>50</v>
      </c>
      <c r="J1202" s="2">
        <f>INDEX(Positions!$A:$A,MATCH(E1202,Positions!$B:$B,0))</f>
        <v>12</v>
      </c>
      <c r="K1202" s="2">
        <f>INDEX(Locations!$A:$A,MATCH(I1202,Locations!$B:$B,0))</f>
        <v>1</v>
      </c>
    </row>
    <row r="1203" spans="1:11" x14ac:dyDescent="0.2">
      <c r="A1203" s="3">
        <v>1202</v>
      </c>
      <c r="B1203" t="s">
        <v>257</v>
      </c>
      <c r="C1203" t="s">
        <v>429</v>
      </c>
      <c r="D1203" s="1">
        <v>37352</v>
      </c>
      <c r="E1203" t="s">
        <v>1807</v>
      </c>
      <c r="F1203">
        <v>3</v>
      </c>
      <c r="G1203" t="s">
        <v>1851</v>
      </c>
      <c r="H1203" s="2">
        <v>1183</v>
      </c>
      <c r="I1203" t="s">
        <v>50</v>
      </c>
      <c r="J1203" s="2">
        <f>INDEX(Positions!$A:$A,MATCH(E1203,Positions!$B:$B,0))</f>
        <v>44</v>
      </c>
      <c r="K1203" s="2">
        <f>INDEX(Locations!$A:$A,MATCH(I1203,Locations!$B:$B,0))</f>
        <v>1</v>
      </c>
    </row>
    <row r="1204" spans="1:11" x14ac:dyDescent="0.2">
      <c r="A1204" s="3">
        <v>1203</v>
      </c>
      <c r="B1204" t="s">
        <v>146</v>
      </c>
      <c r="C1204" t="s">
        <v>145</v>
      </c>
      <c r="D1204" s="1">
        <v>34440</v>
      </c>
      <c r="E1204" t="s">
        <v>1803</v>
      </c>
      <c r="F1204">
        <v>2</v>
      </c>
      <c r="G1204" t="s">
        <v>1852</v>
      </c>
      <c r="H1204" s="2">
        <v>1173</v>
      </c>
      <c r="I1204" t="s">
        <v>50</v>
      </c>
      <c r="J1204" s="2">
        <f>INDEX(Positions!$A:$A,MATCH(E1204,Positions!$B:$B,0))</f>
        <v>12</v>
      </c>
      <c r="K1204" s="2">
        <f>INDEX(Locations!$A:$A,MATCH(I1204,Locations!$B:$B,0))</f>
        <v>1</v>
      </c>
    </row>
    <row r="1205" spans="1:11" x14ac:dyDescent="0.2">
      <c r="A1205" s="3">
        <v>1204</v>
      </c>
      <c r="B1205" t="s">
        <v>579</v>
      </c>
      <c r="C1205" t="s">
        <v>193</v>
      </c>
      <c r="D1205" s="1">
        <v>30531</v>
      </c>
      <c r="E1205" t="s">
        <v>1796</v>
      </c>
      <c r="F1205">
        <v>7</v>
      </c>
      <c r="G1205" t="s">
        <v>1853</v>
      </c>
      <c r="H1205" s="2">
        <v>1152</v>
      </c>
      <c r="I1205" t="s">
        <v>99</v>
      </c>
      <c r="J1205" s="2">
        <f>INDEX(Positions!$A:$A,MATCH(E1205,Positions!$B:$B,0))</f>
        <v>96</v>
      </c>
      <c r="K1205" s="2">
        <f>INDEX(Locations!$A:$A,MATCH(I1205,Locations!$B:$B,0))</f>
        <v>3</v>
      </c>
    </row>
    <row r="1206" spans="1:11" x14ac:dyDescent="0.2">
      <c r="A1206" s="3">
        <v>1205</v>
      </c>
      <c r="B1206" t="s">
        <v>364</v>
      </c>
      <c r="C1206" t="s">
        <v>169</v>
      </c>
      <c r="D1206" s="1">
        <v>33866</v>
      </c>
      <c r="E1206" t="s">
        <v>1800</v>
      </c>
      <c r="F1206">
        <v>2</v>
      </c>
      <c r="G1206" t="s">
        <v>1854</v>
      </c>
      <c r="H1206" s="2">
        <v>1183</v>
      </c>
      <c r="I1206" t="s">
        <v>50</v>
      </c>
      <c r="J1206" s="2">
        <f>INDEX(Positions!$A:$A,MATCH(E1206,Positions!$B:$B,0))</f>
        <v>13</v>
      </c>
      <c r="K1206" s="2">
        <f>INDEX(Locations!$A:$A,MATCH(I1206,Locations!$B:$B,0))</f>
        <v>1</v>
      </c>
    </row>
    <row r="1207" spans="1:11" x14ac:dyDescent="0.2">
      <c r="A1207" s="3">
        <v>1206</v>
      </c>
      <c r="B1207" t="s">
        <v>261</v>
      </c>
      <c r="C1207" t="s">
        <v>750</v>
      </c>
      <c r="D1207" s="1">
        <v>35319</v>
      </c>
      <c r="E1207" t="s">
        <v>1807</v>
      </c>
      <c r="F1207">
        <v>3</v>
      </c>
      <c r="G1207" t="s">
        <v>1855</v>
      </c>
      <c r="H1207" s="2">
        <v>1174</v>
      </c>
      <c r="I1207" t="s">
        <v>50</v>
      </c>
      <c r="J1207" s="2">
        <f>INDEX(Positions!$A:$A,MATCH(E1207,Positions!$B:$B,0))</f>
        <v>44</v>
      </c>
      <c r="K1207" s="2">
        <f>INDEX(Locations!$A:$A,MATCH(I1207,Locations!$B:$B,0))</f>
        <v>1</v>
      </c>
    </row>
    <row r="1208" spans="1:11" x14ac:dyDescent="0.2">
      <c r="A1208" s="3">
        <v>1207</v>
      </c>
      <c r="B1208" t="s">
        <v>215</v>
      </c>
      <c r="C1208" t="s">
        <v>128</v>
      </c>
      <c r="D1208" s="1">
        <v>34981</v>
      </c>
      <c r="E1208" t="s">
        <v>1807</v>
      </c>
      <c r="F1208">
        <v>3</v>
      </c>
      <c r="G1208" t="s">
        <v>1856</v>
      </c>
      <c r="H1208" s="2">
        <v>1173</v>
      </c>
      <c r="I1208" t="s">
        <v>50</v>
      </c>
      <c r="J1208" s="2">
        <f>INDEX(Positions!$A:$A,MATCH(E1208,Positions!$B:$B,0))</f>
        <v>44</v>
      </c>
      <c r="K1208" s="2">
        <f>INDEX(Locations!$A:$A,MATCH(I1208,Locations!$B:$B,0))</f>
        <v>1</v>
      </c>
    </row>
    <row r="1209" spans="1:11" x14ac:dyDescent="0.2">
      <c r="A1209" s="3">
        <v>1208</v>
      </c>
      <c r="B1209" t="s">
        <v>492</v>
      </c>
      <c r="C1209" t="s">
        <v>317</v>
      </c>
      <c r="D1209" s="1">
        <v>37783</v>
      </c>
      <c r="E1209" t="s">
        <v>1807</v>
      </c>
      <c r="F1209">
        <v>3</v>
      </c>
      <c r="G1209" t="s">
        <v>1857</v>
      </c>
      <c r="H1209" s="2">
        <v>1173</v>
      </c>
      <c r="I1209" t="s">
        <v>50</v>
      </c>
      <c r="J1209" s="2">
        <f>INDEX(Positions!$A:$A,MATCH(E1209,Positions!$B:$B,0))</f>
        <v>44</v>
      </c>
      <c r="K1209" s="2">
        <f>INDEX(Locations!$A:$A,MATCH(I1209,Locations!$B:$B,0))</f>
        <v>1</v>
      </c>
    </row>
    <row r="1210" spans="1:11" x14ac:dyDescent="0.2">
      <c r="A1210" s="3">
        <v>1209</v>
      </c>
      <c r="B1210" t="s">
        <v>453</v>
      </c>
      <c r="C1210" t="s">
        <v>242</v>
      </c>
      <c r="D1210" s="1">
        <v>36921</v>
      </c>
      <c r="E1210" t="s">
        <v>1798</v>
      </c>
      <c r="F1210">
        <v>3</v>
      </c>
      <c r="G1210" t="s">
        <v>1858</v>
      </c>
      <c r="H1210" s="2">
        <v>1183</v>
      </c>
      <c r="I1210" t="s">
        <v>50</v>
      </c>
      <c r="J1210" s="2">
        <f>INDEX(Positions!$A:$A,MATCH(E1210,Positions!$B:$B,0))</f>
        <v>35</v>
      </c>
      <c r="K1210" s="2">
        <f>INDEX(Locations!$A:$A,MATCH(I1210,Locations!$B:$B,0))</f>
        <v>1</v>
      </c>
    </row>
    <row r="1211" spans="1:11" x14ac:dyDescent="0.2">
      <c r="A1211" s="3">
        <v>1210</v>
      </c>
      <c r="B1211" t="s">
        <v>486</v>
      </c>
      <c r="C1211" t="s">
        <v>407</v>
      </c>
      <c r="D1211" s="1">
        <v>36826</v>
      </c>
      <c r="E1211" t="s">
        <v>1803</v>
      </c>
      <c r="F1211">
        <v>2</v>
      </c>
      <c r="G1211" t="s">
        <v>1859</v>
      </c>
      <c r="H1211" s="2">
        <v>1173</v>
      </c>
      <c r="I1211" t="s">
        <v>50</v>
      </c>
      <c r="J1211" s="2">
        <f>INDEX(Positions!$A:$A,MATCH(E1211,Positions!$B:$B,0))</f>
        <v>12</v>
      </c>
      <c r="K1211" s="2">
        <f>INDEX(Locations!$A:$A,MATCH(I1211,Locations!$B:$B,0))</f>
        <v>1</v>
      </c>
    </row>
    <row r="1212" spans="1:11" x14ac:dyDescent="0.2">
      <c r="A1212" s="3">
        <v>1211</v>
      </c>
      <c r="B1212" t="s">
        <v>367</v>
      </c>
      <c r="C1212" t="s">
        <v>188</v>
      </c>
      <c r="D1212" s="1">
        <v>34470</v>
      </c>
      <c r="E1212" t="s">
        <v>1794</v>
      </c>
      <c r="F1212">
        <v>4</v>
      </c>
      <c r="G1212" t="s">
        <v>1860</v>
      </c>
      <c r="H1212" s="2">
        <v>1173</v>
      </c>
      <c r="I1212" t="s">
        <v>50</v>
      </c>
      <c r="J1212" s="2">
        <f>INDEX(Positions!$A:$A,MATCH(E1212,Positions!$B:$B,0))</f>
        <v>64</v>
      </c>
      <c r="K1212" s="2">
        <f>INDEX(Locations!$A:$A,MATCH(I1212,Locations!$B:$B,0))</f>
        <v>1</v>
      </c>
    </row>
    <row r="1213" spans="1:11" x14ac:dyDescent="0.2">
      <c r="A1213" s="3">
        <v>1212</v>
      </c>
      <c r="B1213" t="s">
        <v>97</v>
      </c>
      <c r="C1213" t="s">
        <v>526</v>
      </c>
      <c r="D1213" s="1">
        <v>32572</v>
      </c>
      <c r="E1213" t="s">
        <v>1845</v>
      </c>
      <c r="F1213">
        <v>5</v>
      </c>
      <c r="G1213" t="s">
        <v>1861</v>
      </c>
      <c r="H1213" s="2">
        <v>1174</v>
      </c>
      <c r="I1213" t="s">
        <v>50</v>
      </c>
      <c r="J1213" s="2">
        <f>INDEX(Positions!$A:$A,MATCH(E1213,Positions!$B:$B,0))</f>
        <v>72</v>
      </c>
      <c r="K1213" s="2">
        <f>INDEX(Locations!$A:$A,MATCH(I1213,Locations!$B:$B,0))</f>
        <v>1</v>
      </c>
    </row>
    <row r="1214" spans="1:11" x14ac:dyDescent="0.2">
      <c r="A1214" s="3">
        <v>1213</v>
      </c>
      <c r="B1214" t="s">
        <v>947</v>
      </c>
      <c r="C1214" t="s">
        <v>273</v>
      </c>
      <c r="D1214" s="1">
        <v>37698</v>
      </c>
      <c r="E1214" t="s">
        <v>1800</v>
      </c>
      <c r="F1214">
        <v>2</v>
      </c>
      <c r="G1214" t="s">
        <v>1862</v>
      </c>
      <c r="H1214" s="2">
        <v>1183</v>
      </c>
      <c r="I1214" t="s">
        <v>50</v>
      </c>
      <c r="J1214" s="2">
        <f>INDEX(Positions!$A:$A,MATCH(E1214,Positions!$B:$B,0))</f>
        <v>13</v>
      </c>
      <c r="K1214" s="2">
        <f>INDEX(Locations!$A:$A,MATCH(I1214,Locations!$B:$B,0))</f>
        <v>1</v>
      </c>
    </row>
    <row r="1215" spans="1:11" x14ac:dyDescent="0.2">
      <c r="A1215" s="3">
        <v>1214</v>
      </c>
      <c r="B1215" t="s">
        <v>127</v>
      </c>
      <c r="C1215" t="s">
        <v>802</v>
      </c>
      <c r="D1215" s="1">
        <v>28653</v>
      </c>
      <c r="E1215" t="s">
        <v>1820</v>
      </c>
      <c r="F1215">
        <v>6</v>
      </c>
      <c r="G1215" t="s">
        <v>1863</v>
      </c>
      <c r="H1215" s="2">
        <v>1204</v>
      </c>
      <c r="I1215" t="s">
        <v>99</v>
      </c>
      <c r="J1215" s="2">
        <f>INDEX(Positions!$A:$A,MATCH(E1215,Positions!$B:$B,0))</f>
        <v>81</v>
      </c>
      <c r="K1215" s="2">
        <f>INDEX(Locations!$A:$A,MATCH(I1215,Locations!$B:$B,0))</f>
        <v>3</v>
      </c>
    </row>
    <row r="1216" spans="1:11" x14ac:dyDescent="0.2">
      <c r="A1216" s="3">
        <v>1215</v>
      </c>
      <c r="B1216" t="s">
        <v>360</v>
      </c>
      <c r="C1216" t="s">
        <v>481</v>
      </c>
      <c r="D1216" s="1">
        <v>32466</v>
      </c>
      <c r="E1216" t="s">
        <v>1794</v>
      </c>
      <c r="F1216">
        <v>4</v>
      </c>
      <c r="G1216" t="s">
        <v>1864</v>
      </c>
      <c r="H1216" s="2">
        <v>1214</v>
      </c>
      <c r="I1216" t="s">
        <v>99</v>
      </c>
      <c r="J1216" s="2">
        <f>INDEX(Positions!$A:$A,MATCH(E1216,Positions!$B:$B,0))</f>
        <v>64</v>
      </c>
      <c r="K1216" s="2">
        <f>INDEX(Locations!$A:$A,MATCH(I1216,Locations!$B:$B,0))</f>
        <v>3</v>
      </c>
    </row>
    <row r="1217" spans="1:11" x14ac:dyDescent="0.2">
      <c r="A1217" s="3">
        <v>1216</v>
      </c>
      <c r="B1217" t="s">
        <v>506</v>
      </c>
      <c r="C1217" t="s">
        <v>56</v>
      </c>
      <c r="D1217" s="1">
        <v>35029</v>
      </c>
      <c r="E1217" t="s">
        <v>1798</v>
      </c>
      <c r="F1217">
        <v>3</v>
      </c>
      <c r="G1217" t="s">
        <v>1865</v>
      </c>
      <c r="H1217" s="2">
        <v>1173</v>
      </c>
      <c r="I1217" t="s">
        <v>50</v>
      </c>
      <c r="J1217" s="2">
        <f>INDEX(Positions!$A:$A,MATCH(E1217,Positions!$B:$B,0))</f>
        <v>35</v>
      </c>
      <c r="K1217" s="2">
        <f>INDEX(Locations!$A:$A,MATCH(I1217,Locations!$B:$B,0))</f>
        <v>1</v>
      </c>
    </row>
    <row r="1218" spans="1:11" x14ac:dyDescent="0.2">
      <c r="A1218" s="3">
        <v>1217</v>
      </c>
      <c r="B1218" t="s">
        <v>506</v>
      </c>
      <c r="C1218" t="s">
        <v>765</v>
      </c>
      <c r="D1218" s="1">
        <v>33289</v>
      </c>
      <c r="E1218" t="s">
        <v>1807</v>
      </c>
      <c r="F1218">
        <v>3</v>
      </c>
      <c r="G1218" t="s">
        <v>1866</v>
      </c>
      <c r="H1218" s="2">
        <v>1183</v>
      </c>
      <c r="I1218" t="s">
        <v>50</v>
      </c>
      <c r="J1218" s="2">
        <f>INDEX(Positions!$A:$A,MATCH(E1218,Positions!$B:$B,0))</f>
        <v>44</v>
      </c>
      <c r="K1218" s="2">
        <f>INDEX(Locations!$A:$A,MATCH(I1218,Locations!$B:$B,0))</f>
        <v>1</v>
      </c>
    </row>
    <row r="1219" spans="1:11" x14ac:dyDescent="0.2">
      <c r="A1219" s="3">
        <v>1218</v>
      </c>
      <c r="B1219" t="s">
        <v>519</v>
      </c>
      <c r="C1219" t="s">
        <v>195</v>
      </c>
      <c r="D1219" s="1">
        <v>37329</v>
      </c>
      <c r="E1219" t="s">
        <v>1800</v>
      </c>
      <c r="F1219">
        <v>2</v>
      </c>
      <c r="G1219" t="s">
        <v>1867</v>
      </c>
      <c r="H1219" s="2">
        <v>1214</v>
      </c>
      <c r="I1219" t="s">
        <v>99</v>
      </c>
      <c r="J1219" s="2">
        <f>INDEX(Positions!$A:$A,MATCH(E1219,Positions!$B:$B,0))</f>
        <v>13</v>
      </c>
      <c r="K1219" s="2">
        <f>INDEX(Locations!$A:$A,MATCH(I1219,Locations!$B:$B,0))</f>
        <v>3</v>
      </c>
    </row>
    <row r="1220" spans="1:11" x14ac:dyDescent="0.2">
      <c r="A1220" s="3">
        <v>1219</v>
      </c>
      <c r="B1220" t="s">
        <v>204</v>
      </c>
      <c r="C1220" t="s">
        <v>276</v>
      </c>
      <c r="D1220" s="1">
        <v>34273</v>
      </c>
      <c r="E1220" t="s">
        <v>1807</v>
      </c>
      <c r="F1220">
        <v>3</v>
      </c>
      <c r="G1220" t="s">
        <v>1868</v>
      </c>
      <c r="H1220" s="2">
        <v>1173</v>
      </c>
      <c r="I1220" t="s">
        <v>50</v>
      </c>
      <c r="J1220" s="2">
        <f>INDEX(Positions!$A:$A,MATCH(E1220,Positions!$B:$B,0))</f>
        <v>44</v>
      </c>
      <c r="K1220" s="2">
        <f>INDEX(Locations!$A:$A,MATCH(I1220,Locations!$B:$B,0))</f>
        <v>1</v>
      </c>
    </row>
    <row r="1221" spans="1:11" x14ac:dyDescent="0.2">
      <c r="A1221" s="3">
        <v>1220</v>
      </c>
      <c r="B1221" t="s">
        <v>112</v>
      </c>
      <c r="C1221" t="s">
        <v>481</v>
      </c>
      <c r="D1221" s="1">
        <v>36460</v>
      </c>
      <c r="E1221" t="s">
        <v>1798</v>
      </c>
      <c r="F1221">
        <v>3</v>
      </c>
      <c r="G1221" t="s">
        <v>1869</v>
      </c>
      <c r="H1221" s="2">
        <v>1183</v>
      </c>
      <c r="I1221" t="s">
        <v>50</v>
      </c>
      <c r="J1221" s="2">
        <f>INDEX(Positions!$A:$A,MATCH(E1221,Positions!$B:$B,0))</f>
        <v>35</v>
      </c>
      <c r="K1221" s="2">
        <f>INDEX(Locations!$A:$A,MATCH(I1221,Locations!$B:$B,0))</f>
        <v>1</v>
      </c>
    </row>
    <row r="1222" spans="1:11" x14ac:dyDescent="0.2">
      <c r="A1222" s="3">
        <v>1221</v>
      </c>
      <c r="B1222" t="s">
        <v>349</v>
      </c>
      <c r="C1222" t="s">
        <v>1029</v>
      </c>
      <c r="D1222" s="1">
        <v>34108</v>
      </c>
      <c r="E1222" t="s">
        <v>1803</v>
      </c>
      <c r="F1222">
        <v>2</v>
      </c>
      <c r="G1222" t="s">
        <v>1870</v>
      </c>
      <c r="H1222" s="2">
        <v>1214</v>
      </c>
      <c r="I1222" t="s">
        <v>99</v>
      </c>
      <c r="J1222" s="2">
        <f>INDEX(Positions!$A:$A,MATCH(E1222,Positions!$B:$B,0))</f>
        <v>12</v>
      </c>
      <c r="K1222" s="2">
        <f>INDEX(Locations!$A:$A,MATCH(I1222,Locations!$B:$B,0))</f>
        <v>3</v>
      </c>
    </row>
    <row r="1223" spans="1:11" x14ac:dyDescent="0.2">
      <c r="A1223" s="3">
        <v>1222</v>
      </c>
      <c r="B1223" t="s">
        <v>205</v>
      </c>
      <c r="C1223" t="s">
        <v>1140</v>
      </c>
      <c r="D1223" s="1">
        <v>32120</v>
      </c>
      <c r="E1223" t="s">
        <v>1820</v>
      </c>
      <c r="F1223">
        <v>6</v>
      </c>
      <c r="G1223" t="s">
        <v>1871</v>
      </c>
      <c r="H1223" s="2">
        <v>1204</v>
      </c>
      <c r="I1223" t="s">
        <v>99</v>
      </c>
      <c r="J1223" s="2">
        <f>INDEX(Positions!$A:$A,MATCH(E1223,Positions!$B:$B,0))</f>
        <v>81</v>
      </c>
      <c r="K1223" s="2">
        <f>INDEX(Locations!$A:$A,MATCH(I1223,Locations!$B:$B,0))</f>
        <v>3</v>
      </c>
    </row>
    <row r="1224" spans="1:11" x14ac:dyDescent="0.2">
      <c r="A1224" s="3">
        <v>1223</v>
      </c>
      <c r="B1224" t="s">
        <v>207</v>
      </c>
      <c r="C1224" t="s">
        <v>120</v>
      </c>
      <c r="D1224" s="1">
        <v>36636</v>
      </c>
      <c r="E1224" t="s">
        <v>1803</v>
      </c>
      <c r="F1224">
        <v>2</v>
      </c>
      <c r="G1224" t="s">
        <v>1872</v>
      </c>
      <c r="H1224" s="2">
        <v>1222</v>
      </c>
      <c r="I1224" t="s">
        <v>99</v>
      </c>
      <c r="J1224" s="2">
        <f>INDEX(Positions!$A:$A,MATCH(E1224,Positions!$B:$B,0))</f>
        <v>12</v>
      </c>
      <c r="K1224" s="2">
        <f>INDEX(Locations!$A:$A,MATCH(I1224,Locations!$B:$B,0))</f>
        <v>3</v>
      </c>
    </row>
    <row r="1225" spans="1:11" x14ac:dyDescent="0.2">
      <c r="A1225" s="3">
        <v>1224</v>
      </c>
      <c r="B1225" t="s">
        <v>71</v>
      </c>
      <c r="C1225" t="s">
        <v>560</v>
      </c>
      <c r="D1225" s="1">
        <v>34076</v>
      </c>
      <c r="E1225" t="s">
        <v>1803</v>
      </c>
      <c r="F1225">
        <v>2</v>
      </c>
      <c r="G1225" t="s">
        <v>1873</v>
      </c>
      <c r="H1225" s="2">
        <v>1222</v>
      </c>
      <c r="I1225" t="s">
        <v>99</v>
      </c>
      <c r="J1225" s="2">
        <f>INDEX(Positions!$A:$A,MATCH(E1225,Positions!$B:$B,0))</f>
        <v>12</v>
      </c>
      <c r="K1225" s="2">
        <f>INDEX(Locations!$A:$A,MATCH(I1225,Locations!$B:$B,0))</f>
        <v>3</v>
      </c>
    </row>
    <row r="1226" spans="1:11" x14ac:dyDescent="0.2">
      <c r="A1226" s="3">
        <v>1225</v>
      </c>
      <c r="B1226" t="s">
        <v>189</v>
      </c>
      <c r="C1226" t="s">
        <v>333</v>
      </c>
      <c r="D1226" s="1">
        <v>34544</v>
      </c>
      <c r="E1226" t="s">
        <v>1798</v>
      </c>
      <c r="F1226">
        <v>3</v>
      </c>
      <c r="G1226" t="s">
        <v>1874</v>
      </c>
      <c r="H1226" s="2">
        <v>1214</v>
      </c>
      <c r="I1226" t="s">
        <v>99</v>
      </c>
      <c r="J1226" s="2">
        <f>INDEX(Positions!$A:$A,MATCH(E1226,Positions!$B:$B,0))</f>
        <v>35</v>
      </c>
      <c r="K1226" s="2">
        <f>INDEX(Locations!$A:$A,MATCH(I1226,Locations!$B:$B,0))</f>
        <v>3</v>
      </c>
    </row>
    <row r="1227" spans="1:11" x14ac:dyDescent="0.2">
      <c r="A1227" s="3">
        <v>1226</v>
      </c>
      <c r="B1227" t="s">
        <v>174</v>
      </c>
      <c r="C1227" t="s">
        <v>135</v>
      </c>
      <c r="D1227" s="1">
        <v>37405</v>
      </c>
      <c r="E1227" t="s">
        <v>1794</v>
      </c>
      <c r="F1227">
        <v>4</v>
      </c>
      <c r="G1227" t="s">
        <v>1875</v>
      </c>
      <c r="H1227" s="2">
        <v>1174</v>
      </c>
      <c r="I1227" t="s">
        <v>50</v>
      </c>
      <c r="J1227" s="2">
        <f>INDEX(Positions!$A:$A,MATCH(E1227,Positions!$B:$B,0))</f>
        <v>64</v>
      </c>
      <c r="K1227" s="2">
        <f>INDEX(Locations!$A:$A,MATCH(I1227,Locations!$B:$B,0))</f>
        <v>1</v>
      </c>
    </row>
    <row r="1228" spans="1:11" x14ac:dyDescent="0.2">
      <c r="A1228" s="3">
        <v>1227</v>
      </c>
      <c r="B1228" t="s">
        <v>306</v>
      </c>
      <c r="C1228" t="s">
        <v>363</v>
      </c>
      <c r="D1228" s="1">
        <v>33422</v>
      </c>
      <c r="E1228" t="s">
        <v>1794</v>
      </c>
      <c r="F1228">
        <v>4</v>
      </c>
      <c r="G1228" t="s">
        <v>1876</v>
      </c>
      <c r="H1228" s="2">
        <v>1183</v>
      </c>
      <c r="I1228" t="s">
        <v>50</v>
      </c>
      <c r="J1228" s="2">
        <f>INDEX(Positions!$A:$A,MATCH(E1228,Positions!$B:$B,0))</f>
        <v>64</v>
      </c>
      <c r="K1228" s="2">
        <f>INDEX(Locations!$A:$A,MATCH(I1228,Locations!$B:$B,0))</f>
        <v>1</v>
      </c>
    </row>
    <row r="1229" spans="1:11" x14ac:dyDescent="0.2">
      <c r="A1229" s="3">
        <v>1228</v>
      </c>
      <c r="B1229" t="s">
        <v>267</v>
      </c>
      <c r="C1229" t="s">
        <v>459</v>
      </c>
      <c r="D1229" s="1">
        <v>39663</v>
      </c>
      <c r="E1229" t="s">
        <v>1800</v>
      </c>
      <c r="F1229">
        <v>2</v>
      </c>
      <c r="G1229" t="s">
        <v>1877</v>
      </c>
      <c r="H1229" s="2">
        <v>1222</v>
      </c>
      <c r="I1229" t="s">
        <v>99</v>
      </c>
      <c r="J1229" s="2">
        <f>INDEX(Positions!$A:$A,MATCH(E1229,Positions!$B:$B,0))</f>
        <v>13</v>
      </c>
      <c r="K1229" s="2">
        <f>INDEX(Locations!$A:$A,MATCH(I1229,Locations!$B:$B,0))</f>
        <v>3</v>
      </c>
    </row>
    <row r="1230" spans="1:11" x14ac:dyDescent="0.2">
      <c r="A1230" s="3">
        <v>1229</v>
      </c>
      <c r="B1230" t="s">
        <v>471</v>
      </c>
      <c r="C1230" t="s">
        <v>355</v>
      </c>
      <c r="D1230" s="1">
        <v>34437</v>
      </c>
      <c r="E1230" t="s">
        <v>1820</v>
      </c>
      <c r="F1230">
        <v>6</v>
      </c>
      <c r="G1230" t="s">
        <v>1878</v>
      </c>
      <c r="H1230" s="2">
        <v>1170</v>
      </c>
      <c r="I1230" t="s">
        <v>50</v>
      </c>
      <c r="J1230" s="2">
        <f>INDEX(Positions!$A:$A,MATCH(E1230,Positions!$B:$B,0))</f>
        <v>81</v>
      </c>
      <c r="K1230" s="2">
        <f>INDEX(Locations!$A:$A,MATCH(I1230,Locations!$B:$B,0))</f>
        <v>1</v>
      </c>
    </row>
    <row r="1231" spans="1:11" x14ac:dyDescent="0.2">
      <c r="A1231" s="3">
        <v>1230</v>
      </c>
      <c r="B1231" t="s">
        <v>346</v>
      </c>
      <c r="C1231" t="s">
        <v>434</v>
      </c>
      <c r="D1231" s="1">
        <v>33492</v>
      </c>
      <c r="E1231" t="s">
        <v>1794</v>
      </c>
      <c r="F1231">
        <v>4</v>
      </c>
      <c r="G1231" t="s">
        <v>1879</v>
      </c>
      <c r="H1231" s="2">
        <v>1222</v>
      </c>
      <c r="I1231" t="s">
        <v>99</v>
      </c>
      <c r="J1231" s="2">
        <f>INDEX(Positions!$A:$A,MATCH(E1231,Positions!$B:$B,0))</f>
        <v>64</v>
      </c>
      <c r="K1231" s="2">
        <f>INDEX(Locations!$A:$A,MATCH(I1231,Locations!$B:$B,0))</f>
        <v>3</v>
      </c>
    </row>
    <row r="1232" spans="1:11" x14ac:dyDescent="0.2">
      <c r="A1232" s="3">
        <v>1231</v>
      </c>
      <c r="B1232" t="s">
        <v>132</v>
      </c>
      <c r="C1232" t="s">
        <v>111</v>
      </c>
      <c r="D1232" s="1">
        <v>34232</v>
      </c>
      <c r="E1232" t="s">
        <v>1794</v>
      </c>
      <c r="F1232">
        <v>4</v>
      </c>
      <c r="G1232" t="s">
        <v>1880</v>
      </c>
      <c r="H1232" s="2">
        <v>1229</v>
      </c>
      <c r="I1232" t="s">
        <v>50</v>
      </c>
      <c r="J1232" s="2">
        <f>INDEX(Positions!$A:$A,MATCH(E1232,Positions!$B:$B,0))</f>
        <v>64</v>
      </c>
      <c r="K1232" s="2">
        <f>INDEX(Locations!$A:$A,MATCH(I1232,Locations!$B:$B,0))</f>
        <v>1</v>
      </c>
    </row>
    <row r="1233" spans="1:11" x14ac:dyDescent="0.2">
      <c r="A1233" s="3">
        <v>1232</v>
      </c>
      <c r="B1233" t="s">
        <v>364</v>
      </c>
      <c r="C1233" t="s">
        <v>362</v>
      </c>
      <c r="D1233" s="1">
        <v>30644</v>
      </c>
      <c r="E1233" t="s">
        <v>1845</v>
      </c>
      <c r="F1233">
        <v>5</v>
      </c>
      <c r="G1233" t="s">
        <v>1881</v>
      </c>
      <c r="H1233" s="2">
        <v>1229</v>
      </c>
      <c r="I1233" t="s">
        <v>50</v>
      </c>
      <c r="J1233" s="2">
        <f>INDEX(Positions!$A:$A,MATCH(E1233,Positions!$B:$B,0))</f>
        <v>72</v>
      </c>
      <c r="K1233" s="2">
        <f>INDEX(Locations!$A:$A,MATCH(I1233,Locations!$B:$B,0))</f>
        <v>1</v>
      </c>
    </row>
    <row r="1234" spans="1:11" x14ac:dyDescent="0.2">
      <c r="A1234" s="3">
        <v>1233</v>
      </c>
      <c r="B1234" t="s">
        <v>551</v>
      </c>
      <c r="C1234" t="s">
        <v>255</v>
      </c>
      <c r="D1234" s="1">
        <v>34647</v>
      </c>
      <c r="E1234" t="s">
        <v>1794</v>
      </c>
      <c r="F1234">
        <v>4</v>
      </c>
      <c r="G1234" t="s">
        <v>1882</v>
      </c>
      <c r="H1234" s="2">
        <v>1229</v>
      </c>
      <c r="I1234" t="s">
        <v>50</v>
      </c>
      <c r="J1234" s="2">
        <f>INDEX(Positions!$A:$A,MATCH(E1234,Positions!$B:$B,0))</f>
        <v>64</v>
      </c>
      <c r="K1234" s="2">
        <f>INDEX(Locations!$A:$A,MATCH(I1234,Locations!$B:$B,0))</f>
        <v>1</v>
      </c>
    </row>
    <row r="1235" spans="1:11" x14ac:dyDescent="0.2">
      <c r="A1235" s="3">
        <v>1234</v>
      </c>
      <c r="B1235" t="s">
        <v>423</v>
      </c>
      <c r="C1235" t="s">
        <v>1055</v>
      </c>
      <c r="D1235" s="1">
        <v>37912</v>
      </c>
      <c r="E1235" t="s">
        <v>1798</v>
      </c>
      <c r="F1235">
        <v>3</v>
      </c>
      <c r="G1235" t="s">
        <v>1883</v>
      </c>
      <c r="H1235" s="2">
        <v>1229</v>
      </c>
      <c r="I1235" t="s">
        <v>50</v>
      </c>
      <c r="J1235" s="2">
        <f>INDEX(Positions!$A:$A,MATCH(E1235,Positions!$B:$B,0))</f>
        <v>35</v>
      </c>
      <c r="K1235" s="2">
        <f>INDEX(Locations!$A:$A,MATCH(I1235,Locations!$B:$B,0))</f>
        <v>1</v>
      </c>
    </row>
    <row r="1236" spans="1:11" x14ac:dyDescent="0.2">
      <c r="A1236" s="3">
        <v>1235</v>
      </c>
      <c r="B1236" t="s">
        <v>306</v>
      </c>
      <c r="C1236" t="s">
        <v>254</v>
      </c>
      <c r="D1236" s="1">
        <v>34162</v>
      </c>
      <c r="E1236" t="s">
        <v>1798</v>
      </c>
      <c r="F1236">
        <v>3</v>
      </c>
      <c r="G1236" t="s">
        <v>1884</v>
      </c>
      <c r="H1236" s="2">
        <v>1222</v>
      </c>
      <c r="I1236" t="s">
        <v>99</v>
      </c>
      <c r="J1236" s="2">
        <f>INDEX(Positions!$A:$A,MATCH(E1236,Positions!$B:$B,0))</f>
        <v>35</v>
      </c>
      <c r="K1236" s="2">
        <f>INDEX(Locations!$A:$A,MATCH(I1236,Locations!$B:$B,0))</f>
        <v>3</v>
      </c>
    </row>
    <row r="1237" spans="1:11" x14ac:dyDescent="0.2">
      <c r="A1237" s="3">
        <v>1236</v>
      </c>
      <c r="B1237" t="s">
        <v>397</v>
      </c>
      <c r="C1237" t="s">
        <v>1029</v>
      </c>
      <c r="D1237" s="1">
        <v>35931</v>
      </c>
      <c r="E1237" t="s">
        <v>1800</v>
      </c>
      <c r="F1237">
        <v>2</v>
      </c>
      <c r="G1237" t="s">
        <v>1885</v>
      </c>
      <c r="H1237" s="2">
        <v>1174</v>
      </c>
      <c r="I1237" t="s">
        <v>50</v>
      </c>
      <c r="J1237" s="2">
        <f>INDEX(Positions!$A:$A,MATCH(E1237,Positions!$B:$B,0))</f>
        <v>13</v>
      </c>
      <c r="K1237" s="2">
        <f>INDEX(Locations!$A:$A,MATCH(I1237,Locations!$B:$B,0))</f>
        <v>1</v>
      </c>
    </row>
    <row r="1238" spans="1:11" x14ac:dyDescent="0.2">
      <c r="A1238" s="3">
        <v>1237</v>
      </c>
      <c r="B1238" t="s">
        <v>223</v>
      </c>
      <c r="C1238" t="s">
        <v>301</v>
      </c>
      <c r="D1238" s="1">
        <v>35485</v>
      </c>
      <c r="E1238" t="s">
        <v>1794</v>
      </c>
      <c r="F1238">
        <v>4</v>
      </c>
      <c r="G1238" t="s">
        <v>1886</v>
      </c>
      <c r="H1238" s="2">
        <v>1229</v>
      </c>
      <c r="I1238" t="s">
        <v>50</v>
      </c>
      <c r="J1238" s="2">
        <f>INDEX(Positions!$A:$A,MATCH(E1238,Positions!$B:$B,0))</f>
        <v>64</v>
      </c>
      <c r="K1238" s="2">
        <f>INDEX(Locations!$A:$A,MATCH(I1238,Locations!$B:$B,0))</f>
        <v>1</v>
      </c>
    </row>
    <row r="1239" spans="1:11" x14ac:dyDescent="0.2">
      <c r="A1239" s="3">
        <v>1238</v>
      </c>
      <c r="B1239" t="s">
        <v>477</v>
      </c>
      <c r="C1239" t="s">
        <v>503</v>
      </c>
      <c r="D1239" s="1">
        <v>35398</v>
      </c>
      <c r="E1239" t="s">
        <v>1807</v>
      </c>
      <c r="F1239">
        <v>3</v>
      </c>
      <c r="G1239" t="s">
        <v>1887</v>
      </c>
      <c r="H1239" s="2">
        <v>1214</v>
      </c>
      <c r="I1239" t="s">
        <v>99</v>
      </c>
      <c r="J1239" s="2">
        <f>INDEX(Positions!$A:$A,MATCH(E1239,Positions!$B:$B,0))</f>
        <v>44</v>
      </c>
      <c r="K1239" s="2">
        <f>INDEX(Locations!$A:$A,MATCH(I1239,Locations!$B:$B,0))</f>
        <v>3</v>
      </c>
    </row>
    <row r="1240" spans="1:11" x14ac:dyDescent="0.2">
      <c r="A1240" s="3">
        <v>1239</v>
      </c>
      <c r="B1240" t="s">
        <v>107</v>
      </c>
      <c r="C1240" t="s">
        <v>369</v>
      </c>
      <c r="D1240" s="1">
        <v>33363</v>
      </c>
      <c r="E1240" t="s">
        <v>1794</v>
      </c>
      <c r="F1240">
        <v>4</v>
      </c>
      <c r="G1240" t="s">
        <v>1888</v>
      </c>
      <c r="H1240" s="2">
        <v>1222</v>
      </c>
      <c r="I1240" t="s">
        <v>99</v>
      </c>
      <c r="J1240" s="2">
        <f>INDEX(Positions!$A:$A,MATCH(E1240,Positions!$B:$B,0))</f>
        <v>64</v>
      </c>
      <c r="K1240" s="2">
        <f>INDEX(Locations!$A:$A,MATCH(I1240,Locations!$B:$B,0))</f>
        <v>3</v>
      </c>
    </row>
    <row r="1241" spans="1:11" x14ac:dyDescent="0.2">
      <c r="A1241" s="3">
        <v>1240</v>
      </c>
      <c r="B1241" t="s">
        <v>433</v>
      </c>
      <c r="C1241" t="s">
        <v>220</v>
      </c>
      <c r="D1241" s="1">
        <v>38292</v>
      </c>
      <c r="E1241" t="s">
        <v>1807</v>
      </c>
      <c r="F1241">
        <v>3</v>
      </c>
      <c r="G1241" t="s">
        <v>1889</v>
      </c>
      <c r="H1241" s="2">
        <v>1214</v>
      </c>
      <c r="I1241" t="s">
        <v>99</v>
      </c>
      <c r="J1241" s="2">
        <f>INDEX(Positions!$A:$A,MATCH(E1241,Positions!$B:$B,0))</f>
        <v>44</v>
      </c>
      <c r="K1241" s="2">
        <f>INDEX(Locations!$A:$A,MATCH(I1241,Locations!$B:$B,0))</f>
        <v>3</v>
      </c>
    </row>
    <row r="1242" spans="1:11" x14ac:dyDescent="0.2">
      <c r="A1242" s="3">
        <v>1241</v>
      </c>
      <c r="B1242" t="s">
        <v>277</v>
      </c>
      <c r="C1242" t="s">
        <v>472</v>
      </c>
      <c r="D1242" s="1">
        <v>36168</v>
      </c>
      <c r="E1242" t="s">
        <v>1794</v>
      </c>
      <c r="F1242">
        <v>4</v>
      </c>
      <c r="G1242" t="s">
        <v>1890</v>
      </c>
      <c r="H1242" s="2">
        <v>1229</v>
      </c>
      <c r="I1242" t="s">
        <v>50</v>
      </c>
      <c r="J1242" s="2">
        <f>INDEX(Positions!$A:$A,MATCH(E1242,Positions!$B:$B,0))</f>
        <v>64</v>
      </c>
      <c r="K1242" s="2">
        <f>INDEX(Locations!$A:$A,MATCH(I1242,Locations!$B:$B,0))</f>
        <v>1</v>
      </c>
    </row>
    <row r="1243" spans="1:11" x14ac:dyDescent="0.2">
      <c r="A1243" s="3">
        <v>1242</v>
      </c>
      <c r="B1243" t="s">
        <v>313</v>
      </c>
      <c r="C1243" t="s">
        <v>523</v>
      </c>
      <c r="D1243" s="1">
        <v>34458</v>
      </c>
      <c r="E1243" t="s">
        <v>1807</v>
      </c>
      <c r="F1243">
        <v>3</v>
      </c>
      <c r="G1243" t="s">
        <v>1891</v>
      </c>
      <c r="H1243" s="2">
        <v>1229</v>
      </c>
      <c r="I1243" t="s">
        <v>50</v>
      </c>
      <c r="J1243" s="2">
        <f>INDEX(Positions!$A:$A,MATCH(E1243,Positions!$B:$B,0))</f>
        <v>44</v>
      </c>
      <c r="K1243" s="2">
        <f>INDEX(Locations!$A:$A,MATCH(I1243,Locations!$B:$B,0))</f>
        <v>1</v>
      </c>
    </row>
    <row r="1244" spans="1:11" x14ac:dyDescent="0.2">
      <c r="A1244" s="3">
        <v>1243</v>
      </c>
      <c r="B1244" t="s">
        <v>90</v>
      </c>
      <c r="C1244" t="s">
        <v>789</v>
      </c>
      <c r="D1244" s="1">
        <v>32599</v>
      </c>
      <c r="E1244" t="s">
        <v>1807</v>
      </c>
      <c r="F1244">
        <v>3</v>
      </c>
      <c r="G1244" t="s">
        <v>1892</v>
      </c>
      <c r="H1244" s="2">
        <v>1222</v>
      </c>
      <c r="I1244" t="s">
        <v>99</v>
      </c>
      <c r="J1244" s="2">
        <f>INDEX(Positions!$A:$A,MATCH(E1244,Positions!$B:$B,0))</f>
        <v>44</v>
      </c>
      <c r="K1244" s="2">
        <f>INDEX(Locations!$A:$A,MATCH(I1244,Locations!$B:$B,0))</f>
        <v>3</v>
      </c>
    </row>
    <row r="1245" spans="1:11" x14ac:dyDescent="0.2">
      <c r="A1245" s="3">
        <v>1244</v>
      </c>
      <c r="B1245" t="s">
        <v>478</v>
      </c>
      <c r="C1245" t="s">
        <v>168</v>
      </c>
      <c r="D1245" s="1">
        <v>37173</v>
      </c>
      <c r="E1245" t="s">
        <v>1807</v>
      </c>
      <c r="F1245">
        <v>3</v>
      </c>
      <c r="G1245" t="s">
        <v>1893</v>
      </c>
      <c r="H1245" s="2">
        <v>1222</v>
      </c>
      <c r="I1245" t="s">
        <v>99</v>
      </c>
      <c r="J1245" s="2">
        <f>INDEX(Positions!$A:$A,MATCH(E1245,Positions!$B:$B,0))</f>
        <v>44</v>
      </c>
      <c r="K1245" s="2">
        <f>INDEX(Locations!$A:$A,MATCH(I1245,Locations!$B:$B,0))</f>
        <v>3</v>
      </c>
    </row>
    <row r="1246" spans="1:11" x14ac:dyDescent="0.2">
      <c r="A1246" s="3">
        <v>1245</v>
      </c>
      <c r="B1246" t="s">
        <v>330</v>
      </c>
      <c r="C1246" t="s">
        <v>198</v>
      </c>
      <c r="D1246" s="1">
        <v>36464</v>
      </c>
      <c r="E1246" t="s">
        <v>1800</v>
      </c>
      <c r="F1246">
        <v>2</v>
      </c>
      <c r="G1246" t="s">
        <v>1894</v>
      </c>
      <c r="H1246" s="2">
        <v>1173</v>
      </c>
      <c r="I1246" t="s">
        <v>50</v>
      </c>
      <c r="J1246" s="2">
        <f>INDEX(Positions!$A:$A,MATCH(E1246,Positions!$B:$B,0))</f>
        <v>13</v>
      </c>
      <c r="K1246" s="2">
        <f>INDEX(Locations!$A:$A,MATCH(I1246,Locations!$B:$B,0))</f>
        <v>1</v>
      </c>
    </row>
    <row r="1247" spans="1:11" x14ac:dyDescent="0.2">
      <c r="A1247" s="3">
        <v>1246</v>
      </c>
      <c r="B1247" t="s">
        <v>431</v>
      </c>
      <c r="C1247" t="s">
        <v>303</v>
      </c>
      <c r="D1247" s="1">
        <v>30031</v>
      </c>
      <c r="E1247" t="s">
        <v>1845</v>
      </c>
      <c r="F1247">
        <v>5</v>
      </c>
      <c r="G1247" t="s">
        <v>1895</v>
      </c>
      <c r="H1247" s="2">
        <v>1214</v>
      </c>
      <c r="I1247" t="s">
        <v>99</v>
      </c>
      <c r="J1247" s="2">
        <f>INDEX(Positions!$A:$A,MATCH(E1247,Positions!$B:$B,0))</f>
        <v>72</v>
      </c>
      <c r="K1247" s="2">
        <f>INDEX(Locations!$A:$A,MATCH(I1247,Locations!$B:$B,0))</f>
        <v>3</v>
      </c>
    </row>
    <row r="1248" spans="1:11" x14ac:dyDescent="0.2">
      <c r="A1248" s="3">
        <v>1247</v>
      </c>
      <c r="B1248" t="s">
        <v>216</v>
      </c>
      <c r="C1248" t="s">
        <v>474</v>
      </c>
      <c r="D1248" s="1">
        <v>31884</v>
      </c>
      <c r="E1248" t="s">
        <v>1796</v>
      </c>
      <c r="F1248">
        <v>7</v>
      </c>
      <c r="G1248" t="s">
        <v>1896</v>
      </c>
      <c r="H1248" s="2">
        <v>1152</v>
      </c>
      <c r="I1248" t="s">
        <v>1375</v>
      </c>
      <c r="J1248" s="2">
        <f>INDEX(Positions!$A:$A,MATCH(E1248,Positions!$B:$B,0))</f>
        <v>96</v>
      </c>
      <c r="K1248" s="2">
        <f>INDEX(Locations!$A:$A,MATCH(I1248,Locations!$B:$B,0))</f>
        <v>12</v>
      </c>
    </row>
    <row r="1249" spans="1:11" x14ac:dyDescent="0.2">
      <c r="A1249" s="3">
        <v>1248</v>
      </c>
      <c r="B1249" t="s">
        <v>506</v>
      </c>
      <c r="C1249" t="s">
        <v>195</v>
      </c>
      <c r="D1249" s="1">
        <v>35017</v>
      </c>
      <c r="E1249" t="s">
        <v>1794</v>
      </c>
      <c r="F1249">
        <v>4</v>
      </c>
      <c r="G1249" t="s">
        <v>1897</v>
      </c>
      <c r="H1249" s="2">
        <v>1222</v>
      </c>
      <c r="I1249" t="s">
        <v>99</v>
      </c>
      <c r="J1249" s="2">
        <f>INDEX(Positions!$A:$A,MATCH(E1249,Positions!$B:$B,0))</f>
        <v>64</v>
      </c>
      <c r="K1249" s="2">
        <f>INDEX(Locations!$A:$A,MATCH(I1249,Locations!$B:$B,0))</f>
        <v>3</v>
      </c>
    </row>
    <row r="1250" spans="1:11" x14ac:dyDescent="0.2">
      <c r="A1250" s="3">
        <v>1249</v>
      </c>
      <c r="B1250" t="s">
        <v>227</v>
      </c>
      <c r="C1250" t="s">
        <v>624</v>
      </c>
      <c r="D1250" s="1">
        <v>33681</v>
      </c>
      <c r="E1250" t="s">
        <v>1820</v>
      </c>
      <c r="F1250">
        <v>6</v>
      </c>
      <c r="G1250" t="s">
        <v>1898</v>
      </c>
      <c r="H1250" s="2">
        <v>1247</v>
      </c>
      <c r="I1250" t="s">
        <v>1375</v>
      </c>
      <c r="J1250" s="2">
        <f>INDEX(Positions!$A:$A,MATCH(E1250,Positions!$B:$B,0))</f>
        <v>81</v>
      </c>
      <c r="K1250" s="2">
        <f>INDEX(Locations!$A:$A,MATCH(I1250,Locations!$B:$B,0))</f>
        <v>12</v>
      </c>
    </row>
    <row r="1251" spans="1:11" x14ac:dyDescent="0.2">
      <c r="A1251" s="3">
        <v>1250</v>
      </c>
      <c r="B1251" t="s">
        <v>105</v>
      </c>
      <c r="C1251" t="s">
        <v>323</v>
      </c>
      <c r="D1251" s="1">
        <v>34523</v>
      </c>
      <c r="E1251" t="s">
        <v>1800</v>
      </c>
      <c r="F1251">
        <v>2</v>
      </c>
      <c r="G1251" t="s">
        <v>1899</v>
      </c>
      <c r="H1251" s="2">
        <v>1249</v>
      </c>
      <c r="I1251" t="s">
        <v>1375</v>
      </c>
      <c r="J1251" s="2">
        <f>INDEX(Positions!$A:$A,MATCH(E1251,Positions!$B:$B,0))</f>
        <v>13</v>
      </c>
      <c r="K1251" s="2">
        <f>INDEX(Locations!$A:$A,MATCH(I1251,Locations!$B:$B,0))</f>
        <v>12</v>
      </c>
    </row>
    <row r="1252" spans="1:11" x14ac:dyDescent="0.2">
      <c r="A1252" s="3">
        <v>1251</v>
      </c>
      <c r="B1252" t="s">
        <v>139</v>
      </c>
      <c r="C1252" t="s">
        <v>545</v>
      </c>
      <c r="D1252" s="1">
        <v>34965</v>
      </c>
      <c r="E1252" t="s">
        <v>1807</v>
      </c>
      <c r="F1252">
        <v>3</v>
      </c>
      <c r="G1252" t="s">
        <v>1900</v>
      </c>
      <c r="H1252" s="2">
        <v>1249</v>
      </c>
      <c r="I1252" t="s">
        <v>1375</v>
      </c>
      <c r="J1252" s="2">
        <f>INDEX(Positions!$A:$A,MATCH(E1252,Positions!$B:$B,0))</f>
        <v>44</v>
      </c>
      <c r="K1252" s="2">
        <f>INDEX(Locations!$A:$A,MATCH(I1252,Locations!$B:$B,0))</f>
        <v>12</v>
      </c>
    </row>
    <row r="1253" spans="1:11" x14ac:dyDescent="0.2">
      <c r="A1253" s="3">
        <v>1252</v>
      </c>
      <c r="B1253" t="s">
        <v>391</v>
      </c>
      <c r="C1253" t="s">
        <v>316</v>
      </c>
      <c r="D1253" s="1">
        <v>32133</v>
      </c>
      <c r="E1253" t="s">
        <v>1845</v>
      </c>
      <c r="F1253">
        <v>5</v>
      </c>
      <c r="G1253" t="s">
        <v>1901</v>
      </c>
      <c r="H1253" s="2">
        <v>1249</v>
      </c>
      <c r="I1253" t="s">
        <v>1375</v>
      </c>
      <c r="J1253" s="2">
        <f>INDEX(Positions!$A:$A,MATCH(E1253,Positions!$B:$B,0))</f>
        <v>72</v>
      </c>
      <c r="K1253" s="2">
        <f>INDEX(Locations!$A:$A,MATCH(I1253,Locations!$B:$B,0))</f>
        <v>12</v>
      </c>
    </row>
    <row r="1254" spans="1:11" x14ac:dyDescent="0.2">
      <c r="A1254" s="3">
        <v>1253</v>
      </c>
      <c r="B1254" t="s">
        <v>924</v>
      </c>
      <c r="C1254" t="s">
        <v>442</v>
      </c>
      <c r="D1254" s="1">
        <v>33704</v>
      </c>
      <c r="E1254" t="s">
        <v>1798</v>
      </c>
      <c r="F1254">
        <v>3</v>
      </c>
      <c r="G1254" t="s">
        <v>1902</v>
      </c>
      <c r="H1254" s="2">
        <v>1229</v>
      </c>
      <c r="I1254" t="s">
        <v>50</v>
      </c>
      <c r="J1254" s="2">
        <f>INDEX(Positions!$A:$A,MATCH(E1254,Positions!$B:$B,0))</f>
        <v>35</v>
      </c>
      <c r="K1254" s="2">
        <f>INDEX(Locations!$A:$A,MATCH(I1254,Locations!$B:$B,0))</f>
        <v>1</v>
      </c>
    </row>
    <row r="1255" spans="1:11" x14ac:dyDescent="0.2">
      <c r="A1255" s="3">
        <v>1254</v>
      </c>
      <c r="B1255" t="s">
        <v>291</v>
      </c>
      <c r="C1255" t="s">
        <v>228</v>
      </c>
      <c r="D1255" s="1">
        <v>30411</v>
      </c>
      <c r="E1255" t="s">
        <v>1820</v>
      </c>
      <c r="F1255">
        <v>6</v>
      </c>
      <c r="G1255" t="s">
        <v>1903</v>
      </c>
      <c r="H1255" s="2">
        <v>1247</v>
      </c>
      <c r="I1255" t="s">
        <v>1375</v>
      </c>
      <c r="J1255" s="2">
        <f>INDEX(Positions!$A:$A,MATCH(E1255,Positions!$B:$B,0))</f>
        <v>81</v>
      </c>
      <c r="K1255" s="2">
        <f>INDEX(Locations!$A:$A,MATCH(I1255,Locations!$B:$B,0))</f>
        <v>12</v>
      </c>
    </row>
    <row r="1256" spans="1:11" x14ac:dyDescent="0.2">
      <c r="A1256" s="3">
        <v>1255</v>
      </c>
      <c r="B1256" t="s">
        <v>329</v>
      </c>
      <c r="C1256" t="s">
        <v>113</v>
      </c>
      <c r="D1256" s="1">
        <v>32906</v>
      </c>
      <c r="E1256" t="s">
        <v>1798</v>
      </c>
      <c r="F1256">
        <v>3</v>
      </c>
      <c r="G1256" t="s">
        <v>1904</v>
      </c>
      <c r="H1256" s="2">
        <v>1214</v>
      </c>
      <c r="I1256" t="s">
        <v>99</v>
      </c>
      <c r="J1256" s="2">
        <f>INDEX(Positions!$A:$A,MATCH(E1256,Positions!$B:$B,0))</f>
        <v>35</v>
      </c>
      <c r="K1256" s="2">
        <f>INDEX(Locations!$A:$A,MATCH(I1256,Locations!$B:$B,0))</f>
        <v>3</v>
      </c>
    </row>
    <row r="1257" spans="1:11" x14ac:dyDescent="0.2">
      <c r="A1257" s="3">
        <v>1256</v>
      </c>
      <c r="B1257" t="s">
        <v>150</v>
      </c>
      <c r="C1257" t="s">
        <v>324</v>
      </c>
      <c r="D1257" s="1">
        <v>34065</v>
      </c>
      <c r="E1257" t="s">
        <v>1794</v>
      </c>
      <c r="F1257">
        <v>4</v>
      </c>
      <c r="G1257" t="s">
        <v>1905</v>
      </c>
      <c r="H1257" s="2">
        <v>1214</v>
      </c>
      <c r="I1257" t="s">
        <v>99</v>
      </c>
      <c r="J1257" s="2">
        <f>INDEX(Positions!$A:$A,MATCH(E1257,Positions!$B:$B,0))</f>
        <v>64</v>
      </c>
      <c r="K1257" s="2">
        <f>INDEX(Locations!$A:$A,MATCH(I1257,Locations!$B:$B,0))</f>
        <v>3</v>
      </c>
    </row>
    <row r="1258" spans="1:11" x14ac:dyDescent="0.2">
      <c r="A1258" s="3">
        <v>1257</v>
      </c>
      <c r="B1258" t="s">
        <v>415</v>
      </c>
      <c r="C1258" t="s">
        <v>354</v>
      </c>
      <c r="D1258" s="1">
        <v>35318</v>
      </c>
      <c r="E1258" t="s">
        <v>1807</v>
      </c>
      <c r="F1258">
        <v>3</v>
      </c>
      <c r="G1258" t="s">
        <v>1906</v>
      </c>
      <c r="H1258" s="2">
        <v>1229</v>
      </c>
      <c r="I1258" t="s">
        <v>50</v>
      </c>
      <c r="J1258" s="2">
        <f>INDEX(Positions!$A:$A,MATCH(E1258,Positions!$B:$B,0))</f>
        <v>44</v>
      </c>
      <c r="K1258" s="2">
        <f>INDEX(Locations!$A:$A,MATCH(I1258,Locations!$B:$B,0))</f>
        <v>1</v>
      </c>
    </row>
    <row r="1259" spans="1:11" x14ac:dyDescent="0.2">
      <c r="A1259" s="3">
        <v>1258</v>
      </c>
      <c r="B1259" t="s">
        <v>315</v>
      </c>
      <c r="C1259" t="s">
        <v>333</v>
      </c>
      <c r="D1259" s="1">
        <v>33808</v>
      </c>
      <c r="E1259" t="s">
        <v>1820</v>
      </c>
      <c r="F1259">
        <v>6</v>
      </c>
      <c r="G1259" t="s">
        <v>1907</v>
      </c>
      <c r="H1259" s="2">
        <v>1247</v>
      </c>
      <c r="I1259" t="s">
        <v>1375</v>
      </c>
      <c r="J1259" s="2">
        <f>INDEX(Positions!$A:$A,MATCH(E1259,Positions!$B:$B,0))</f>
        <v>81</v>
      </c>
      <c r="K1259" s="2">
        <f>INDEX(Locations!$A:$A,MATCH(I1259,Locations!$B:$B,0))</f>
        <v>12</v>
      </c>
    </row>
    <row r="1260" spans="1:11" x14ac:dyDescent="0.2">
      <c r="A1260" s="3">
        <v>1259</v>
      </c>
      <c r="B1260" t="s">
        <v>144</v>
      </c>
      <c r="C1260" t="s">
        <v>157</v>
      </c>
      <c r="D1260" s="1">
        <v>36046</v>
      </c>
      <c r="E1260" t="s">
        <v>1807</v>
      </c>
      <c r="F1260">
        <v>3</v>
      </c>
      <c r="G1260" t="s">
        <v>1908</v>
      </c>
      <c r="H1260" s="2">
        <v>1258</v>
      </c>
      <c r="I1260" t="s">
        <v>1375</v>
      </c>
      <c r="J1260" s="2">
        <f>INDEX(Positions!$A:$A,MATCH(E1260,Positions!$B:$B,0))</f>
        <v>44</v>
      </c>
      <c r="K1260" s="2">
        <f>INDEX(Locations!$A:$A,MATCH(I1260,Locations!$B:$B,0))</f>
        <v>12</v>
      </c>
    </row>
    <row r="1261" spans="1:11" x14ac:dyDescent="0.2">
      <c r="A1261" s="3">
        <v>1260</v>
      </c>
      <c r="B1261" t="s">
        <v>78</v>
      </c>
      <c r="C1261" t="s">
        <v>294</v>
      </c>
      <c r="D1261" s="1">
        <v>36465</v>
      </c>
      <c r="E1261" t="s">
        <v>1794</v>
      </c>
      <c r="F1261">
        <v>4</v>
      </c>
      <c r="G1261" t="s">
        <v>1909</v>
      </c>
      <c r="H1261" s="2">
        <v>1258</v>
      </c>
      <c r="I1261" t="s">
        <v>1375</v>
      </c>
      <c r="J1261" s="2">
        <f>INDEX(Positions!$A:$A,MATCH(E1261,Positions!$B:$B,0))</f>
        <v>64</v>
      </c>
      <c r="K1261" s="2">
        <f>INDEX(Locations!$A:$A,MATCH(I1261,Locations!$B:$B,0))</f>
        <v>12</v>
      </c>
    </row>
    <row r="1262" spans="1:11" x14ac:dyDescent="0.2">
      <c r="A1262" s="3">
        <v>1261</v>
      </c>
      <c r="B1262" t="s">
        <v>530</v>
      </c>
      <c r="C1262" t="s">
        <v>155</v>
      </c>
      <c r="D1262" s="1">
        <v>36312</v>
      </c>
      <c r="E1262" t="s">
        <v>1803</v>
      </c>
      <c r="F1262">
        <v>2</v>
      </c>
      <c r="G1262" t="s">
        <v>1910</v>
      </c>
      <c r="H1262" s="2">
        <v>1254</v>
      </c>
      <c r="I1262" t="s">
        <v>1375</v>
      </c>
      <c r="J1262" s="2">
        <f>INDEX(Positions!$A:$A,MATCH(E1262,Positions!$B:$B,0))</f>
        <v>12</v>
      </c>
      <c r="K1262" s="2">
        <f>INDEX(Locations!$A:$A,MATCH(I1262,Locations!$B:$B,0))</f>
        <v>12</v>
      </c>
    </row>
    <row r="1263" spans="1:11" x14ac:dyDescent="0.2">
      <c r="A1263" s="3">
        <v>1262</v>
      </c>
      <c r="B1263" t="s">
        <v>546</v>
      </c>
      <c r="C1263" t="s">
        <v>450</v>
      </c>
      <c r="D1263" s="1">
        <v>35560</v>
      </c>
      <c r="E1263" t="s">
        <v>1807</v>
      </c>
      <c r="F1263">
        <v>3</v>
      </c>
      <c r="G1263" t="s">
        <v>1911</v>
      </c>
      <c r="H1263" s="2">
        <v>1254</v>
      </c>
      <c r="I1263" t="s">
        <v>1375</v>
      </c>
      <c r="J1263" s="2">
        <f>INDEX(Positions!$A:$A,MATCH(E1263,Positions!$B:$B,0))</f>
        <v>44</v>
      </c>
      <c r="K1263" s="2">
        <f>INDEX(Locations!$A:$A,MATCH(I1263,Locations!$B:$B,0))</f>
        <v>12</v>
      </c>
    </row>
    <row r="1264" spans="1:11" x14ac:dyDescent="0.2">
      <c r="A1264" s="3">
        <v>1263</v>
      </c>
      <c r="B1264" t="s">
        <v>231</v>
      </c>
      <c r="C1264" t="s">
        <v>981</v>
      </c>
      <c r="D1264" s="1">
        <v>36662</v>
      </c>
      <c r="E1264" t="s">
        <v>1807</v>
      </c>
      <c r="F1264">
        <v>3</v>
      </c>
      <c r="G1264" t="s">
        <v>1912</v>
      </c>
      <c r="H1264" s="2">
        <v>1222</v>
      </c>
      <c r="I1264" t="s">
        <v>99</v>
      </c>
      <c r="J1264" s="2">
        <f>INDEX(Positions!$A:$A,MATCH(E1264,Positions!$B:$B,0))</f>
        <v>44</v>
      </c>
      <c r="K1264" s="2">
        <f>INDEX(Locations!$A:$A,MATCH(I1264,Locations!$B:$B,0))</f>
        <v>3</v>
      </c>
    </row>
    <row r="1265" spans="1:11" x14ac:dyDescent="0.2">
      <c r="A1265" s="3">
        <v>1264</v>
      </c>
      <c r="B1265" t="s">
        <v>93</v>
      </c>
      <c r="C1265" t="s">
        <v>522</v>
      </c>
      <c r="D1265" s="1">
        <v>35563</v>
      </c>
      <c r="E1265" t="s">
        <v>1798</v>
      </c>
      <c r="F1265">
        <v>3</v>
      </c>
      <c r="G1265" t="s">
        <v>1913</v>
      </c>
      <c r="H1265" s="2">
        <v>1258</v>
      </c>
      <c r="I1265" t="s">
        <v>1375</v>
      </c>
      <c r="J1265" s="2">
        <f>INDEX(Positions!$A:$A,MATCH(E1265,Positions!$B:$B,0))</f>
        <v>35</v>
      </c>
      <c r="K1265" s="2">
        <f>INDEX(Locations!$A:$A,MATCH(I1265,Locations!$B:$B,0))</f>
        <v>12</v>
      </c>
    </row>
    <row r="1266" spans="1:11" x14ac:dyDescent="0.2">
      <c r="A1266" s="3">
        <v>1265</v>
      </c>
      <c r="B1266" t="s">
        <v>159</v>
      </c>
      <c r="C1266" t="s">
        <v>352</v>
      </c>
      <c r="D1266" s="1">
        <v>37352</v>
      </c>
      <c r="E1266" t="s">
        <v>1798</v>
      </c>
      <c r="F1266">
        <v>3</v>
      </c>
      <c r="G1266" t="s">
        <v>1914</v>
      </c>
      <c r="H1266" s="2">
        <v>1229</v>
      </c>
      <c r="I1266" t="s">
        <v>50</v>
      </c>
      <c r="J1266" s="2">
        <f>INDEX(Positions!$A:$A,MATCH(E1266,Positions!$B:$B,0))</f>
        <v>35</v>
      </c>
      <c r="K1266" s="2">
        <f>INDEX(Locations!$A:$A,MATCH(I1266,Locations!$B:$B,0))</f>
        <v>1</v>
      </c>
    </row>
    <row r="1267" spans="1:11" x14ac:dyDescent="0.2">
      <c r="A1267" s="3">
        <v>1266</v>
      </c>
      <c r="B1267" t="s">
        <v>163</v>
      </c>
      <c r="C1267" t="s">
        <v>342</v>
      </c>
      <c r="D1267" s="1">
        <v>37520</v>
      </c>
      <c r="E1267" t="s">
        <v>1807</v>
      </c>
      <c r="F1267">
        <v>3</v>
      </c>
      <c r="G1267" t="s">
        <v>1915</v>
      </c>
      <c r="H1267" s="2">
        <v>1249</v>
      </c>
      <c r="I1267" t="s">
        <v>1375</v>
      </c>
      <c r="J1267" s="2">
        <f>INDEX(Positions!$A:$A,MATCH(E1267,Positions!$B:$B,0))</f>
        <v>44</v>
      </c>
      <c r="K1267" s="2">
        <f>INDEX(Locations!$A:$A,MATCH(I1267,Locations!$B:$B,0))</f>
        <v>12</v>
      </c>
    </row>
    <row r="1268" spans="1:11" x14ac:dyDescent="0.2">
      <c r="A1268" s="3">
        <v>1267</v>
      </c>
      <c r="B1268" t="s">
        <v>129</v>
      </c>
      <c r="C1268" t="s">
        <v>981</v>
      </c>
      <c r="D1268" s="1">
        <v>35657</v>
      </c>
      <c r="E1268" t="s">
        <v>1807</v>
      </c>
      <c r="F1268">
        <v>3</v>
      </c>
      <c r="G1268" t="s">
        <v>1916</v>
      </c>
      <c r="H1268" s="2">
        <v>1249</v>
      </c>
      <c r="I1268" t="s">
        <v>1375</v>
      </c>
      <c r="J1268" s="2">
        <f>INDEX(Positions!$A:$A,MATCH(E1268,Positions!$B:$B,0))</f>
        <v>44</v>
      </c>
      <c r="K1268" s="2">
        <f>INDEX(Locations!$A:$A,MATCH(I1268,Locations!$B:$B,0))</f>
        <v>12</v>
      </c>
    </row>
    <row r="1269" spans="1:11" x14ac:dyDescent="0.2">
      <c r="A1269" s="3">
        <v>1268</v>
      </c>
      <c r="B1269" t="s">
        <v>150</v>
      </c>
      <c r="C1269" t="s">
        <v>158</v>
      </c>
      <c r="D1269" s="1">
        <v>35838</v>
      </c>
      <c r="E1269" t="s">
        <v>1800</v>
      </c>
      <c r="F1269">
        <v>2</v>
      </c>
      <c r="G1269" t="s">
        <v>1917</v>
      </c>
      <c r="H1269" s="2">
        <v>1254</v>
      </c>
      <c r="I1269" t="s">
        <v>1375</v>
      </c>
      <c r="J1269" s="2">
        <f>INDEX(Positions!$A:$A,MATCH(E1269,Positions!$B:$B,0))</f>
        <v>13</v>
      </c>
      <c r="K1269" s="2">
        <f>INDEX(Locations!$A:$A,MATCH(I1269,Locations!$B:$B,0))</f>
        <v>12</v>
      </c>
    </row>
    <row r="1270" spans="1:11" x14ac:dyDescent="0.2">
      <c r="A1270" s="3">
        <v>1269</v>
      </c>
      <c r="B1270" t="s">
        <v>248</v>
      </c>
      <c r="C1270" t="s">
        <v>108</v>
      </c>
      <c r="D1270" s="1">
        <v>36724</v>
      </c>
      <c r="E1270" t="s">
        <v>1803</v>
      </c>
      <c r="F1270">
        <v>2</v>
      </c>
      <c r="G1270" t="s">
        <v>1918</v>
      </c>
      <c r="H1270" s="2">
        <v>1249</v>
      </c>
      <c r="I1270" t="s">
        <v>1375</v>
      </c>
      <c r="J1270" s="2">
        <f>INDEX(Positions!$A:$A,MATCH(E1270,Positions!$B:$B,0))</f>
        <v>12</v>
      </c>
      <c r="K1270" s="2">
        <f>INDEX(Locations!$A:$A,MATCH(I1270,Locations!$B:$B,0))</f>
        <v>12</v>
      </c>
    </row>
    <row r="1271" spans="1:11" x14ac:dyDescent="0.2">
      <c r="A1271" s="3">
        <v>1270</v>
      </c>
      <c r="B1271" t="s">
        <v>360</v>
      </c>
      <c r="C1271" t="s">
        <v>96</v>
      </c>
      <c r="D1271" s="1">
        <v>35357</v>
      </c>
      <c r="E1271" t="s">
        <v>1798</v>
      </c>
      <c r="F1271">
        <v>3</v>
      </c>
      <c r="G1271" t="s">
        <v>1919</v>
      </c>
      <c r="H1271" s="2">
        <v>1249</v>
      </c>
      <c r="I1271" t="s">
        <v>1375</v>
      </c>
      <c r="J1271" s="2">
        <f>INDEX(Positions!$A:$A,MATCH(E1271,Positions!$B:$B,0))</f>
        <v>35</v>
      </c>
      <c r="K1271" s="2">
        <f>INDEX(Locations!$A:$A,MATCH(I1271,Locations!$B:$B,0))</f>
        <v>12</v>
      </c>
    </row>
    <row r="1272" spans="1:11" x14ac:dyDescent="0.2">
      <c r="A1272" s="3">
        <v>1271</v>
      </c>
      <c r="B1272" t="s">
        <v>573</v>
      </c>
      <c r="C1272" t="s">
        <v>366</v>
      </c>
      <c r="D1272" s="1">
        <v>35594</v>
      </c>
      <c r="E1272" t="s">
        <v>1798</v>
      </c>
      <c r="F1272">
        <v>3</v>
      </c>
      <c r="G1272" t="s">
        <v>1920</v>
      </c>
      <c r="H1272" s="2">
        <v>1258</v>
      </c>
      <c r="I1272" t="s">
        <v>1375</v>
      </c>
      <c r="J1272" s="2">
        <f>INDEX(Positions!$A:$A,MATCH(E1272,Positions!$B:$B,0))</f>
        <v>35</v>
      </c>
      <c r="K1272" s="2">
        <f>INDEX(Locations!$A:$A,MATCH(I1272,Locations!$B:$B,0))</f>
        <v>12</v>
      </c>
    </row>
    <row r="1273" spans="1:11" x14ac:dyDescent="0.2">
      <c r="A1273" s="3">
        <v>1272</v>
      </c>
      <c r="B1273" t="s">
        <v>530</v>
      </c>
      <c r="C1273" t="s">
        <v>103</v>
      </c>
      <c r="D1273" s="1">
        <v>32392</v>
      </c>
      <c r="E1273" t="s">
        <v>1794</v>
      </c>
      <c r="F1273">
        <v>4</v>
      </c>
      <c r="G1273" t="s">
        <v>1921</v>
      </c>
      <c r="H1273" s="2">
        <v>1173</v>
      </c>
      <c r="I1273" t="s">
        <v>50</v>
      </c>
      <c r="J1273" s="2">
        <f>INDEX(Positions!$A:$A,MATCH(E1273,Positions!$B:$B,0))</f>
        <v>64</v>
      </c>
      <c r="K1273" s="2">
        <f>INDEX(Locations!$A:$A,MATCH(I1273,Locations!$B:$B,0))</f>
        <v>1</v>
      </c>
    </row>
    <row r="1274" spans="1:11" x14ac:dyDescent="0.2">
      <c r="A1274" s="3">
        <v>1273</v>
      </c>
      <c r="B1274" t="s">
        <v>46</v>
      </c>
      <c r="C1274" t="s">
        <v>347</v>
      </c>
      <c r="D1274" s="1">
        <v>34255</v>
      </c>
      <c r="E1274" t="s">
        <v>1807</v>
      </c>
      <c r="F1274">
        <v>3</v>
      </c>
      <c r="G1274" t="s">
        <v>1922</v>
      </c>
      <c r="H1274" s="2">
        <v>1254</v>
      </c>
      <c r="I1274" t="s">
        <v>1375</v>
      </c>
      <c r="J1274" s="2">
        <f>INDEX(Positions!$A:$A,MATCH(E1274,Positions!$B:$B,0))</f>
        <v>44</v>
      </c>
      <c r="K1274" s="2">
        <f>INDEX(Locations!$A:$A,MATCH(I1274,Locations!$B:$B,0))</f>
        <v>12</v>
      </c>
    </row>
    <row r="1275" spans="1:11" x14ac:dyDescent="0.2">
      <c r="A1275" s="3">
        <v>1274</v>
      </c>
      <c r="B1275" t="s">
        <v>274</v>
      </c>
      <c r="C1275" t="s">
        <v>242</v>
      </c>
      <c r="D1275" s="1">
        <v>37229</v>
      </c>
      <c r="E1275" t="s">
        <v>1794</v>
      </c>
      <c r="F1275">
        <v>4</v>
      </c>
      <c r="G1275" t="s">
        <v>1923</v>
      </c>
      <c r="H1275" s="2">
        <v>1249</v>
      </c>
      <c r="I1275" t="s">
        <v>1375</v>
      </c>
      <c r="J1275" s="2">
        <f>INDEX(Positions!$A:$A,MATCH(E1275,Positions!$B:$B,0))</f>
        <v>64</v>
      </c>
      <c r="K1275" s="2">
        <f>INDEX(Locations!$A:$A,MATCH(I1275,Locations!$B:$B,0))</f>
        <v>12</v>
      </c>
    </row>
    <row r="1276" spans="1:11" x14ac:dyDescent="0.2">
      <c r="A1276" s="3">
        <v>1275</v>
      </c>
      <c r="B1276" t="s">
        <v>510</v>
      </c>
      <c r="C1276" t="s">
        <v>434</v>
      </c>
      <c r="D1276" s="1">
        <v>37818</v>
      </c>
      <c r="E1276" t="s">
        <v>1800</v>
      </c>
      <c r="F1276">
        <v>2</v>
      </c>
      <c r="G1276" t="s">
        <v>1924</v>
      </c>
      <c r="H1276" s="2">
        <v>1229</v>
      </c>
      <c r="I1276" t="s">
        <v>50</v>
      </c>
      <c r="J1276" s="2">
        <f>INDEX(Positions!$A:$A,MATCH(E1276,Positions!$B:$B,0))</f>
        <v>13</v>
      </c>
      <c r="K1276" s="2">
        <f>INDEX(Locations!$A:$A,MATCH(I1276,Locations!$B:$B,0))</f>
        <v>1</v>
      </c>
    </row>
    <row r="1277" spans="1:11" x14ac:dyDescent="0.2">
      <c r="A1277" s="3">
        <v>1276</v>
      </c>
      <c r="B1277" t="s">
        <v>530</v>
      </c>
      <c r="C1277" t="s">
        <v>98</v>
      </c>
      <c r="D1277" s="1">
        <v>36284</v>
      </c>
      <c r="E1277" t="s">
        <v>1800</v>
      </c>
      <c r="F1277">
        <v>2</v>
      </c>
      <c r="G1277" t="s">
        <v>1925</v>
      </c>
      <c r="H1277" s="2">
        <v>1214</v>
      </c>
      <c r="I1277" t="s">
        <v>99</v>
      </c>
      <c r="J1277" s="2">
        <f>INDEX(Positions!$A:$A,MATCH(E1277,Positions!$B:$B,0))</f>
        <v>13</v>
      </c>
      <c r="K1277" s="2">
        <f>INDEX(Locations!$A:$A,MATCH(I1277,Locations!$B:$B,0))</f>
        <v>3</v>
      </c>
    </row>
    <row r="1278" spans="1:11" x14ac:dyDescent="0.2">
      <c r="A1278" s="3">
        <v>1277</v>
      </c>
      <c r="B1278" t="s">
        <v>491</v>
      </c>
      <c r="C1278" t="s">
        <v>357</v>
      </c>
      <c r="D1278" s="1">
        <v>34781</v>
      </c>
      <c r="E1278" t="s">
        <v>1798</v>
      </c>
      <c r="F1278">
        <v>3</v>
      </c>
      <c r="G1278" t="s">
        <v>1926</v>
      </c>
      <c r="H1278" s="2">
        <v>1258</v>
      </c>
      <c r="I1278" t="s">
        <v>1375</v>
      </c>
      <c r="J1278" s="2">
        <f>INDEX(Positions!$A:$A,MATCH(E1278,Positions!$B:$B,0))</f>
        <v>35</v>
      </c>
      <c r="K1278" s="2">
        <f>INDEX(Locations!$A:$A,MATCH(I1278,Locations!$B:$B,0))</f>
        <v>12</v>
      </c>
    </row>
    <row r="1279" spans="1:11" x14ac:dyDescent="0.2">
      <c r="A1279" s="3">
        <v>1278</v>
      </c>
      <c r="B1279" t="s">
        <v>702</v>
      </c>
      <c r="C1279" t="s">
        <v>318</v>
      </c>
      <c r="D1279" s="1">
        <v>35450</v>
      </c>
      <c r="E1279" t="s">
        <v>1794</v>
      </c>
      <c r="F1279">
        <v>4</v>
      </c>
      <c r="G1279" t="s">
        <v>1927</v>
      </c>
      <c r="H1279" s="2">
        <v>1249</v>
      </c>
      <c r="I1279" t="s">
        <v>1375</v>
      </c>
      <c r="J1279" s="2">
        <f>INDEX(Positions!$A:$A,MATCH(E1279,Positions!$B:$B,0))</f>
        <v>64</v>
      </c>
      <c r="K1279" s="2">
        <f>INDEX(Locations!$A:$A,MATCH(I1279,Locations!$B:$B,0))</f>
        <v>12</v>
      </c>
    </row>
    <row r="1280" spans="1:11" x14ac:dyDescent="0.2">
      <c r="A1280" s="3">
        <v>1279</v>
      </c>
      <c r="B1280" t="s">
        <v>428</v>
      </c>
      <c r="C1280" t="s">
        <v>408</v>
      </c>
      <c r="D1280" s="1">
        <v>36306</v>
      </c>
      <c r="E1280" t="s">
        <v>1803</v>
      </c>
      <c r="F1280">
        <v>2</v>
      </c>
      <c r="G1280" t="s">
        <v>1928</v>
      </c>
      <c r="H1280" s="2">
        <v>1258</v>
      </c>
      <c r="I1280" t="s">
        <v>1375</v>
      </c>
      <c r="J1280" s="2">
        <f>INDEX(Positions!$A:$A,MATCH(E1280,Positions!$B:$B,0))</f>
        <v>12</v>
      </c>
      <c r="K1280" s="2">
        <f>INDEX(Locations!$A:$A,MATCH(I1280,Locations!$B:$B,0))</f>
        <v>12</v>
      </c>
    </row>
    <row r="1281" spans="1:11" x14ac:dyDescent="0.2">
      <c r="A1281" s="3">
        <v>1280</v>
      </c>
      <c r="B1281" t="s">
        <v>163</v>
      </c>
      <c r="C1281" t="s">
        <v>173</v>
      </c>
      <c r="D1281" s="1">
        <v>35469</v>
      </c>
      <c r="E1281" t="s">
        <v>1807</v>
      </c>
      <c r="F1281">
        <v>3</v>
      </c>
      <c r="G1281" t="s">
        <v>1929</v>
      </c>
      <c r="H1281" s="2">
        <v>1258</v>
      </c>
      <c r="I1281" t="s">
        <v>1375</v>
      </c>
      <c r="J1281" s="2">
        <f>INDEX(Positions!$A:$A,MATCH(E1281,Positions!$B:$B,0))</f>
        <v>44</v>
      </c>
      <c r="K1281" s="2">
        <f>INDEX(Locations!$A:$A,MATCH(I1281,Locations!$B:$B,0))</f>
        <v>12</v>
      </c>
    </row>
    <row r="1282" spans="1:11" x14ac:dyDescent="0.2">
      <c r="A1282" s="3">
        <v>1281</v>
      </c>
      <c r="B1282" t="s">
        <v>229</v>
      </c>
      <c r="C1282" t="s">
        <v>408</v>
      </c>
      <c r="D1282" s="1">
        <v>34877</v>
      </c>
      <c r="E1282" t="s">
        <v>1794</v>
      </c>
      <c r="F1282">
        <v>4</v>
      </c>
      <c r="G1282" t="s">
        <v>1930</v>
      </c>
      <c r="H1282" s="2">
        <v>1258</v>
      </c>
      <c r="I1282" t="s">
        <v>1375</v>
      </c>
      <c r="J1282" s="2">
        <f>INDEX(Positions!$A:$A,MATCH(E1282,Positions!$B:$B,0))</f>
        <v>64</v>
      </c>
      <c r="K1282" s="2">
        <f>INDEX(Locations!$A:$A,MATCH(I1282,Locations!$B:$B,0))</f>
        <v>12</v>
      </c>
    </row>
    <row r="1283" spans="1:11" x14ac:dyDescent="0.2">
      <c r="A1283" s="3">
        <v>1282</v>
      </c>
      <c r="B1283" t="s">
        <v>393</v>
      </c>
      <c r="C1283" t="s">
        <v>504</v>
      </c>
      <c r="D1283" s="1">
        <v>37065</v>
      </c>
      <c r="E1283" t="s">
        <v>1803</v>
      </c>
      <c r="F1283">
        <v>2</v>
      </c>
      <c r="G1283" t="s">
        <v>1931</v>
      </c>
      <c r="H1283" s="2">
        <v>1229</v>
      </c>
      <c r="I1283" t="s">
        <v>50</v>
      </c>
      <c r="J1283" s="2">
        <f>INDEX(Positions!$A:$A,MATCH(E1283,Positions!$B:$B,0))</f>
        <v>12</v>
      </c>
      <c r="K1283" s="2">
        <f>INDEX(Locations!$A:$A,MATCH(I1283,Locations!$B:$B,0))</f>
        <v>1</v>
      </c>
    </row>
    <row r="1284" spans="1:11" x14ac:dyDescent="0.2">
      <c r="A1284" s="3">
        <v>1283</v>
      </c>
      <c r="B1284" t="s">
        <v>475</v>
      </c>
      <c r="C1284" t="s">
        <v>222</v>
      </c>
      <c r="D1284" s="1">
        <v>31197</v>
      </c>
      <c r="E1284" t="s">
        <v>1798</v>
      </c>
      <c r="F1284">
        <v>3</v>
      </c>
      <c r="G1284" t="s">
        <v>516</v>
      </c>
      <c r="H1284" s="2">
        <v>1254</v>
      </c>
      <c r="I1284" t="s">
        <v>1375</v>
      </c>
      <c r="J1284" s="2">
        <f>INDEX(Positions!$A:$A,MATCH(E1284,Positions!$B:$B,0))</f>
        <v>35</v>
      </c>
      <c r="K1284" s="2">
        <f>INDEX(Locations!$A:$A,MATCH(I1284,Locations!$B:$B,0))</f>
        <v>12</v>
      </c>
    </row>
    <row r="1285" spans="1:11" x14ac:dyDescent="0.2">
      <c r="A1285" s="3">
        <v>1284</v>
      </c>
      <c r="B1285" t="s">
        <v>345</v>
      </c>
      <c r="C1285" t="s">
        <v>232</v>
      </c>
      <c r="D1285" s="1">
        <v>33196</v>
      </c>
      <c r="E1285" t="s">
        <v>1794</v>
      </c>
      <c r="F1285">
        <v>4</v>
      </c>
      <c r="G1285" t="s">
        <v>1932</v>
      </c>
      <c r="H1285" s="2">
        <v>1254</v>
      </c>
      <c r="I1285" t="s">
        <v>1375</v>
      </c>
      <c r="J1285" s="2">
        <f>INDEX(Positions!$A:$A,MATCH(E1285,Positions!$B:$B,0))</f>
        <v>64</v>
      </c>
      <c r="K1285" s="2">
        <f>INDEX(Locations!$A:$A,MATCH(I1285,Locations!$B:$B,0))</f>
        <v>12</v>
      </c>
    </row>
    <row r="1286" spans="1:11" x14ac:dyDescent="0.2">
      <c r="A1286" s="3">
        <v>1285</v>
      </c>
      <c r="B1286" t="s">
        <v>346</v>
      </c>
      <c r="C1286" t="s">
        <v>155</v>
      </c>
      <c r="D1286" s="1">
        <v>35444</v>
      </c>
      <c r="E1286" t="s">
        <v>1794</v>
      </c>
      <c r="F1286">
        <v>4</v>
      </c>
      <c r="G1286" t="s">
        <v>1933</v>
      </c>
      <c r="H1286" s="2">
        <v>1254</v>
      </c>
      <c r="I1286" t="s">
        <v>1375</v>
      </c>
      <c r="J1286" s="2">
        <f>INDEX(Positions!$A:$A,MATCH(E1286,Positions!$B:$B,0))</f>
        <v>64</v>
      </c>
      <c r="K1286" s="2">
        <f>INDEX(Locations!$A:$A,MATCH(I1286,Locations!$B:$B,0))</f>
        <v>12</v>
      </c>
    </row>
    <row r="1287" spans="1:11" x14ac:dyDescent="0.2">
      <c r="A1287" s="3">
        <v>1286</v>
      </c>
      <c r="B1287" t="s">
        <v>376</v>
      </c>
      <c r="C1287" t="s">
        <v>1158</v>
      </c>
      <c r="D1287" s="1">
        <v>31353</v>
      </c>
      <c r="E1287" t="s">
        <v>1794</v>
      </c>
      <c r="F1287">
        <v>4</v>
      </c>
      <c r="G1287" t="s">
        <v>1934</v>
      </c>
      <c r="H1287" s="2">
        <v>1258</v>
      </c>
      <c r="I1287" t="s">
        <v>1375</v>
      </c>
      <c r="J1287" s="2">
        <f>INDEX(Positions!$A:$A,MATCH(E1287,Positions!$B:$B,0))</f>
        <v>64</v>
      </c>
      <c r="K1287" s="2">
        <f>INDEX(Locations!$A:$A,MATCH(I1287,Locations!$B:$B,0))</f>
        <v>12</v>
      </c>
    </row>
    <row r="1288" spans="1:11" x14ac:dyDescent="0.2">
      <c r="A1288" s="3">
        <v>1287</v>
      </c>
      <c r="B1288" t="s">
        <v>59</v>
      </c>
      <c r="C1288" t="s">
        <v>147</v>
      </c>
      <c r="D1288" s="1">
        <v>36056</v>
      </c>
      <c r="E1288" t="s">
        <v>1800</v>
      </c>
      <c r="F1288">
        <v>2</v>
      </c>
      <c r="G1288" t="s">
        <v>1935</v>
      </c>
      <c r="H1288" s="2">
        <v>1258</v>
      </c>
      <c r="I1288" t="s">
        <v>1375</v>
      </c>
      <c r="J1288" s="2">
        <f>INDEX(Positions!$A:$A,MATCH(E1288,Positions!$B:$B,0))</f>
        <v>13</v>
      </c>
      <c r="K1288" s="2">
        <f>INDEX(Locations!$A:$A,MATCH(I1288,Locations!$B:$B,0))</f>
        <v>12</v>
      </c>
    </row>
    <row r="1289" spans="1:11" x14ac:dyDescent="0.2">
      <c r="A1289" s="3">
        <v>1288</v>
      </c>
      <c r="B1289" t="s">
        <v>230</v>
      </c>
      <c r="C1289" t="s">
        <v>134</v>
      </c>
      <c r="D1289" s="1">
        <v>36875</v>
      </c>
      <c r="E1289" t="s">
        <v>1803</v>
      </c>
      <c r="F1289">
        <v>2</v>
      </c>
      <c r="G1289" t="s">
        <v>1936</v>
      </c>
      <c r="H1289" s="2">
        <v>1249</v>
      </c>
      <c r="I1289" t="s">
        <v>1375</v>
      </c>
      <c r="J1289" s="2">
        <f>INDEX(Positions!$A:$A,MATCH(E1289,Positions!$B:$B,0))</f>
        <v>12</v>
      </c>
      <c r="K1289" s="2">
        <f>INDEX(Locations!$A:$A,MATCH(I1289,Locations!$B:$B,0))</f>
        <v>12</v>
      </c>
    </row>
    <row r="1290" spans="1:11" x14ac:dyDescent="0.2">
      <c r="A1290" s="3">
        <v>1289</v>
      </c>
      <c r="B1290" t="s">
        <v>308</v>
      </c>
      <c r="C1290" t="s">
        <v>361</v>
      </c>
      <c r="D1290" s="1">
        <v>38121</v>
      </c>
      <c r="E1290" t="s">
        <v>1800</v>
      </c>
      <c r="F1290">
        <v>2</v>
      </c>
      <c r="G1290" t="s">
        <v>1937</v>
      </c>
      <c r="H1290" s="2">
        <v>1254</v>
      </c>
      <c r="I1290" t="s">
        <v>1375</v>
      </c>
      <c r="J1290" s="2">
        <f>INDEX(Positions!$A:$A,MATCH(E1290,Positions!$B:$B,0))</f>
        <v>13</v>
      </c>
      <c r="K1290" s="2">
        <f>INDEX(Locations!$A:$A,MATCH(I1290,Locations!$B:$B,0))</f>
        <v>12</v>
      </c>
    </row>
    <row r="1291" spans="1:11" x14ac:dyDescent="0.2">
      <c r="A1291" s="3">
        <v>1290</v>
      </c>
      <c r="B1291" t="s">
        <v>302</v>
      </c>
      <c r="C1291" t="s">
        <v>136</v>
      </c>
      <c r="D1291" s="1">
        <v>36420</v>
      </c>
      <c r="E1291" t="s">
        <v>1803</v>
      </c>
      <c r="F1291">
        <v>2</v>
      </c>
      <c r="G1291" t="s">
        <v>1938</v>
      </c>
      <c r="H1291" s="2">
        <v>1254</v>
      </c>
      <c r="I1291" t="s">
        <v>1375</v>
      </c>
      <c r="J1291" s="2">
        <f>INDEX(Positions!$A:$A,MATCH(E1291,Positions!$B:$B,0))</f>
        <v>12</v>
      </c>
      <c r="K1291" s="2">
        <f>INDEX(Locations!$A:$A,MATCH(I1291,Locations!$B:$B,0))</f>
        <v>12</v>
      </c>
    </row>
    <row r="1292" spans="1:11" x14ac:dyDescent="0.2">
      <c r="A1292" s="3">
        <v>1291</v>
      </c>
      <c r="B1292" t="s">
        <v>376</v>
      </c>
      <c r="C1292" t="s">
        <v>307</v>
      </c>
      <c r="D1292" s="1">
        <v>37959</v>
      </c>
      <c r="E1292" t="s">
        <v>1800</v>
      </c>
      <c r="F1292">
        <v>2</v>
      </c>
      <c r="G1292" t="s">
        <v>1939</v>
      </c>
      <c r="H1292" s="2">
        <v>1229</v>
      </c>
      <c r="I1292" t="s">
        <v>50</v>
      </c>
      <c r="J1292" s="2">
        <f>INDEX(Positions!$A:$A,MATCH(E1292,Positions!$B:$B,0))</f>
        <v>13</v>
      </c>
      <c r="K1292" s="2">
        <f>INDEX(Locations!$A:$A,MATCH(I1292,Locations!$B:$B,0))</f>
        <v>1</v>
      </c>
    </row>
    <row r="1293" spans="1:11" x14ac:dyDescent="0.2">
      <c r="A1293" s="3">
        <v>1292</v>
      </c>
      <c r="B1293" t="s">
        <v>417</v>
      </c>
      <c r="C1293" t="s">
        <v>372</v>
      </c>
      <c r="D1293" s="1">
        <v>35108</v>
      </c>
      <c r="E1293" t="s">
        <v>1794</v>
      </c>
      <c r="F1293">
        <v>4</v>
      </c>
      <c r="G1293" t="s">
        <v>1940</v>
      </c>
      <c r="H1293" s="2">
        <v>1254</v>
      </c>
      <c r="I1293" t="s">
        <v>1375</v>
      </c>
      <c r="J1293" s="2">
        <f>INDEX(Positions!$A:$A,MATCH(E1293,Positions!$B:$B,0))</f>
        <v>64</v>
      </c>
      <c r="K1293" s="2">
        <f>INDEX(Locations!$A:$A,MATCH(I1293,Locations!$B:$B,0))</f>
        <v>12</v>
      </c>
    </row>
    <row r="1294" spans="1:11" x14ac:dyDescent="0.2">
      <c r="A1294" s="3">
        <v>1293</v>
      </c>
      <c r="B1294" t="s">
        <v>393</v>
      </c>
      <c r="C1294" t="s">
        <v>188</v>
      </c>
      <c r="D1294" s="1">
        <v>33849</v>
      </c>
      <c r="E1294" t="s">
        <v>1845</v>
      </c>
      <c r="F1294">
        <v>5</v>
      </c>
      <c r="G1294" t="s">
        <v>1941</v>
      </c>
      <c r="H1294" s="2">
        <v>1254</v>
      </c>
      <c r="I1294" t="s">
        <v>1375</v>
      </c>
      <c r="J1294" s="2">
        <f>INDEX(Positions!$A:$A,MATCH(E1294,Positions!$B:$B,0))</f>
        <v>72</v>
      </c>
      <c r="K1294" s="2">
        <f>INDEX(Locations!$A:$A,MATCH(I1294,Locations!$B:$B,0))</f>
        <v>12</v>
      </c>
    </row>
    <row r="1295" spans="1:11" x14ac:dyDescent="0.2">
      <c r="A1295" s="3">
        <v>1294</v>
      </c>
      <c r="B1295" t="s">
        <v>367</v>
      </c>
      <c r="C1295" t="s">
        <v>456</v>
      </c>
      <c r="D1295" s="1">
        <v>32129</v>
      </c>
      <c r="E1295" t="s">
        <v>1942</v>
      </c>
      <c r="F1295">
        <v>7</v>
      </c>
      <c r="G1295" t="s">
        <v>1943</v>
      </c>
      <c r="H1295" s="2">
        <v>12</v>
      </c>
      <c r="I1295" t="s">
        <v>50</v>
      </c>
      <c r="J1295" s="2">
        <f>INDEX(Positions!$A:$A,MATCH(E1295,Positions!$B:$B,0))</f>
        <v>100</v>
      </c>
      <c r="K1295" s="2">
        <f>INDEX(Locations!$A:$A,MATCH(I1295,Locations!$B:$B,0))</f>
        <v>1</v>
      </c>
    </row>
    <row r="1296" spans="1:11" x14ac:dyDescent="0.2">
      <c r="A1296" s="3">
        <v>1295</v>
      </c>
      <c r="B1296" t="s">
        <v>334</v>
      </c>
      <c r="C1296" t="s">
        <v>177</v>
      </c>
      <c r="D1296" s="1">
        <v>30736</v>
      </c>
      <c r="E1296" t="s">
        <v>1944</v>
      </c>
      <c r="F1296">
        <v>4</v>
      </c>
      <c r="G1296" t="s">
        <v>1945</v>
      </c>
      <c r="H1296" s="2">
        <v>1294</v>
      </c>
      <c r="I1296" t="s">
        <v>50</v>
      </c>
      <c r="J1296" s="2">
        <f>INDEX(Positions!$A:$A,MATCH(E1296,Positions!$B:$B,0))</f>
        <v>63</v>
      </c>
      <c r="K1296" s="2">
        <f>INDEX(Locations!$A:$A,MATCH(I1296,Locations!$B:$B,0))</f>
        <v>1</v>
      </c>
    </row>
    <row r="1297" spans="1:11" x14ac:dyDescent="0.2">
      <c r="A1297" s="3">
        <v>1296</v>
      </c>
      <c r="B1297" t="s">
        <v>152</v>
      </c>
      <c r="C1297" t="s">
        <v>802</v>
      </c>
      <c r="D1297" s="1">
        <v>33249</v>
      </c>
      <c r="E1297" t="s">
        <v>1946</v>
      </c>
      <c r="F1297">
        <v>3</v>
      </c>
      <c r="G1297" t="s">
        <v>1947</v>
      </c>
      <c r="H1297" s="2">
        <v>1294</v>
      </c>
      <c r="I1297" t="s">
        <v>50</v>
      </c>
      <c r="J1297" s="2">
        <f>INDEX(Positions!$A:$A,MATCH(E1297,Positions!$B:$B,0))</f>
        <v>30</v>
      </c>
      <c r="K1297" s="2">
        <f>INDEX(Locations!$A:$A,MATCH(I1297,Locations!$B:$B,0))</f>
        <v>1</v>
      </c>
    </row>
    <row r="1298" spans="1:11" x14ac:dyDescent="0.2">
      <c r="A1298" s="3">
        <v>1297</v>
      </c>
      <c r="B1298" t="s">
        <v>947</v>
      </c>
      <c r="C1298" t="s">
        <v>507</v>
      </c>
      <c r="D1298" s="1">
        <v>31714</v>
      </c>
      <c r="E1298" t="s">
        <v>1948</v>
      </c>
      <c r="F1298">
        <v>3</v>
      </c>
      <c r="G1298" t="s">
        <v>1949</v>
      </c>
      <c r="H1298" s="2">
        <v>1298</v>
      </c>
      <c r="I1298" t="s">
        <v>50</v>
      </c>
      <c r="J1298" s="2">
        <f>INDEX(Positions!$A:$A,MATCH(E1298,Positions!$B:$B,0))</f>
        <v>52</v>
      </c>
      <c r="K1298" s="2">
        <f>INDEX(Locations!$A:$A,MATCH(I1298,Locations!$B:$B,0))</f>
        <v>1</v>
      </c>
    </row>
    <row r="1299" spans="1:11" x14ac:dyDescent="0.2">
      <c r="A1299" s="3">
        <v>1298</v>
      </c>
      <c r="B1299" t="s">
        <v>78</v>
      </c>
      <c r="C1299" t="s">
        <v>245</v>
      </c>
      <c r="D1299" s="1">
        <v>29334</v>
      </c>
      <c r="E1299" t="s">
        <v>1950</v>
      </c>
      <c r="F1299">
        <v>6</v>
      </c>
      <c r="G1299" t="s">
        <v>1951</v>
      </c>
      <c r="H1299" s="2">
        <v>1294</v>
      </c>
      <c r="I1299" t="s">
        <v>50</v>
      </c>
      <c r="J1299" s="2">
        <f>INDEX(Positions!$A:$A,MATCH(E1299,Positions!$B:$B,0))</f>
        <v>88</v>
      </c>
      <c r="K1299" s="2">
        <f>INDEX(Locations!$A:$A,MATCH(I1299,Locations!$B:$B,0))</f>
        <v>1</v>
      </c>
    </row>
    <row r="1300" spans="1:11" x14ac:dyDescent="0.2">
      <c r="A1300" s="3">
        <v>1299</v>
      </c>
      <c r="B1300" t="s">
        <v>114</v>
      </c>
      <c r="C1300" t="s">
        <v>252</v>
      </c>
      <c r="D1300" s="1">
        <v>33305</v>
      </c>
      <c r="E1300" t="s">
        <v>1946</v>
      </c>
      <c r="F1300">
        <v>3</v>
      </c>
      <c r="G1300" t="s">
        <v>1952</v>
      </c>
      <c r="H1300" s="2">
        <v>1298</v>
      </c>
      <c r="I1300" t="s">
        <v>89</v>
      </c>
      <c r="J1300" s="2">
        <f>INDEX(Positions!$A:$A,MATCH(E1300,Positions!$B:$B,0))</f>
        <v>30</v>
      </c>
      <c r="K1300" s="2">
        <f>INDEX(Locations!$A:$A,MATCH(I1300,Locations!$B:$B,0))</f>
        <v>8</v>
      </c>
    </row>
    <row r="1301" spans="1:11" x14ac:dyDescent="0.2">
      <c r="A1301" s="3">
        <v>1300</v>
      </c>
      <c r="B1301" t="s">
        <v>281</v>
      </c>
      <c r="C1301" t="s">
        <v>304</v>
      </c>
      <c r="D1301" s="1">
        <v>32315</v>
      </c>
      <c r="E1301" t="s">
        <v>1944</v>
      </c>
      <c r="F1301">
        <v>4</v>
      </c>
      <c r="G1301" t="s">
        <v>1953</v>
      </c>
      <c r="H1301" s="2">
        <v>1298</v>
      </c>
      <c r="I1301" t="s">
        <v>50</v>
      </c>
      <c r="J1301" s="2">
        <f>INDEX(Positions!$A:$A,MATCH(E1301,Positions!$B:$B,0))</f>
        <v>63</v>
      </c>
      <c r="K1301" s="2">
        <f>INDEX(Locations!$A:$A,MATCH(I1301,Locations!$B:$B,0))</f>
        <v>1</v>
      </c>
    </row>
    <row r="1302" spans="1:11" x14ac:dyDescent="0.2">
      <c r="A1302" s="3">
        <v>1301</v>
      </c>
      <c r="B1302" t="s">
        <v>86</v>
      </c>
      <c r="C1302" t="s">
        <v>141</v>
      </c>
      <c r="D1302" s="1">
        <v>29165</v>
      </c>
      <c r="E1302" t="s">
        <v>1950</v>
      </c>
      <c r="F1302">
        <v>6</v>
      </c>
      <c r="G1302" t="s">
        <v>1954</v>
      </c>
      <c r="H1302" s="2">
        <v>1294</v>
      </c>
      <c r="I1302" t="s">
        <v>50</v>
      </c>
      <c r="J1302" s="2">
        <f>INDEX(Positions!$A:$A,MATCH(E1302,Positions!$B:$B,0))</f>
        <v>88</v>
      </c>
      <c r="K1302" s="2">
        <f>INDEX(Locations!$A:$A,MATCH(I1302,Locations!$B:$B,0))</f>
        <v>1</v>
      </c>
    </row>
    <row r="1303" spans="1:11" x14ac:dyDescent="0.2">
      <c r="A1303" s="3">
        <v>1302</v>
      </c>
      <c r="B1303" t="s">
        <v>267</v>
      </c>
      <c r="C1303" t="s">
        <v>143</v>
      </c>
      <c r="D1303" s="1">
        <v>34626</v>
      </c>
      <c r="E1303" t="s">
        <v>1948</v>
      </c>
      <c r="F1303">
        <v>3</v>
      </c>
      <c r="G1303" t="s">
        <v>1955</v>
      </c>
      <c r="H1303" s="2">
        <v>1301</v>
      </c>
      <c r="I1303" t="s">
        <v>50</v>
      </c>
      <c r="J1303" s="2">
        <f>INDEX(Positions!$A:$A,MATCH(E1303,Positions!$B:$B,0))</f>
        <v>52</v>
      </c>
      <c r="K1303" s="2">
        <f>INDEX(Locations!$A:$A,MATCH(I1303,Locations!$B:$B,0))</f>
        <v>1</v>
      </c>
    </row>
    <row r="1304" spans="1:11" x14ac:dyDescent="0.2">
      <c r="A1304" s="3">
        <v>1303</v>
      </c>
      <c r="B1304" t="s">
        <v>445</v>
      </c>
      <c r="C1304" t="s">
        <v>216</v>
      </c>
      <c r="D1304" s="1">
        <v>34556</v>
      </c>
      <c r="E1304" t="s">
        <v>1946</v>
      </c>
      <c r="F1304">
        <v>3</v>
      </c>
      <c r="G1304" t="s">
        <v>1956</v>
      </c>
      <c r="H1304" s="2">
        <v>1298</v>
      </c>
      <c r="I1304" t="s">
        <v>50</v>
      </c>
      <c r="J1304" s="2">
        <f>INDEX(Positions!$A:$A,MATCH(E1304,Positions!$B:$B,0))</f>
        <v>30</v>
      </c>
      <c r="K1304" s="2">
        <f>INDEX(Locations!$A:$A,MATCH(I1304,Locations!$B:$B,0))</f>
        <v>1</v>
      </c>
    </row>
    <row r="1305" spans="1:11" x14ac:dyDescent="0.2">
      <c r="A1305" s="3">
        <v>1304</v>
      </c>
      <c r="B1305" t="s">
        <v>404</v>
      </c>
      <c r="C1305" t="s">
        <v>278</v>
      </c>
      <c r="D1305" s="1">
        <v>34896</v>
      </c>
      <c r="E1305" t="s">
        <v>1946</v>
      </c>
      <c r="F1305">
        <v>3</v>
      </c>
      <c r="G1305" t="s">
        <v>1957</v>
      </c>
      <c r="H1305" s="2">
        <v>1298</v>
      </c>
      <c r="I1305" t="s">
        <v>50</v>
      </c>
      <c r="J1305" s="2">
        <f>INDEX(Positions!$A:$A,MATCH(E1305,Positions!$B:$B,0))</f>
        <v>30</v>
      </c>
      <c r="K1305" s="2">
        <f>INDEX(Locations!$A:$A,MATCH(I1305,Locations!$B:$B,0))</f>
        <v>1</v>
      </c>
    </row>
    <row r="1306" spans="1:11" x14ac:dyDescent="0.2">
      <c r="A1306" s="3">
        <v>1305</v>
      </c>
      <c r="B1306" t="s">
        <v>163</v>
      </c>
      <c r="C1306" t="s">
        <v>193</v>
      </c>
      <c r="D1306" s="1">
        <v>31025</v>
      </c>
      <c r="E1306" t="s">
        <v>1946</v>
      </c>
      <c r="F1306">
        <v>3</v>
      </c>
      <c r="G1306" t="s">
        <v>1958</v>
      </c>
      <c r="H1306" s="2">
        <v>1298</v>
      </c>
      <c r="I1306" t="s">
        <v>50</v>
      </c>
      <c r="J1306" s="2">
        <f>INDEX(Positions!$A:$A,MATCH(E1306,Positions!$B:$B,0))</f>
        <v>30</v>
      </c>
      <c r="K1306" s="2">
        <f>INDEX(Locations!$A:$A,MATCH(I1306,Locations!$B:$B,0))</f>
        <v>1</v>
      </c>
    </row>
    <row r="1307" spans="1:11" x14ac:dyDescent="0.2">
      <c r="A1307" s="3">
        <v>1306</v>
      </c>
      <c r="B1307" t="s">
        <v>181</v>
      </c>
      <c r="C1307" t="s">
        <v>541</v>
      </c>
      <c r="D1307" s="1">
        <v>35294</v>
      </c>
      <c r="E1307" t="s">
        <v>1944</v>
      </c>
      <c r="F1307">
        <v>4</v>
      </c>
      <c r="G1307" t="s">
        <v>1959</v>
      </c>
      <c r="H1307" s="2">
        <v>1301</v>
      </c>
      <c r="I1307" t="s">
        <v>50</v>
      </c>
      <c r="J1307" s="2">
        <f>INDEX(Positions!$A:$A,MATCH(E1307,Positions!$B:$B,0))</f>
        <v>63</v>
      </c>
      <c r="K1307" s="2">
        <f>INDEX(Locations!$A:$A,MATCH(I1307,Locations!$B:$B,0))</f>
        <v>1</v>
      </c>
    </row>
    <row r="1308" spans="1:11" x14ac:dyDescent="0.2">
      <c r="A1308" s="3">
        <v>1307</v>
      </c>
      <c r="B1308" t="s">
        <v>122</v>
      </c>
      <c r="C1308" t="s">
        <v>460</v>
      </c>
      <c r="D1308" s="1">
        <v>36633</v>
      </c>
      <c r="E1308" t="s">
        <v>1960</v>
      </c>
      <c r="F1308">
        <v>2</v>
      </c>
      <c r="G1308" t="s">
        <v>1961</v>
      </c>
      <c r="H1308" s="2">
        <v>1298</v>
      </c>
      <c r="I1308" t="s">
        <v>50</v>
      </c>
      <c r="J1308" s="2">
        <f>INDEX(Positions!$A:$A,MATCH(E1308,Positions!$B:$B,0))</f>
        <v>21</v>
      </c>
      <c r="K1308" s="2">
        <f>INDEX(Locations!$A:$A,MATCH(I1308,Locations!$B:$B,0))</f>
        <v>1</v>
      </c>
    </row>
    <row r="1309" spans="1:11" x14ac:dyDescent="0.2">
      <c r="A1309" s="3">
        <v>1308</v>
      </c>
      <c r="B1309" t="s">
        <v>259</v>
      </c>
      <c r="C1309" t="s">
        <v>355</v>
      </c>
      <c r="D1309" s="1">
        <v>34853</v>
      </c>
      <c r="E1309" t="s">
        <v>1944</v>
      </c>
      <c r="F1309">
        <v>4</v>
      </c>
      <c r="G1309" t="s">
        <v>1962</v>
      </c>
      <c r="H1309" s="2">
        <v>1301</v>
      </c>
      <c r="I1309" t="s">
        <v>50</v>
      </c>
      <c r="J1309" s="2">
        <f>INDEX(Positions!$A:$A,MATCH(E1309,Positions!$B:$B,0))</f>
        <v>63</v>
      </c>
      <c r="K1309" s="2">
        <f>INDEX(Locations!$A:$A,MATCH(I1309,Locations!$B:$B,0))</f>
        <v>1</v>
      </c>
    </row>
    <row r="1310" spans="1:11" x14ac:dyDescent="0.2">
      <c r="A1310" s="3">
        <v>1309</v>
      </c>
      <c r="B1310" t="s">
        <v>71</v>
      </c>
      <c r="C1310" t="s">
        <v>541</v>
      </c>
      <c r="D1310" s="1">
        <v>37771</v>
      </c>
      <c r="E1310" t="s">
        <v>1946</v>
      </c>
      <c r="F1310">
        <v>3</v>
      </c>
      <c r="G1310" t="s">
        <v>1963</v>
      </c>
      <c r="H1310" s="2">
        <v>1301</v>
      </c>
      <c r="I1310" t="s">
        <v>50</v>
      </c>
      <c r="J1310" s="2">
        <f>INDEX(Positions!$A:$A,MATCH(E1310,Positions!$B:$B,0))</f>
        <v>30</v>
      </c>
      <c r="K1310" s="2">
        <f>INDEX(Locations!$A:$A,MATCH(I1310,Locations!$B:$B,0))</f>
        <v>1</v>
      </c>
    </row>
    <row r="1311" spans="1:11" x14ac:dyDescent="0.2">
      <c r="A1311" s="3">
        <v>1310</v>
      </c>
      <c r="B1311" t="s">
        <v>63</v>
      </c>
      <c r="C1311" t="s">
        <v>138</v>
      </c>
      <c r="D1311" s="1">
        <v>37489</v>
      </c>
      <c r="E1311" t="s">
        <v>1944</v>
      </c>
      <c r="F1311">
        <v>4</v>
      </c>
      <c r="G1311" t="s">
        <v>1964</v>
      </c>
      <c r="H1311" s="2">
        <v>1301</v>
      </c>
      <c r="I1311" t="s">
        <v>89</v>
      </c>
      <c r="J1311" s="2">
        <f>INDEX(Positions!$A:$A,MATCH(E1311,Positions!$B:$B,0))</f>
        <v>63</v>
      </c>
      <c r="K1311" s="2">
        <f>INDEX(Locations!$A:$A,MATCH(I1311,Locations!$B:$B,0))</f>
        <v>8</v>
      </c>
    </row>
    <row r="1312" spans="1:11" x14ac:dyDescent="0.2">
      <c r="A1312" s="3">
        <v>1311</v>
      </c>
      <c r="B1312" t="s">
        <v>412</v>
      </c>
      <c r="C1312" t="s">
        <v>301</v>
      </c>
      <c r="D1312" s="1">
        <v>36003</v>
      </c>
      <c r="E1312" t="s">
        <v>1944</v>
      </c>
      <c r="F1312">
        <v>4</v>
      </c>
      <c r="G1312" t="s">
        <v>1965</v>
      </c>
      <c r="H1312" s="2">
        <v>1298</v>
      </c>
      <c r="I1312" t="s">
        <v>50</v>
      </c>
      <c r="J1312" s="2">
        <f>INDEX(Positions!$A:$A,MATCH(E1312,Positions!$B:$B,0))</f>
        <v>63</v>
      </c>
      <c r="K1312" s="2">
        <f>INDEX(Locations!$A:$A,MATCH(I1312,Locations!$B:$B,0))</f>
        <v>1</v>
      </c>
    </row>
    <row r="1313" spans="1:11" x14ac:dyDescent="0.2">
      <c r="A1313" s="3">
        <v>1312</v>
      </c>
      <c r="B1313" t="s">
        <v>329</v>
      </c>
      <c r="C1313" t="s">
        <v>459</v>
      </c>
      <c r="D1313" s="1">
        <v>35436</v>
      </c>
      <c r="E1313" t="s">
        <v>1960</v>
      </c>
      <c r="F1313">
        <v>2</v>
      </c>
      <c r="G1313" t="s">
        <v>1966</v>
      </c>
      <c r="H1313" s="2">
        <v>1301</v>
      </c>
      <c r="I1313" t="s">
        <v>50</v>
      </c>
      <c r="J1313" s="2">
        <f>INDEX(Positions!$A:$A,MATCH(E1313,Positions!$B:$B,0))</f>
        <v>21</v>
      </c>
      <c r="K1313" s="2">
        <f>INDEX(Locations!$A:$A,MATCH(I1313,Locations!$B:$B,0))</f>
        <v>1</v>
      </c>
    </row>
    <row r="1314" spans="1:11" x14ac:dyDescent="0.2">
      <c r="A1314" s="3">
        <v>1313</v>
      </c>
      <c r="B1314" t="s">
        <v>231</v>
      </c>
      <c r="C1314" t="s">
        <v>392</v>
      </c>
      <c r="D1314" s="1">
        <v>37062</v>
      </c>
      <c r="E1314" t="s">
        <v>1960</v>
      </c>
      <c r="F1314">
        <v>2</v>
      </c>
      <c r="G1314" t="s">
        <v>1967</v>
      </c>
      <c r="H1314" s="2">
        <v>1298</v>
      </c>
      <c r="I1314" t="s">
        <v>50</v>
      </c>
      <c r="J1314" s="2">
        <f>INDEX(Positions!$A:$A,MATCH(E1314,Positions!$B:$B,0))</f>
        <v>21</v>
      </c>
      <c r="K1314" s="2">
        <f>INDEX(Locations!$A:$A,MATCH(I1314,Locations!$B:$B,0))</f>
        <v>1</v>
      </c>
    </row>
    <row r="1315" spans="1:11" x14ac:dyDescent="0.2">
      <c r="A1315" s="3">
        <v>1314</v>
      </c>
      <c r="B1315" t="s">
        <v>268</v>
      </c>
      <c r="C1315" t="s">
        <v>303</v>
      </c>
      <c r="D1315" s="1">
        <v>32712</v>
      </c>
      <c r="E1315" t="s">
        <v>1946</v>
      </c>
      <c r="F1315">
        <v>3</v>
      </c>
      <c r="G1315" t="s">
        <v>1968</v>
      </c>
      <c r="H1315" s="2">
        <v>1316</v>
      </c>
      <c r="I1315" t="s">
        <v>92</v>
      </c>
      <c r="J1315" s="2">
        <f>INDEX(Positions!$A:$A,MATCH(E1315,Positions!$B:$B,0))</f>
        <v>30</v>
      </c>
      <c r="K1315" s="2">
        <f>INDEX(Locations!$A:$A,MATCH(I1315,Locations!$B:$B,0))</f>
        <v>6</v>
      </c>
    </row>
    <row r="1316" spans="1:11" x14ac:dyDescent="0.2">
      <c r="A1316" s="3">
        <v>1315</v>
      </c>
      <c r="B1316" t="s">
        <v>191</v>
      </c>
      <c r="C1316" t="s">
        <v>247</v>
      </c>
      <c r="D1316" s="1">
        <v>36199</v>
      </c>
      <c r="E1316" t="s">
        <v>1946</v>
      </c>
      <c r="F1316">
        <v>3</v>
      </c>
      <c r="G1316" t="s">
        <v>1969</v>
      </c>
      <c r="H1316" s="2">
        <v>1301</v>
      </c>
      <c r="I1316" t="s">
        <v>50</v>
      </c>
      <c r="J1316" s="2">
        <f>INDEX(Positions!$A:$A,MATCH(E1316,Positions!$B:$B,0))</f>
        <v>30</v>
      </c>
      <c r="K1316" s="2">
        <f>INDEX(Locations!$A:$A,MATCH(I1316,Locations!$B:$B,0))</f>
        <v>1</v>
      </c>
    </row>
    <row r="1317" spans="1:11" x14ac:dyDescent="0.2">
      <c r="A1317" s="3">
        <v>1316</v>
      </c>
      <c r="B1317" t="s">
        <v>179</v>
      </c>
      <c r="C1317" t="s">
        <v>208</v>
      </c>
      <c r="D1317" s="1">
        <v>30729</v>
      </c>
      <c r="E1317" t="s">
        <v>1950</v>
      </c>
      <c r="F1317">
        <v>6</v>
      </c>
      <c r="G1317" t="s">
        <v>1970</v>
      </c>
      <c r="H1317" s="2">
        <v>1294</v>
      </c>
      <c r="I1317" t="s">
        <v>92</v>
      </c>
      <c r="J1317" s="2">
        <f>INDEX(Positions!$A:$A,MATCH(E1317,Positions!$B:$B,0))</f>
        <v>88</v>
      </c>
      <c r="K1317" s="2">
        <f>INDEX(Locations!$A:$A,MATCH(I1317,Locations!$B:$B,0))</f>
        <v>6</v>
      </c>
    </row>
    <row r="1318" spans="1:11" x14ac:dyDescent="0.2">
      <c r="A1318" s="3">
        <v>1317</v>
      </c>
      <c r="B1318" t="s">
        <v>746</v>
      </c>
      <c r="C1318" t="s">
        <v>432</v>
      </c>
      <c r="D1318" s="1">
        <v>33655</v>
      </c>
      <c r="E1318" t="s">
        <v>1946</v>
      </c>
      <c r="F1318">
        <v>3</v>
      </c>
      <c r="G1318" t="s">
        <v>1971</v>
      </c>
      <c r="H1318" s="2">
        <v>1316</v>
      </c>
      <c r="I1318" t="s">
        <v>92</v>
      </c>
      <c r="J1318" s="2">
        <f>INDEX(Positions!$A:$A,MATCH(E1318,Positions!$B:$B,0))</f>
        <v>30</v>
      </c>
      <c r="K1318" s="2">
        <f>INDEX(Locations!$A:$A,MATCH(I1318,Locations!$B:$B,0))</f>
        <v>6</v>
      </c>
    </row>
    <row r="1319" spans="1:11" x14ac:dyDescent="0.2">
      <c r="A1319" s="3">
        <v>1318</v>
      </c>
      <c r="B1319" t="s">
        <v>397</v>
      </c>
      <c r="C1319" t="s">
        <v>276</v>
      </c>
      <c r="D1319" s="1">
        <v>35213</v>
      </c>
      <c r="E1319" t="s">
        <v>1948</v>
      </c>
      <c r="F1319">
        <v>3</v>
      </c>
      <c r="G1319" t="s">
        <v>1972</v>
      </c>
      <c r="H1319" s="2">
        <v>1298</v>
      </c>
      <c r="I1319" t="s">
        <v>89</v>
      </c>
      <c r="J1319" s="2">
        <f>INDEX(Positions!$A:$A,MATCH(E1319,Positions!$B:$B,0))</f>
        <v>52</v>
      </c>
      <c r="K1319" s="2">
        <f>INDEX(Locations!$A:$A,MATCH(I1319,Locations!$B:$B,0))</f>
        <v>8</v>
      </c>
    </row>
    <row r="1320" spans="1:11" x14ac:dyDescent="0.2">
      <c r="A1320" s="3">
        <v>1319</v>
      </c>
      <c r="B1320" t="s">
        <v>144</v>
      </c>
      <c r="C1320" t="s">
        <v>479</v>
      </c>
      <c r="D1320" s="1">
        <v>37778</v>
      </c>
      <c r="E1320" t="s">
        <v>1944</v>
      </c>
      <c r="F1320">
        <v>4</v>
      </c>
      <c r="G1320" t="s">
        <v>1973</v>
      </c>
      <c r="H1320" s="2">
        <v>1316</v>
      </c>
      <c r="I1320" t="s">
        <v>92</v>
      </c>
      <c r="J1320" s="2">
        <f>INDEX(Positions!$A:$A,MATCH(E1320,Positions!$B:$B,0))</f>
        <v>63</v>
      </c>
      <c r="K1320" s="2">
        <f>INDEX(Locations!$A:$A,MATCH(I1320,Locations!$B:$B,0))</f>
        <v>6</v>
      </c>
    </row>
    <row r="1321" spans="1:11" x14ac:dyDescent="0.2">
      <c r="A1321" s="3">
        <v>1320</v>
      </c>
      <c r="B1321" t="s">
        <v>415</v>
      </c>
      <c r="C1321" t="s">
        <v>111</v>
      </c>
      <c r="D1321" s="1">
        <v>35080</v>
      </c>
      <c r="E1321" t="s">
        <v>1946</v>
      </c>
      <c r="F1321">
        <v>3</v>
      </c>
      <c r="G1321" t="s">
        <v>1974</v>
      </c>
      <c r="H1321" s="2">
        <v>1316</v>
      </c>
      <c r="I1321" t="s">
        <v>89</v>
      </c>
      <c r="J1321" s="2">
        <f>INDEX(Positions!$A:$A,MATCH(E1321,Positions!$B:$B,0))</f>
        <v>30</v>
      </c>
      <c r="K1321" s="2">
        <f>INDEX(Locations!$A:$A,MATCH(I1321,Locations!$B:$B,0))</f>
        <v>8</v>
      </c>
    </row>
    <row r="1322" spans="1:11" x14ac:dyDescent="0.2">
      <c r="A1322" s="3">
        <v>1321</v>
      </c>
      <c r="B1322" t="s">
        <v>411</v>
      </c>
      <c r="C1322" t="s">
        <v>1449</v>
      </c>
      <c r="D1322" s="1">
        <v>35778</v>
      </c>
      <c r="E1322" t="s">
        <v>1960</v>
      </c>
      <c r="F1322">
        <v>2</v>
      </c>
      <c r="G1322" t="s">
        <v>1975</v>
      </c>
      <c r="H1322" s="2">
        <v>1301</v>
      </c>
      <c r="I1322" t="s">
        <v>50</v>
      </c>
      <c r="J1322" s="2">
        <f>INDEX(Positions!$A:$A,MATCH(E1322,Positions!$B:$B,0))</f>
        <v>21</v>
      </c>
      <c r="K1322" s="2">
        <f>INDEX(Locations!$A:$A,MATCH(I1322,Locations!$B:$B,0))</f>
        <v>1</v>
      </c>
    </row>
    <row r="1323" spans="1:11" x14ac:dyDescent="0.2">
      <c r="A1323" s="3">
        <v>1322</v>
      </c>
      <c r="B1323" t="s">
        <v>215</v>
      </c>
      <c r="C1323" t="s">
        <v>286</v>
      </c>
      <c r="D1323" s="1">
        <v>32200</v>
      </c>
      <c r="E1323" t="s">
        <v>1948</v>
      </c>
      <c r="F1323">
        <v>3</v>
      </c>
      <c r="G1323" t="s">
        <v>1976</v>
      </c>
      <c r="H1323" s="2">
        <v>1316</v>
      </c>
      <c r="I1323" t="s">
        <v>92</v>
      </c>
      <c r="J1323" s="2">
        <f>INDEX(Positions!$A:$A,MATCH(E1323,Positions!$B:$B,0))</f>
        <v>52</v>
      </c>
      <c r="K1323" s="2">
        <f>INDEX(Locations!$A:$A,MATCH(I1323,Locations!$B:$B,0))</f>
        <v>6</v>
      </c>
    </row>
    <row r="1324" spans="1:11" x14ac:dyDescent="0.2">
      <c r="A1324" s="3">
        <v>1323</v>
      </c>
      <c r="B1324" t="s">
        <v>194</v>
      </c>
      <c r="C1324" t="s">
        <v>369</v>
      </c>
      <c r="D1324" s="1">
        <v>37276</v>
      </c>
      <c r="E1324" t="s">
        <v>1960</v>
      </c>
      <c r="F1324">
        <v>2</v>
      </c>
      <c r="G1324" t="s">
        <v>1977</v>
      </c>
      <c r="H1324" s="2">
        <v>1316</v>
      </c>
      <c r="I1324" t="s">
        <v>89</v>
      </c>
      <c r="J1324" s="2">
        <f>INDEX(Positions!$A:$A,MATCH(E1324,Positions!$B:$B,0))</f>
        <v>21</v>
      </c>
      <c r="K1324" s="2">
        <f>INDEX(Locations!$A:$A,MATCH(I1324,Locations!$B:$B,0))</f>
        <v>8</v>
      </c>
    </row>
    <row r="1325" spans="1:11" x14ac:dyDescent="0.2">
      <c r="A1325" s="3">
        <v>1324</v>
      </c>
      <c r="B1325" t="s">
        <v>152</v>
      </c>
      <c r="C1325" t="s">
        <v>575</v>
      </c>
      <c r="D1325" s="1">
        <v>39435</v>
      </c>
      <c r="E1325" t="s">
        <v>1960</v>
      </c>
      <c r="F1325">
        <v>2</v>
      </c>
      <c r="G1325" t="s">
        <v>1978</v>
      </c>
      <c r="H1325" s="2">
        <v>1316</v>
      </c>
      <c r="I1325" t="s">
        <v>92</v>
      </c>
      <c r="J1325" s="2">
        <f>INDEX(Positions!$A:$A,MATCH(E1325,Positions!$B:$B,0))</f>
        <v>21</v>
      </c>
      <c r="K1325" s="2">
        <f>INDEX(Locations!$A:$A,MATCH(I1325,Locations!$B:$B,0))</f>
        <v>6</v>
      </c>
    </row>
    <row r="1326" spans="1:11" x14ac:dyDescent="0.2">
      <c r="A1326" s="3">
        <v>1325</v>
      </c>
      <c r="B1326" t="s">
        <v>351</v>
      </c>
      <c r="C1326" t="s">
        <v>135</v>
      </c>
      <c r="D1326" s="1">
        <v>34282</v>
      </c>
      <c r="E1326" t="s">
        <v>1960</v>
      </c>
      <c r="F1326">
        <v>2</v>
      </c>
      <c r="G1326" t="s">
        <v>1979</v>
      </c>
      <c r="H1326" s="2">
        <v>1301</v>
      </c>
      <c r="I1326" t="s">
        <v>50</v>
      </c>
      <c r="J1326" s="2">
        <f>INDEX(Positions!$A:$A,MATCH(E1326,Positions!$B:$B,0))</f>
        <v>21</v>
      </c>
      <c r="K1326" s="2">
        <f>INDEX(Locations!$A:$A,MATCH(I1326,Locations!$B:$B,0))</f>
        <v>1</v>
      </c>
    </row>
    <row r="1327" spans="1:11" x14ac:dyDescent="0.2">
      <c r="A1327" s="3">
        <v>1326</v>
      </c>
      <c r="B1327" t="s">
        <v>250</v>
      </c>
      <c r="C1327" t="s">
        <v>180</v>
      </c>
      <c r="D1327" s="1">
        <v>36685</v>
      </c>
      <c r="E1327" t="s">
        <v>1946</v>
      </c>
      <c r="F1327">
        <v>3</v>
      </c>
      <c r="G1327" t="s">
        <v>1980</v>
      </c>
      <c r="H1327" s="2">
        <v>1316</v>
      </c>
      <c r="I1327" t="s">
        <v>92</v>
      </c>
      <c r="J1327" s="2">
        <f>INDEX(Positions!$A:$A,MATCH(E1327,Positions!$B:$B,0))</f>
        <v>30</v>
      </c>
      <c r="K1327" s="2">
        <f>INDEX(Locations!$A:$A,MATCH(I1327,Locations!$B:$B,0))</f>
        <v>6</v>
      </c>
    </row>
    <row r="1328" spans="1:11" x14ac:dyDescent="0.2">
      <c r="A1328" s="3">
        <v>1327</v>
      </c>
      <c r="B1328" t="s">
        <v>447</v>
      </c>
      <c r="C1328" t="s">
        <v>1012</v>
      </c>
      <c r="D1328" s="1">
        <v>34202</v>
      </c>
      <c r="E1328" t="s">
        <v>1948</v>
      </c>
      <c r="F1328">
        <v>3</v>
      </c>
      <c r="G1328" t="s">
        <v>1981</v>
      </c>
      <c r="H1328" s="2">
        <v>1301</v>
      </c>
      <c r="I1328" t="s">
        <v>50</v>
      </c>
      <c r="J1328" s="2">
        <f>INDEX(Positions!$A:$A,MATCH(E1328,Positions!$B:$B,0))</f>
        <v>52</v>
      </c>
      <c r="K1328" s="2">
        <f>INDEX(Locations!$A:$A,MATCH(I1328,Locations!$B:$B,0))</f>
        <v>1</v>
      </c>
    </row>
    <row r="1329" spans="1:11" x14ac:dyDescent="0.2">
      <c r="A1329" s="3">
        <v>1328</v>
      </c>
      <c r="B1329" t="s">
        <v>163</v>
      </c>
      <c r="C1329" t="s">
        <v>460</v>
      </c>
      <c r="D1329" s="1">
        <v>32407</v>
      </c>
      <c r="E1329" t="s">
        <v>1944</v>
      </c>
      <c r="F1329">
        <v>4</v>
      </c>
      <c r="G1329" t="s">
        <v>1982</v>
      </c>
      <c r="H1329" s="2">
        <v>1316</v>
      </c>
      <c r="I1329" t="s">
        <v>92</v>
      </c>
      <c r="J1329" s="2">
        <f>INDEX(Positions!$A:$A,MATCH(E1329,Positions!$B:$B,0))</f>
        <v>63</v>
      </c>
      <c r="K1329" s="2">
        <f>INDEX(Locations!$A:$A,MATCH(I1329,Locations!$B:$B,0))</f>
        <v>6</v>
      </c>
    </row>
    <row r="1330" spans="1:11" x14ac:dyDescent="0.2">
      <c r="A1330" s="3">
        <v>1329</v>
      </c>
      <c r="B1330" t="s">
        <v>144</v>
      </c>
      <c r="C1330" t="s">
        <v>294</v>
      </c>
      <c r="D1330" s="1">
        <v>27899</v>
      </c>
      <c r="E1330" t="s">
        <v>1983</v>
      </c>
      <c r="F1330">
        <v>7</v>
      </c>
      <c r="G1330" t="s">
        <v>1984</v>
      </c>
      <c r="H1330" s="2">
        <v>1050</v>
      </c>
      <c r="I1330" t="s">
        <v>50</v>
      </c>
      <c r="J1330" s="2">
        <f>INDEX(Positions!$A:$A,MATCH(E1330,Positions!$B:$B,0))</f>
        <v>99</v>
      </c>
      <c r="K1330" s="2">
        <f>INDEX(Locations!$A:$A,MATCH(I1330,Locations!$B:$B,0))</f>
        <v>1</v>
      </c>
    </row>
    <row r="1331" spans="1:11" x14ac:dyDescent="0.2">
      <c r="A1331" s="3">
        <v>1330</v>
      </c>
      <c r="B1331" t="s">
        <v>441</v>
      </c>
      <c r="C1331" t="s">
        <v>197</v>
      </c>
      <c r="D1331" s="1">
        <v>33043</v>
      </c>
      <c r="E1331" t="s">
        <v>1985</v>
      </c>
      <c r="F1331">
        <v>4</v>
      </c>
      <c r="G1331" t="s">
        <v>1986</v>
      </c>
      <c r="H1331" s="2">
        <v>1329</v>
      </c>
      <c r="I1331" t="s">
        <v>50</v>
      </c>
      <c r="J1331" s="2">
        <f>INDEX(Positions!$A:$A,MATCH(E1331,Positions!$B:$B,0))</f>
        <v>60</v>
      </c>
      <c r="K1331" s="2">
        <f>INDEX(Locations!$A:$A,MATCH(I1331,Locations!$B:$B,0))</f>
        <v>1</v>
      </c>
    </row>
    <row r="1332" spans="1:11" x14ac:dyDescent="0.2">
      <c r="A1332" s="3">
        <v>1331</v>
      </c>
      <c r="B1332" t="s">
        <v>302</v>
      </c>
      <c r="C1332" t="s">
        <v>173</v>
      </c>
      <c r="D1332" s="1">
        <v>35159</v>
      </c>
      <c r="E1332" t="s">
        <v>1987</v>
      </c>
      <c r="F1332">
        <v>1</v>
      </c>
      <c r="G1332" t="s">
        <v>1988</v>
      </c>
      <c r="H1332" s="2">
        <v>1336</v>
      </c>
      <c r="I1332" t="s">
        <v>1375</v>
      </c>
      <c r="J1332" s="2">
        <f>INDEX(Positions!$A:$A,MATCH(E1332,Positions!$B:$B,0))</f>
        <v>4</v>
      </c>
      <c r="K1332" s="2">
        <f>INDEX(Locations!$A:$A,MATCH(I1332,Locations!$B:$B,0))</f>
        <v>12</v>
      </c>
    </row>
    <row r="1333" spans="1:11" x14ac:dyDescent="0.2">
      <c r="A1333" s="3">
        <v>1332</v>
      </c>
      <c r="B1333" t="s">
        <v>471</v>
      </c>
      <c r="C1333" t="s">
        <v>981</v>
      </c>
      <c r="D1333" s="1">
        <v>36283</v>
      </c>
      <c r="E1333" t="s">
        <v>1989</v>
      </c>
      <c r="F1333">
        <v>3</v>
      </c>
      <c r="G1333" t="s">
        <v>1990</v>
      </c>
      <c r="H1333" s="2">
        <v>1334</v>
      </c>
      <c r="I1333" t="s">
        <v>50</v>
      </c>
      <c r="J1333" s="2">
        <f>INDEX(Positions!$A:$A,MATCH(E1333,Positions!$B:$B,0))</f>
        <v>27</v>
      </c>
      <c r="K1333" s="2">
        <f>INDEX(Locations!$A:$A,MATCH(I1333,Locations!$B:$B,0))</f>
        <v>1</v>
      </c>
    </row>
    <row r="1334" spans="1:11" x14ac:dyDescent="0.2">
      <c r="A1334" s="3">
        <v>1333</v>
      </c>
      <c r="B1334" t="s">
        <v>397</v>
      </c>
      <c r="C1334" t="s">
        <v>1449</v>
      </c>
      <c r="D1334" s="1">
        <v>36198</v>
      </c>
      <c r="E1334" t="s">
        <v>1991</v>
      </c>
      <c r="F1334">
        <v>3</v>
      </c>
      <c r="G1334" t="s">
        <v>1992</v>
      </c>
      <c r="H1334" s="2">
        <v>1334</v>
      </c>
      <c r="I1334" t="s">
        <v>50</v>
      </c>
      <c r="J1334" s="2">
        <f>INDEX(Positions!$A:$A,MATCH(E1334,Positions!$B:$B,0))</f>
        <v>53</v>
      </c>
      <c r="K1334" s="2">
        <f>INDEX(Locations!$A:$A,MATCH(I1334,Locations!$B:$B,0))</f>
        <v>1</v>
      </c>
    </row>
    <row r="1335" spans="1:11" x14ac:dyDescent="0.2">
      <c r="A1335" s="3">
        <v>1334</v>
      </c>
      <c r="B1335" t="s">
        <v>300</v>
      </c>
      <c r="C1335" t="s">
        <v>336</v>
      </c>
      <c r="D1335" s="1">
        <v>32292</v>
      </c>
      <c r="E1335" t="s">
        <v>1993</v>
      </c>
      <c r="F1335">
        <v>6</v>
      </c>
      <c r="G1335" t="s">
        <v>1994</v>
      </c>
      <c r="H1335" s="2">
        <v>1329</v>
      </c>
      <c r="I1335" t="s">
        <v>50</v>
      </c>
      <c r="J1335" s="2">
        <f>INDEX(Positions!$A:$A,MATCH(E1335,Positions!$B:$B,0))</f>
        <v>85</v>
      </c>
      <c r="K1335" s="2">
        <f>INDEX(Locations!$A:$A,MATCH(I1335,Locations!$B:$B,0))</f>
        <v>1</v>
      </c>
    </row>
    <row r="1336" spans="1:11" x14ac:dyDescent="0.2">
      <c r="A1336" s="3">
        <v>1335</v>
      </c>
      <c r="B1336" t="s">
        <v>257</v>
      </c>
      <c r="C1336" t="s">
        <v>1449</v>
      </c>
      <c r="D1336" s="1">
        <v>32780</v>
      </c>
      <c r="E1336" t="s">
        <v>1989</v>
      </c>
      <c r="F1336">
        <v>3</v>
      </c>
      <c r="G1336" t="s">
        <v>1995</v>
      </c>
      <c r="H1336" s="2">
        <v>1334</v>
      </c>
      <c r="I1336" t="s">
        <v>50</v>
      </c>
      <c r="J1336" s="2">
        <f>INDEX(Positions!$A:$A,MATCH(E1336,Positions!$B:$B,0))</f>
        <v>27</v>
      </c>
      <c r="K1336" s="2">
        <f>INDEX(Locations!$A:$A,MATCH(I1336,Locations!$B:$B,0))</f>
        <v>1</v>
      </c>
    </row>
    <row r="1337" spans="1:11" x14ac:dyDescent="0.2">
      <c r="A1337" s="3">
        <v>1336</v>
      </c>
      <c r="B1337" t="s">
        <v>530</v>
      </c>
      <c r="C1337" t="s">
        <v>242</v>
      </c>
      <c r="D1337" s="1">
        <v>29231</v>
      </c>
      <c r="E1337" t="s">
        <v>1993</v>
      </c>
      <c r="F1337">
        <v>6</v>
      </c>
      <c r="G1337" t="s">
        <v>1996</v>
      </c>
      <c r="H1337" s="2">
        <v>1329</v>
      </c>
      <c r="I1337" t="s">
        <v>1375</v>
      </c>
      <c r="J1337" s="2">
        <f>INDEX(Positions!$A:$A,MATCH(E1337,Positions!$B:$B,0))</f>
        <v>85</v>
      </c>
      <c r="K1337" s="2">
        <f>INDEX(Locations!$A:$A,MATCH(I1337,Locations!$B:$B,0))</f>
        <v>12</v>
      </c>
    </row>
    <row r="1338" spans="1:11" x14ac:dyDescent="0.2">
      <c r="A1338" s="3">
        <v>1337</v>
      </c>
      <c r="B1338" t="s">
        <v>426</v>
      </c>
      <c r="C1338" t="s">
        <v>286</v>
      </c>
      <c r="D1338" s="1">
        <v>31455</v>
      </c>
      <c r="E1338" t="s">
        <v>1997</v>
      </c>
      <c r="F1338">
        <v>4</v>
      </c>
      <c r="G1338" t="s">
        <v>1998</v>
      </c>
      <c r="H1338" s="2">
        <v>1334</v>
      </c>
      <c r="I1338" t="s">
        <v>50</v>
      </c>
      <c r="J1338" s="2">
        <f>INDEX(Positions!$A:$A,MATCH(E1338,Positions!$B:$B,0))</f>
        <v>56</v>
      </c>
      <c r="K1338" s="2">
        <f>INDEX(Locations!$A:$A,MATCH(I1338,Locations!$B:$B,0))</f>
        <v>1</v>
      </c>
    </row>
    <row r="1339" spans="1:11" x14ac:dyDescent="0.2">
      <c r="A1339" s="3">
        <v>1338</v>
      </c>
      <c r="B1339" t="s">
        <v>196</v>
      </c>
      <c r="C1339" t="s">
        <v>369</v>
      </c>
      <c r="D1339" s="1">
        <v>35402</v>
      </c>
      <c r="E1339" t="s">
        <v>1991</v>
      </c>
      <c r="F1339">
        <v>3</v>
      </c>
      <c r="G1339" t="s">
        <v>1999</v>
      </c>
      <c r="H1339" s="2">
        <v>1336</v>
      </c>
      <c r="I1339" t="s">
        <v>1375</v>
      </c>
      <c r="J1339" s="2">
        <f>INDEX(Positions!$A:$A,MATCH(E1339,Positions!$B:$B,0))</f>
        <v>53</v>
      </c>
      <c r="K1339" s="2">
        <f>INDEX(Locations!$A:$A,MATCH(I1339,Locations!$B:$B,0))</f>
        <v>12</v>
      </c>
    </row>
    <row r="1340" spans="1:11" x14ac:dyDescent="0.2">
      <c r="A1340" s="3">
        <v>1339</v>
      </c>
      <c r="B1340" t="s">
        <v>431</v>
      </c>
      <c r="C1340" t="s">
        <v>276</v>
      </c>
      <c r="D1340" s="1">
        <v>34828</v>
      </c>
      <c r="E1340" t="s">
        <v>2000</v>
      </c>
      <c r="F1340">
        <v>2</v>
      </c>
      <c r="G1340" t="s">
        <v>2001</v>
      </c>
      <c r="H1340" s="2">
        <v>1334</v>
      </c>
      <c r="I1340" t="s">
        <v>50</v>
      </c>
      <c r="J1340" s="2">
        <f>INDEX(Positions!$A:$A,MATCH(E1340,Positions!$B:$B,0))</f>
        <v>16</v>
      </c>
      <c r="K1340" s="2">
        <f>INDEX(Locations!$A:$A,MATCH(I1340,Locations!$B:$B,0))</f>
        <v>1</v>
      </c>
    </row>
    <row r="1341" spans="1:11" x14ac:dyDescent="0.2">
      <c r="A1341" s="3">
        <v>1340</v>
      </c>
      <c r="B1341" t="s">
        <v>105</v>
      </c>
      <c r="C1341" t="s">
        <v>336</v>
      </c>
      <c r="D1341" s="1">
        <v>33284</v>
      </c>
      <c r="E1341" t="s">
        <v>2002</v>
      </c>
      <c r="F1341">
        <v>4</v>
      </c>
      <c r="G1341" t="s">
        <v>2003</v>
      </c>
      <c r="H1341" s="2">
        <v>1334</v>
      </c>
      <c r="I1341" t="s">
        <v>50</v>
      </c>
      <c r="J1341" s="2">
        <f>INDEX(Positions!$A:$A,MATCH(E1341,Positions!$B:$B,0))</f>
        <v>57</v>
      </c>
      <c r="K1341" s="2">
        <f>INDEX(Locations!$A:$A,MATCH(I1341,Locations!$B:$B,0))</f>
        <v>1</v>
      </c>
    </row>
    <row r="1342" spans="1:11" x14ac:dyDescent="0.2">
      <c r="A1342" s="3">
        <v>1341</v>
      </c>
      <c r="B1342" t="s">
        <v>261</v>
      </c>
      <c r="C1342" t="s">
        <v>149</v>
      </c>
      <c r="D1342" s="1">
        <v>33222</v>
      </c>
      <c r="E1342" t="s">
        <v>2000</v>
      </c>
      <c r="F1342">
        <v>2</v>
      </c>
      <c r="G1342" t="s">
        <v>2004</v>
      </c>
      <c r="H1342" s="2">
        <v>1336</v>
      </c>
      <c r="I1342" t="s">
        <v>1375</v>
      </c>
      <c r="J1342" s="2">
        <f>INDEX(Positions!$A:$A,MATCH(E1342,Positions!$B:$B,0))</f>
        <v>16</v>
      </c>
      <c r="K1342" s="2">
        <f>INDEX(Locations!$A:$A,MATCH(I1342,Locations!$B:$B,0))</f>
        <v>12</v>
      </c>
    </row>
    <row r="1343" spans="1:11" x14ac:dyDescent="0.2">
      <c r="A1343" s="3">
        <v>1342</v>
      </c>
      <c r="B1343" t="s">
        <v>46</v>
      </c>
      <c r="C1343" t="s">
        <v>304</v>
      </c>
      <c r="D1343" s="1">
        <v>36166</v>
      </c>
      <c r="E1343" t="s">
        <v>2005</v>
      </c>
      <c r="F1343">
        <v>5</v>
      </c>
      <c r="G1343" t="s">
        <v>2006</v>
      </c>
      <c r="H1343" s="2">
        <v>1334</v>
      </c>
      <c r="I1343" t="s">
        <v>50</v>
      </c>
      <c r="J1343" s="2">
        <f>INDEX(Positions!$A:$A,MATCH(E1343,Positions!$B:$B,0))</f>
        <v>75</v>
      </c>
      <c r="K1343" s="2">
        <f>INDEX(Locations!$A:$A,MATCH(I1343,Locations!$B:$B,0))</f>
        <v>1</v>
      </c>
    </row>
    <row r="1344" spans="1:11" x14ac:dyDescent="0.2">
      <c r="A1344" s="3">
        <v>1343</v>
      </c>
      <c r="B1344" t="s">
        <v>436</v>
      </c>
      <c r="C1344" t="s">
        <v>1140</v>
      </c>
      <c r="D1344" s="1">
        <v>36365</v>
      </c>
      <c r="E1344" t="s">
        <v>1987</v>
      </c>
      <c r="F1344">
        <v>1</v>
      </c>
      <c r="G1344" t="s">
        <v>2007</v>
      </c>
      <c r="H1344" s="2">
        <v>1350</v>
      </c>
      <c r="I1344" t="s">
        <v>50</v>
      </c>
      <c r="J1344" s="2">
        <f>INDEX(Positions!$A:$A,MATCH(E1344,Positions!$B:$B,0))</f>
        <v>4</v>
      </c>
      <c r="K1344" s="2">
        <f>INDEX(Locations!$A:$A,MATCH(I1344,Locations!$B:$B,0))</f>
        <v>1</v>
      </c>
    </row>
    <row r="1345" spans="1:11" x14ac:dyDescent="0.2">
      <c r="A1345" s="3">
        <v>1344</v>
      </c>
      <c r="B1345" t="s">
        <v>308</v>
      </c>
      <c r="C1345" t="s">
        <v>239</v>
      </c>
      <c r="D1345" s="1">
        <v>27257</v>
      </c>
      <c r="E1345" t="s">
        <v>1993</v>
      </c>
      <c r="F1345">
        <v>6</v>
      </c>
      <c r="G1345" t="s">
        <v>2008</v>
      </c>
      <c r="H1345" s="2">
        <v>1329</v>
      </c>
      <c r="I1345" t="s">
        <v>1375</v>
      </c>
      <c r="J1345" s="2">
        <f>INDEX(Positions!$A:$A,MATCH(E1345,Positions!$B:$B,0))</f>
        <v>85</v>
      </c>
      <c r="K1345" s="2">
        <f>INDEX(Locations!$A:$A,MATCH(I1345,Locations!$B:$B,0))</f>
        <v>12</v>
      </c>
    </row>
    <row r="1346" spans="1:11" x14ac:dyDescent="0.2">
      <c r="A1346" s="3">
        <v>1345</v>
      </c>
      <c r="B1346" t="s">
        <v>298</v>
      </c>
      <c r="C1346" t="s">
        <v>76</v>
      </c>
      <c r="D1346" s="1">
        <v>33218</v>
      </c>
      <c r="E1346" t="s">
        <v>2005</v>
      </c>
      <c r="F1346">
        <v>5</v>
      </c>
      <c r="G1346" t="s">
        <v>2009</v>
      </c>
      <c r="H1346" s="2">
        <v>1336</v>
      </c>
      <c r="I1346" t="s">
        <v>1375</v>
      </c>
      <c r="J1346" s="2">
        <f>INDEX(Positions!$A:$A,MATCH(E1346,Positions!$B:$B,0))</f>
        <v>75</v>
      </c>
      <c r="K1346" s="2">
        <f>INDEX(Locations!$A:$A,MATCH(I1346,Locations!$B:$B,0))</f>
        <v>12</v>
      </c>
    </row>
    <row r="1347" spans="1:11" x14ac:dyDescent="0.2">
      <c r="A1347" s="3">
        <v>1346</v>
      </c>
      <c r="B1347" t="s">
        <v>51</v>
      </c>
      <c r="C1347" t="s">
        <v>254</v>
      </c>
      <c r="D1347" s="1">
        <v>34528</v>
      </c>
      <c r="E1347" t="s">
        <v>2000</v>
      </c>
      <c r="F1347">
        <v>2</v>
      </c>
      <c r="G1347" t="s">
        <v>2010</v>
      </c>
      <c r="H1347" s="2">
        <v>1344</v>
      </c>
      <c r="I1347" t="s">
        <v>1375</v>
      </c>
      <c r="J1347" s="2">
        <f>INDEX(Positions!$A:$A,MATCH(E1347,Positions!$B:$B,0))</f>
        <v>16</v>
      </c>
      <c r="K1347" s="2">
        <f>INDEX(Locations!$A:$A,MATCH(I1347,Locations!$B:$B,0))</f>
        <v>12</v>
      </c>
    </row>
    <row r="1348" spans="1:11" x14ac:dyDescent="0.2">
      <c r="A1348" s="3">
        <v>1347</v>
      </c>
      <c r="B1348" t="s">
        <v>231</v>
      </c>
      <c r="C1348" t="s">
        <v>1012</v>
      </c>
      <c r="D1348" s="1">
        <v>36445</v>
      </c>
      <c r="E1348" t="s">
        <v>2000</v>
      </c>
      <c r="F1348">
        <v>2</v>
      </c>
      <c r="G1348" t="s">
        <v>2011</v>
      </c>
      <c r="H1348" s="2">
        <v>1344</v>
      </c>
      <c r="I1348" t="s">
        <v>1375</v>
      </c>
      <c r="J1348" s="2">
        <f>INDEX(Positions!$A:$A,MATCH(E1348,Positions!$B:$B,0))</f>
        <v>16</v>
      </c>
      <c r="K1348" s="2">
        <f>INDEX(Locations!$A:$A,MATCH(I1348,Locations!$B:$B,0))</f>
        <v>12</v>
      </c>
    </row>
    <row r="1349" spans="1:11" x14ac:dyDescent="0.2">
      <c r="A1349" s="3">
        <v>1348</v>
      </c>
      <c r="B1349" t="s">
        <v>134</v>
      </c>
      <c r="C1349" t="s">
        <v>460</v>
      </c>
      <c r="D1349" s="1">
        <v>34881</v>
      </c>
      <c r="E1349" t="s">
        <v>2000</v>
      </c>
      <c r="F1349">
        <v>2</v>
      </c>
      <c r="G1349" t="s">
        <v>2012</v>
      </c>
      <c r="H1349" s="2">
        <v>1350</v>
      </c>
      <c r="I1349" t="s">
        <v>50</v>
      </c>
      <c r="J1349" s="2">
        <f>INDEX(Positions!$A:$A,MATCH(E1349,Positions!$B:$B,0))</f>
        <v>16</v>
      </c>
      <c r="K1349" s="2">
        <f>INDEX(Locations!$A:$A,MATCH(I1349,Locations!$B:$B,0))</f>
        <v>1</v>
      </c>
    </row>
    <row r="1350" spans="1:11" x14ac:dyDescent="0.2">
      <c r="A1350" s="3">
        <v>1349</v>
      </c>
      <c r="B1350" t="s">
        <v>485</v>
      </c>
      <c r="C1350" t="s">
        <v>521</v>
      </c>
      <c r="D1350" s="1">
        <v>31819</v>
      </c>
      <c r="E1350" t="s">
        <v>2002</v>
      </c>
      <c r="F1350">
        <v>4</v>
      </c>
      <c r="G1350" t="s">
        <v>2013</v>
      </c>
      <c r="H1350" s="2">
        <v>1334</v>
      </c>
      <c r="I1350" t="s">
        <v>50</v>
      </c>
      <c r="J1350" s="2">
        <f>INDEX(Positions!$A:$A,MATCH(E1350,Positions!$B:$B,0))</f>
        <v>57</v>
      </c>
      <c r="K1350" s="2">
        <f>INDEX(Locations!$A:$A,MATCH(I1350,Locations!$B:$B,0))</f>
        <v>1</v>
      </c>
    </row>
    <row r="1351" spans="1:11" x14ac:dyDescent="0.2">
      <c r="A1351" s="3">
        <v>1350</v>
      </c>
      <c r="B1351" t="s">
        <v>370</v>
      </c>
      <c r="C1351" t="s">
        <v>301</v>
      </c>
      <c r="D1351" s="1">
        <v>32531</v>
      </c>
      <c r="E1351" t="s">
        <v>1993</v>
      </c>
      <c r="F1351">
        <v>6</v>
      </c>
      <c r="G1351" t="s">
        <v>2014</v>
      </c>
      <c r="H1351" s="2">
        <v>1329</v>
      </c>
      <c r="I1351" t="s">
        <v>50</v>
      </c>
      <c r="J1351" s="2">
        <f>INDEX(Positions!$A:$A,MATCH(E1351,Positions!$B:$B,0))</f>
        <v>85</v>
      </c>
      <c r="K1351" s="2">
        <f>INDEX(Locations!$A:$A,MATCH(I1351,Locations!$B:$B,0))</f>
        <v>1</v>
      </c>
    </row>
    <row r="1352" spans="1:11" x14ac:dyDescent="0.2">
      <c r="A1352" s="3">
        <v>1351</v>
      </c>
      <c r="B1352" t="s">
        <v>530</v>
      </c>
      <c r="C1352" t="s">
        <v>318</v>
      </c>
      <c r="D1352" s="1">
        <v>39284</v>
      </c>
      <c r="E1352" t="s">
        <v>1987</v>
      </c>
      <c r="F1352">
        <v>1</v>
      </c>
      <c r="G1352" t="s">
        <v>2015</v>
      </c>
      <c r="H1352" s="2">
        <v>1336</v>
      </c>
      <c r="I1352" t="s">
        <v>1375</v>
      </c>
      <c r="J1352" s="2">
        <f>INDEX(Positions!$A:$A,MATCH(E1352,Positions!$B:$B,0))</f>
        <v>4</v>
      </c>
      <c r="K1352" s="2">
        <f>INDEX(Locations!$A:$A,MATCH(I1352,Locations!$B:$B,0))</f>
        <v>12</v>
      </c>
    </row>
    <row r="1353" spans="1:11" x14ac:dyDescent="0.2">
      <c r="A1353" s="3">
        <v>1352</v>
      </c>
      <c r="B1353" t="s">
        <v>297</v>
      </c>
      <c r="C1353" t="s">
        <v>203</v>
      </c>
      <c r="D1353" s="1">
        <v>34704</v>
      </c>
      <c r="E1353" t="s">
        <v>1991</v>
      </c>
      <c r="F1353">
        <v>3</v>
      </c>
      <c r="G1353" t="s">
        <v>2016</v>
      </c>
      <c r="H1353" s="2">
        <v>1344</v>
      </c>
      <c r="I1353" t="s">
        <v>1375</v>
      </c>
      <c r="J1353" s="2">
        <f>INDEX(Positions!$A:$A,MATCH(E1353,Positions!$B:$B,0))</f>
        <v>53</v>
      </c>
      <c r="K1353" s="2">
        <f>INDEX(Locations!$A:$A,MATCH(I1353,Locations!$B:$B,0))</f>
        <v>12</v>
      </c>
    </row>
    <row r="1354" spans="1:11" x14ac:dyDescent="0.2">
      <c r="A1354" s="3">
        <v>1353</v>
      </c>
      <c r="B1354" t="s">
        <v>553</v>
      </c>
      <c r="C1354" t="s">
        <v>1029</v>
      </c>
      <c r="D1354" s="1">
        <v>34000</v>
      </c>
      <c r="E1354" t="s">
        <v>1991</v>
      </c>
      <c r="F1354">
        <v>3</v>
      </c>
      <c r="G1354" t="s">
        <v>2017</v>
      </c>
      <c r="H1354" s="2">
        <v>1334</v>
      </c>
      <c r="I1354" t="s">
        <v>50</v>
      </c>
      <c r="J1354" s="2">
        <f>INDEX(Positions!$A:$A,MATCH(E1354,Positions!$B:$B,0))</f>
        <v>53</v>
      </c>
      <c r="K1354" s="2">
        <f>INDEX(Locations!$A:$A,MATCH(I1354,Locations!$B:$B,0))</f>
        <v>1</v>
      </c>
    </row>
    <row r="1355" spans="1:11" x14ac:dyDescent="0.2">
      <c r="A1355" s="3">
        <v>1354</v>
      </c>
      <c r="B1355" t="s">
        <v>161</v>
      </c>
      <c r="C1355" t="s">
        <v>340</v>
      </c>
      <c r="D1355" s="1">
        <v>36290</v>
      </c>
      <c r="E1355" t="s">
        <v>1987</v>
      </c>
      <c r="F1355">
        <v>1</v>
      </c>
      <c r="G1355" t="s">
        <v>2018</v>
      </c>
      <c r="H1355" s="2">
        <v>1350</v>
      </c>
      <c r="I1355" t="s">
        <v>50</v>
      </c>
      <c r="J1355" s="2">
        <f>INDEX(Positions!$A:$A,MATCH(E1355,Positions!$B:$B,0))</f>
        <v>4</v>
      </c>
      <c r="K1355" s="2">
        <f>INDEX(Locations!$A:$A,MATCH(I1355,Locations!$B:$B,0))</f>
        <v>1</v>
      </c>
    </row>
    <row r="1356" spans="1:11" x14ac:dyDescent="0.2">
      <c r="A1356" s="3">
        <v>1355</v>
      </c>
      <c r="B1356" t="s">
        <v>105</v>
      </c>
      <c r="C1356" t="s">
        <v>400</v>
      </c>
      <c r="D1356" s="1">
        <v>36576</v>
      </c>
      <c r="E1356" t="s">
        <v>1989</v>
      </c>
      <c r="F1356">
        <v>3</v>
      </c>
      <c r="G1356" t="s">
        <v>2019</v>
      </c>
      <c r="H1356" s="2">
        <v>1350</v>
      </c>
      <c r="I1356" t="s">
        <v>50</v>
      </c>
      <c r="J1356" s="2">
        <f>INDEX(Positions!$A:$A,MATCH(E1356,Positions!$B:$B,0))</f>
        <v>27</v>
      </c>
      <c r="K1356" s="2">
        <f>INDEX(Locations!$A:$A,MATCH(I1356,Locations!$B:$B,0))</f>
        <v>1</v>
      </c>
    </row>
    <row r="1357" spans="1:11" x14ac:dyDescent="0.2">
      <c r="A1357" s="3">
        <v>1356</v>
      </c>
      <c r="B1357" t="s">
        <v>528</v>
      </c>
      <c r="C1357" t="s">
        <v>378</v>
      </c>
      <c r="D1357" s="1">
        <v>34247</v>
      </c>
      <c r="E1357" t="s">
        <v>1985</v>
      </c>
      <c r="F1357">
        <v>4</v>
      </c>
      <c r="G1357" t="s">
        <v>2020</v>
      </c>
      <c r="H1357" s="2">
        <v>1334</v>
      </c>
      <c r="I1357" t="s">
        <v>50</v>
      </c>
      <c r="J1357" s="2">
        <f>INDEX(Positions!$A:$A,MATCH(E1357,Positions!$B:$B,0))</f>
        <v>60</v>
      </c>
      <c r="K1357" s="2">
        <f>INDEX(Locations!$A:$A,MATCH(I1357,Locations!$B:$B,0))</f>
        <v>1</v>
      </c>
    </row>
    <row r="1358" spans="1:11" x14ac:dyDescent="0.2">
      <c r="A1358" s="3">
        <v>1357</v>
      </c>
      <c r="B1358" t="s">
        <v>244</v>
      </c>
      <c r="C1358" t="s">
        <v>517</v>
      </c>
      <c r="D1358" s="1">
        <v>37838</v>
      </c>
      <c r="E1358" t="s">
        <v>2000</v>
      </c>
      <c r="F1358">
        <v>2</v>
      </c>
      <c r="G1358" t="s">
        <v>2021</v>
      </c>
      <c r="H1358" s="2">
        <v>1350</v>
      </c>
      <c r="I1358" t="s">
        <v>50</v>
      </c>
      <c r="J1358" s="2">
        <f>INDEX(Positions!$A:$A,MATCH(E1358,Positions!$B:$B,0))</f>
        <v>16</v>
      </c>
      <c r="K1358" s="2">
        <f>INDEX(Locations!$A:$A,MATCH(I1358,Locations!$B:$B,0))</f>
        <v>1</v>
      </c>
    </row>
    <row r="1359" spans="1:11" x14ac:dyDescent="0.2">
      <c r="A1359" s="3">
        <v>1358</v>
      </c>
      <c r="B1359" t="s">
        <v>463</v>
      </c>
      <c r="C1359" t="s">
        <v>464</v>
      </c>
      <c r="D1359" s="1">
        <v>35436</v>
      </c>
      <c r="E1359" t="s">
        <v>1987</v>
      </c>
      <c r="F1359">
        <v>1</v>
      </c>
      <c r="G1359" t="s">
        <v>465</v>
      </c>
      <c r="H1359" s="2">
        <v>1334</v>
      </c>
      <c r="I1359" t="s">
        <v>50</v>
      </c>
      <c r="J1359" s="2">
        <f>INDEX(Positions!$A:$A,MATCH(E1359,Positions!$B:$B,0))</f>
        <v>4</v>
      </c>
      <c r="K1359" s="2">
        <f>INDEX(Locations!$A:$A,MATCH(I1359,Locations!$B:$B,0))</f>
        <v>1</v>
      </c>
    </row>
    <row r="1360" spans="1:11" x14ac:dyDescent="0.2">
      <c r="A1360" s="3">
        <v>1359</v>
      </c>
      <c r="B1360" t="s">
        <v>259</v>
      </c>
      <c r="C1360" t="s">
        <v>518</v>
      </c>
      <c r="D1360" s="1">
        <v>31065</v>
      </c>
      <c r="E1360" t="s">
        <v>1989</v>
      </c>
      <c r="F1360">
        <v>3</v>
      </c>
      <c r="G1360" t="s">
        <v>2022</v>
      </c>
      <c r="H1360" s="2">
        <v>1350</v>
      </c>
      <c r="I1360" t="s">
        <v>50</v>
      </c>
      <c r="J1360" s="2">
        <f>INDEX(Positions!$A:$A,MATCH(E1360,Positions!$B:$B,0))</f>
        <v>27</v>
      </c>
      <c r="K1360" s="2">
        <f>INDEX(Locations!$A:$A,MATCH(I1360,Locations!$B:$B,0))</f>
        <v>1</v>
      </c>
    </row>
    <row r="1361" spans="1:11" x14ac:dyDescent="0.2">
      <c r="A1361" s="3">
        <v>1360</v>
      </c>
      <c r="B1361" t="s">
        <v>379</v>
      </c>
      <c r="C1361" t="s">
        <v>251</v>
      </c>
      <c r="D1361" s="1">
        <v>38041</v>
      </c>
      <c r="E1361" t="s">
        <v>1987</v>
      </c>
      <c r="F1361">
        <v>1</v>
      </c>
      <c r="G1361" t="s">
        <v>2023</v>
      </c>
      <c r="H1361" s="2">
        <v>1344</v>
      </c>
      <c r="I1361" t="s">
        <v>1375</v>
      </c>
      <c r="J1361" s="2">
        <f>INDEX(Positions!$A:$A,MATCH(E1361,Positions!$B:$B,0))</f>
        <v>4</v>
      </c>
      <c r="K1361" s="2">
        <f>INDEX(Locations!$A:$A,MATCH(I1361,Locations!$B:$B,0))</f>
        <v>12</v>
      </c>
    </row>
    <row r="1362" spans="1:11" x14ac:dyDescent="0.2">
      <c r="A1362" s="3">
        <v>1361</v>
      </c>
      <c r="B1362" t="s">
        <v>391</v>
      </c>
      <c r="C1362" t="s">
        <v>326</v>
      </c>
      <c r="D1362" s="1">
        <v>38119</v>
      </c>
      <c r="E1362" t="s">
        <v>1985</v>
      </c>
      <c r="F1362">
        <v>4</v>
      </c>
      <c r="G1362" t="s">
        <v>2024</v>
      </c>
      <c r="H1362" s="2">
        <v>1350</v>
      </c>
      <c r="I1362" t="s">
        <v>50</v>
      </c>
      <c r="J1362" s="2">
        <f>INDEX(Positions!$A:$A,MATCH(E1362,Positions!$B:$B,0))</f>
        <v>60</v>
      </c>
      <c r="K1362" s="2">
        <f>INDEX(Locations!$A:$A,MATCH(I1362,Locations!$B:$B,0))</f>
        <v>1</v>
      </c>
    </row>
    <row r="1363" spans="1:11" x14ac:dyDescent="0.2">
      <c r="A1363" s="3">
        <v>1362</v>
      </c>
      <c r="B1363" t="s">
        <v>258</v>
      </c>
      <c r="C1363" t="s">
        <v>135</v>
      </c>
      <c r="D1363" s="1">
        <v>33544</v>
      </c>
      <c r="E1363" t="s">
        <v>2002</v>
      </c>
      <c r="F1363">
        <v>4</v>
      </c>
      <c r="G1363" t="s">
        <v>2025</v>
      </c>
      <c r="H1363" s="2">
        <v>1344</v>
      </c>
      <c r="I1363" t="s">
        <v>1375</v>
      </c>
      <c r="J1363" s="2">
        <f>INDEX(Positions!$A:$A,MATCH(E1363,Positions!$B:$B,0))</f>
        <v>57</v>
      </c>
      <c r="K1363" s="2">
        <f>INDEX(Locations!$A:$A,MATCH(I1363,Locations!$B:$B,0))</f>
        <v>12</v>
      </c>
    </row>
    <row r="1364" spans="1:11" x14ac:dyDescent="0.2">
      <c r="A1364" s="3">
        <v>1363</v>
      </c>
      <c r="B1364" t="s">
        <v>223</v>
      </c>
      <c r="C1364" t="s">
        <v>399</v>
      </c>
      <c r="D1364" s="1">
        <v>33224</v>
      </c>
      <c r="E1364" t="s">
        <v>1989</v>
      </c>
      <c r="F1364">
        <v>3</v>
      </c>
      <c r="G1364" t="s">
        <v>2026</v>
      </c>
      <c r="H1364" s="2">
        <v>1336</v>
      </c>
      <c r="I1364" t="s">
        <v>1375</v>
      </c>
      <c r="J1364" s="2">
        <f>INDEX(Positions!$A:$A,MATCH(E1364,Positions!$B:$B,0))</f>
        <v>27</v>
      </c>
      <c r="K1364" s="2">
        <f>INDEX(Locations!$A:$A,MATCH(I1364,Locations!$B:$B,0))</f>
        <v>12</v>
      </c>
    </row>
    <row r="1365" spans="1:11" x14ac:dyDescent="0.2">
      <c r="A1365" s="3">
        <v>1364</v>
      </c>
      <c r="B1365" t="s">
        <v>492</v>
      </c>
      <c r="C1365" t="s">
        <v>188</v>
      </c>
      <c r="D1365" s="1">
        <v>36493</v>
      </c>
      <c r="E1365" t="s">
        <v>1989</v>
      </c>
      <c r="F1365">
        <v>3</v>
      </c>
      <c r="G1365" t="s">
        <v>2027</v>
      </c>
      <c r="H1365" s="2">
        <v>1336</v>
      </c>
      <c r="I1365" t="s">
        <v>1375</v>
      </c>
      <c r="J1365" s="2">
        <f>INDEX(Positions!$A:$A,MATCH(E1365,Positions!$B:$B,0))</f>
        <v>27</v>
      </c>
      <c r="K1365" s="2">
        <f>INDEX(Locations!$A:$A,MATCH(I1365,Locations!$B:$B,0))</f>
        <v>12</v>
      </c>
    </row>
    <row r="1366" spans="1:11" x14ac:dyDescent="0.2">
      <c r="A1366" s="3">
        <v>1365</v>
      </c>
      <c r="B1366" t="s">
        <v>484</v>
      </c>
      <c r="C1366" t="s">
        <v>344</v>
      </c>
      <c r="D1366" s="1">
        <v>35297</v>
      </c>
      <c r="E1366" t="s">
        <v>1991</v>
      </c>
      <c r="F1366">
        <v>3</v>
      </c>
      <c r="G1366" t="s">
        <v>2028</v>
      </c>
      <c r="H1366" s="2">
        <v>1350</v>
      </c>
      <c r="I1366" t="s">
        <v>50</v>
      </c>
      <c r="J1366" s="2">
        <f>INDEX(Positions!$A:$A,MATCH(E1366,Positions!$B:$B,0))</f>
        <v>53</v>
      </c>
      <c r="K1366" s="2">
        <f>INDEX(Locations!$A:$A,MATCH(I1366,Locations!$B:$B,0))</f>
        <v>1</v>
      </c>
    </row>
    <row r="1367" spans="1:11" x14ac:dyDescent="0.2">
      <c r="A1367" s="3">
        <v>1366</v>
      </c>
      <c r="B1367" t="s">
        <v>331</v>
      </c>
      <c r="C1367" t="s">
        <v>224</v>
      </c>
      <c r="D1367" s="1">
        <v>36091</v>
      </c>
      <c r="E1367" t="s">
        <v>2000</v>
      </c>
      <c r="F1367">
        <v>2</v>
      </c>
      <c r="G1367" t="s">
        <v>2029</v>
      </c>
      <c r="H1367" s="2">
        <v>1334</v>
      </c>
      <c r="I1367" t="s">
        <v>50</v>
      </c>
      <c r="J1367" s="2">
        <f>INDEX(Positions!$A:$A,MATCH(E1367,Positions!$B:$B,0))</f>
        <v>16</v>
      </c>
      <c r="K1367" s="2">
        <f>INDEX(Locations!$A:$A,MATCH(I1367,Locations!$B:$B,0))</f>
        <v>1</v>
      </c>
    </row>
    <row r="1368" spans="1:11" x14ac:dyDescent="0.2">
      <c r="A1368" s="3">
        <v>1367</v>
      </c>
      <c r="B1368" t="s">
        <v>494</v>
      </c>
      <c r="C1368" t="s">
        <v>222</v>
      </c>
      <c r="D1368" s="1">
        <v>37151</v>
      </c>
      <c r="E1368" t="s">
        <v>1987</v>
      </c>
      <c r="F1368">
        <v>1</v>
      </c>
      <c r="G1368" t="s">
        <v>2030</v>
      </c>
      <c r="H1368" s="2">
        <v>1334</v>
      </c>
      <c r="I1368" t="s">
        <v>50</v>
      </c>
      <c r="J1368" s="2">
        <f>INDEX(Positions!$A:$A,MATCH(E1368,Positions!$B:$B,0))</f>
        <v>4</v>
      </c>
      <c r="K1368" s="2">
        <f>INDEX(Locations!$A:$A,MATCH(I1368,Locations!$B:$B,0))</f>
        <v>1</v>
      </c>
    </row>
    <row r="1369" spans="1:11" x14ac:dyDescent="0.2">
      <c r="A1369" s="3">
        <v>1368</v>
      </c>
      <c r="B1369" t="s">
        <v>532</v>
      </c>
      <c r="C1369" t="s">
        <v>474</v>
      </c>
      <c r="D1369" s="1">
        <v>35797</v>
      </c>
      <c r="E1369" t="s">
        <v>2000</v>
      </c>
      <c r="F1369">
        <v>2</v>
      </c>
      <c r="G1369" t="s">
        <v>2031</v>
      </c>
      <c r="H1369" s="2">
        <v>1344</v>
      </c>
      <c r="I1369" t="s">
        <v>1375</v>
      </c>
      <c r="J1369" s="2">
        <f>INDEX(Positions!$A:$A,MATCH(E1369,Positions!$B:$B,0))</f>
        <v>16</v>
      </c>
      <c r="K1369" s="2">
        <f>INDEX(Locations!$A:$A,MATCH(I1369,Locations!$B:$B,0))</f>
        <v>12</v>
      </c>
    </row>
    <row r="1370" spans="1:11" x14ac:dyDescent="0.2">
      <c r="A1370" s="3">
        <v>1369</v>
      </c>
      <c r="B1370" t="s">
        <v>323</v>
      </c>
      <c r="C1370" t="s">
        <v>517</v>
      </c>
      <c r="D1370" s="1">
        <v>34376</v>
      </c>
      <c r="E1370" t="s">
        <v>1997</v>
      </c>
      <c r="F1370">
        <v>4</v>
      </c>
      <c r="G1370" t="s">
        <v>2032</v>
      </c>
      <c r="H1370" s="2">
        <v>1336</v>
      </c>
      <c r="I1370" t="s">
        <v>1375</v>
      </c>
      <c r="J1370" s="2">
        <f>INDEX(Positions!$A:$A,MATCH(E1370,Positions!$B:$B,0))</f>
        <v>56</v>
      </c>
      <c r="K1370" s="2">
        <f>INDEX(Locations!$A:$A,MATCH(I1370,Locations!$B:$B,0))</f>
        <v>12</v>
      </c>
    </row>
    <row r="1371" spans="1:11" x14ac:dyDescent="0.2">
      <c r="A1371" s="3">
        <v>1370</v>
      </c>
      <c r="B1371" t="s">
        <v>509</v>
      </c>
      <c r="C1371" t="s">
        <v>240</v>
      </c>
      <c r="D1371" s="1">
        <v>32897</v>
      </c>
      <c r="E1371" t="s">
        <v>1985</v>
      </c>
      <c r="F1371">
        <v>4</v>
      </c>
      <c r="G1371" t="s">
        <v>2033</v>
      </c>
      <c r="H1371" s="2">
        <v>1344</v>
      </c>
      <c r="I1371" t="s">
        <v>1375</v>
      </c>
      <c r="J1371" s="2">
        <f>INDEX(Positions!$A:$A,MATCH(E1371,Positions!$B:$B,0))</f>
        <v>60</v>
      </c>
      <c r="K1371" s="2">
        <f>INDEX(Locations!$A:$A,MATCH(I1371,Locations!$B:$B,0))</f>
        <v>12</v>
      </c>
    </row>
    <row r="1372" spans="1:11" x14ac:dyDescent="0.2">
      <c r="A1372" s="3">
        <v>1371</v>
      </c>
      <c r="B1372" t="s">
        <v>83</v>
      </c>
      <c r="C1372" t="s">
        <v>347</v>
      </c>
      <c r="D1372" s="1">
        <v>36021</v>
      </c>
      <c r="E1372" t="s">
        <v>1991</v>
      </c>
      <c r="F1372">
        <v>3</v>
      </c>
      <c r="G1372" t="s">
        <v>2034</v>
      </c>
      <c r="H1372" s="2">
        <v>1344</v>
      </c>
      <c r="I1372" t="s">
        <v>1375</v>
      </c>
      <c r="J1372" s="2">
        <f>INDEX(Positions!$A:$A,MATCH(E1372,Positions!$B:$B,0))</f>
        <v>53</v>
      </c>
      <c r="K1372" s="2">
        <f>INDEX(Locations!$A:$A,MATCH(I1372,Locations!$B:$B,0))</f>
        <v>12</v>
      </c>
    </row>
    <row r="1373" spans="1:11" x14ac:dyDescent="0.2">
      <c r="A1373" s="3">
        <v>1372</v>
      </c>
      <c r="B1373" t="s">
        <v>374</v>
      </c>
      <c r="C1373" t="s">
        <v>301</v>
      </c>
      <c r="D1373" s="1">
        <v>35271</v>
      </c>
      <c r="E1373" t="s">
        <v>1989</v>
      </c>
      <c r="F1373">
        <v>3</v>
      </c>
      <c r="G1373" t="s">
        <v>2035</v>
      </c>
      <c r="H1373" s="2">
        <v>1334</v>
      </c>
      <c r="I1373" t="s">
        <v>50</v>
      </c>
      <c r="J1373" s="2">
        <f>INDEX(Positions!$A:$A,MATCH(E1373,Positions!$B:$B,0))</f>
        <v>27</v>
      </c>
      <c r="K1373" s="2">
        <f>INDEX(Locations!$A:$A,MATCH(I1373,Locations!$B:$B,0))</f>
        <v>1</v>
      </c>
    </row>
    <row r="1374" spans="1:11" x14ac:dyDescent="0.2">
      <c r="A1374" s="3">
        <v>1373</v>
      </c>
      <c r="B1374" t="s">
        <v>528</v>
      </c>
      <c r="C1374" t="s">
        <v>368</v>
      </c>
      <c r="D1374" s="1">
        <v>34492</v>
      </c>
      <c r="E1374" t="s">
        <v>1997</v>
      </c>
      <c r="F1374">
        <v>4</v>
      </c>
      <c r="G1374" t="s">
        <v>2036</v>
      </c>
      <c r="H1374" s="2">
        <v>1336</v>
      </c>
      <c r="I1374" t="s">
        <v>1375</v>
      </c>
      <c r="J1374" s="2">
        <f>INDEX(Positions!$A:$A,MATCH(E1374,Positions!$B:$B,0))</f>
        <v>56</v>
      </c>
      <c r="K1374" s="2">
        <f>INDEX(Locations!$A:$A,MATCH(I1374,Locations!$B:$B,0))</f>
        <v>12</v>
      </c>
    </row>
    <row r="1375" spans="1:11" x14ac:dyDescent="0.2">
      <c r="A1375" s="3">
        <v>1374</v>
      </c>
      <c r="B1375" t="s">
        <v>379</v>
      </c>
      <c r="C1375" t="s">
        <v>117</v>
      </c>
      <c r="D1375" s="1">
        <v>39301</v>
      </c>
      <c r="E1375" t="s">
        <v>1987</v>
      </c>
      <c r="F1375">
        <v>1</v>
      </c>
      <c r="G1375" t="s">
        <v>2037</v>
      </c>
      <c r="H1375" s="2">
        <v>1350</v>
      </c>
      <c r="I1375" t="s">
        <v>50</v>
      </c>
      <c r="J1375" s="2">
        <f>INDEX(Positions!$A:$A,MATCH(E1375,Positions!$B:$B,0))</f>
        <v>4</v>
      </c>
      <c r="K1375" s="2">
        <f>INDEX(Locations!$A:$A,MATCH(I1375,Locations!$B:$B,0))</f>
        <v>1</v>
      </c>
    </row>
    <row r="1376" spans="1:11" x14ac:dyDescent="0.2">
      <c r="A1376" s="3">
        <v>1375</v>
      </c>
      <c r="B1376" t="s">
        <v>492</v>
      </c>
      <c r="C1376" t="s">
        <v>238</v>
      </c>
      <c r="D1376" s="1">
        <v>33531</v>
      </c>
      <c r="E1376" t="s">
        <v>1991</v>
      </c>
      <c r="F1376">
        <v>3</v>
      </c>
      <c r="G1376" t="s">
        <v>2038</v>
      </c>
      <c r="H1376" s="2">
        <v>1350</v>
      </c>
      <c r="I1376" t="s">
        <v>50</v>
      </c>
      <c r="J1376" s="2">
        <f>INDEX(Positions!$A:$A,MATCH(E1376,Positions!$B:$B,0))</f>
        <v>53</v>
      </c>
      <c r="K1376" s="2">
        <f>INDEX(Locations!$A:$A,MATCH(I1376,Locations!$B:$B,0))</f>
        <v>1</v>
      </c>
    </row>
    <row r="1377" spans="1:11" x14ac:dyDescent="0.2">
      <c r="A1377" s="3">
        <v>1376</v>
      </c>
      <c r="B1377" t="s">
        <v>381</v>
      </c>
      <c r="C1377" t="s">
        <v>158</v>
      </c>
      <c r="D1377" s="1">
        <v>36094</v>
      </c>
      <c r="E1377" t="s">
        <v>2005</v>
      </c>
      <c r="F1377">
        <v>5</v>
      </c>
      <c r="G1377" t="s">
        <v>2039</v>
      </c>
      <c r="H1377" s="2">
        <v>1344</v>
      </c>
      <c r="I1377" t="s">
        <v>1375</v>
      </c>
      <c r="J1377" s="2">
        <f>INDEX(Positions!$A:$A,MATCH(E1377,Positions!$B:$B,0))</f>
        <v>75</v>
      </c>
      <c r="K1377" s="2">
        <f>INDEX(Locations!$A:$A,MATCH(I1377,Locations!$B:$B,0))</f>
        <v>12</v>
      </c>
    </row>
    <row r="1378" spans="1:11" x14ac:dyDescent="0.2">
      <c r="A1378" s="3">
        <v>1377</v>
      </c>
      <c r="B1378" t="s">
        <v>473</v>
      </c>
      <c r="C1378" t="s">
        <v>368</v>
      </c>
      <c r="D1378" s="1">
        <v>32142</v>
      </c>
      <c r="E1378" t="s">
        <v>1991</v>
      </c>
      <c r="F1378">
        <v>3</v>
      </c>
      <c r="G1378" t="s">
        <v>2040</v>
      </c>
      <c r="H1378" s="2">
        <v>1334</v>
      </c>
      <c r="I1378" t="s">
        <v>50</v>
      </c>
      <c r="J1378" s="2">
        <f>INDEX(Positions!$A:$A,MATCH(E1378,Positions!$B:$B,0))</f>
        <v>53</v>
      </c>
      <c r="K1378" s="2">
        <f>INDEX(Locations!$A:$A,MATCH(I1378,Locations!$B:$B,0))</f>
        <v>1</v>
      </c>
    </row>
    <row r="1379" spans="1:11" x14ac:dyDescent="0.2">
      <c r="A1379" s="3">
        <v>1378</v>
      </c>
      <c r="B1379" t="s">
        <v>112</v>
      </c>
      <c r="C1379" t="s">
        <v>245</v>
      </c>
      <c r="D1379" s="1">
        <v>36929</v>
      </c>
      <c r="E1379" t="s">
        <v>2000</v>
      </c>
      <c r="F1379">
        <v>2</v>
      </c>
      <c r="G1379" t="s">
        <v>2041</v>
      </c>
      <c r="H1379" s="2">
        <v>1344</v>
      </c>
      <c r="I1379" t="s">
        <v>1375</v>
      </c>
      <c r="J1379" s="2">
        <f>INDEX(Positions!$A:$A,MATCH(E1379,Positions!$B:$B,0))</f>
        <v>16</v>
      </c>
      <c r="K1379" s="2">
        <f>INDEX(Locations!$A:$A,MATCH(I1379,Locations!$B:$B,0))</f>
        <v>12</v>
      </c>
    </row>
    <row r="1380" spans="1:11" x14ac:dyDescent="0.2">
      <c r="A1380" s="3">
        <v>1379</v>
      </c>
      <c r="B1380" t="s">
        <v>433</v>
      </c>
      <c r="C1380" t="s">
        <v>324</v>
      </c>
      <c r="D1380" s="1">
        <v>34476</v>
      </c>
      <c r="E1380" t="s">
        <v>1997</v>
      </c>
      <c r="F1380">
        <v>4</v>
      </c>
      <c r="G1380" t="s">
        <v>2042</v>
      </c>
      <c r="H1380" s="2">
        <v>1350</v>
      </c>
      <c r="I1380" t="s">
        <v>50</v>
      </c>
      <c r="J1380" s="2">
        <f>INDEX(Positions!$A:$A,MATCH(E1380,Positions!$B:$B,0))</f>
        <v>56</v>
      </c>
      <c r="K1380" s="2">
        <f>INDEX(Locations!$A:$A,MATCH(I1380,Locations!$B:$B,0))</f>
        <v>1</v>
      </c>
    </row>
    <row r="1381" spans="1:11" x14ac:dyDescent="0.2">
      <c r="A1381" s="3">
        <v>1380</v>
      </c>
      <c r="B1381" t="s">
        <v>259</v>
      </c>
      <c r="C1381" t="s">
        <v>145</v>
      </c>
      <c r="D1381" s="1">
        <v>39575</v>
      </c>
      <c r="E1381" t="s">
        <v>2000</v>
      </c>
      <c r="F1381">
        <v>2</v>
      </c>
      <c r="G1381" t="s">
        <v>2043</v>
      </c>
      <c r="H1381" s="2">
        <v>1350</v>
      </c>
      <c r="I1381" t="s">
        <v>50</v>
      </c>
      <c r="J1381" s="2">
        <f>INDEX(Positions!$A:$A,MATCH(E1381,Positions!$B:$B,0))</f>
        <v>16</v>
      </c>
      <c r="K1381" s="2">
        <f>INDEX(Locations!$A:$A,MATCH(I1381,Locations!$B:$B,0))</f>
        <v>1</v>
      </c>
    </row>
    <row r="1382" spans="1:11" x14ac:dyDescent="0.2">
      <c r="A1382" s="3">
        <v>1381</v>
      </c>
      <c r="B1382" t="s">
        <v>285</v>
      </c>
      <c r="C1382" t="s">
        <v>469</v>
      </c>
      <c r="D1382" s="1">
        <v>32790</v>
      </c>
      <c r="E1382" t="s">
        <v>2005</v>
      </c>
      <c r="F1382">
        <v>5</v>
      </c>
      <c r="G1382" t="s">
        <v>2044</v>
      </c>
      <c r="H1382" s="2">
        <v>1350</v>
      </c>
      <c r="I1382" t="s">
        <v>50</v>
      </c>
      <c r="J1382" s="2">
        <f>INDEX(Positions!$A:$A,MATCH(E1382,Positions!$B:$B,0))</f>
        <v>75</v>
      </c>
      <c r="K1382" s="2">
        <f>INDEX(Locations!$A:$A,MATCH(I1382,Locations!$B:$B,0))</f>
        <v>1</v>
      </c>
    </row>
    <row r="1383" spans="1:11" x14ac:dyDescent="0.2">
      <c r="A1383" s="3">
        <v>1382</v>
      </c>
      <c r="B1383" t="s">
        <v>441</v>
      </c>
      <c r="C1383" t="s">
        <v>188</v>
      </c>
      <c r="D1383" s="1">
        <v>39085</v>
      </c>
      <c r="E1383" t="s">
        <v>1987</v>
      </c>
      <c r="F1383">
        <v>1</v>
      </c>
      <c r="G1383" t="s">
        <v>2045</v>
      </c>
      <c r="H1383" s="2">
        <v>1334</v>
      </c>
      <c r="I1383" t="s">
        <v>50</v>
      </c>
      <c r="J1383" s="2">
        <f>INDEX(Positions!$A:$A,MATCH(E1383,Positions!$B:$B,0))</f>
        <v>4</v>
      </c>
      <c r="K1383" s="2">
        <f>INDEX(Locations!$A:$A,MATCH(I1383,Locations!$B:$B,0))</f>
        <v>1</v>
      </c>
    </row>
    <row r="1384" spans="1:11" x14ac:dyDescent="0.2">
      <c r="A1384" s="3">
        <v>1383</v>
      </c>
      <c r="B1384" t="s">
        <v>202</v>
      </c>
      <c r="C1384" t="s">
        <v>496</v>
      </c>
      <c r="D1384" s="1">
        <v>35909</v>
      </c>
      <c r="E1384" t="s">
        <v>2000</v>
      </c>
      <c r="F1384">
        <v>2</v>
      </c>
      <c r="G1384" t="s">
        <v>2046</v>
      </c>
      <c r="H1384" s="2">
        <v>1350</v>
      </c>
      <c r="I1384" t="s">
        <v>50</v>
      </c>
      <c r="J1384" s="2">
        <f>INDEX(Positions!$A:$A,MATCH(E1384,Positions!$B:$B,0))</f>
        <v>16</v>
      </c>
      <c r="K1384" s="2">
        <f>INDEX(Locations!$A:$A,MATCH(I1384,Locations!$B:$B,0))</f>
        <v>1</v>
      </c>
    </row>
    <row r="1385" spans="1:11" x14ac:dyDescent="0.2">
      <c r="A1385" s="3">
        <v>1384</v>
      </c>
      <c r="B1385" t="s">
        <v>163</v>
      </c>
      <c r="C1385" t="s">
        <v>117</v>
      </c>
      <c r="D1385" s="1">
        <v>33542</v>
      </c>
      <c r="E1385" t="s">
        <v>1989</v>
      </c>
      <c r="F1385">
        <v>3</v>
      </c>
      <c r="G1385" t="s">
        <v>2047</v>
      </c>
      <c r="H1385" s="2">
        <v>1344</v>
      </c>
      <c r="I1385" t="s">
        <v>1375</v>
      </c>
      <c r="J1385" s="2">
        <f>INDEX(Positions!$A:$A,MATCH(E1385,Positions!$B:$B,0))</f>
        <v>27</v>
      </c>
      <c r="K1385" s="2">
        <f>INDEX(Locations!$A:$A,MATCH(I1385,Locations!$B:$B,0))</f>
        <v>12</v>
      </c>
    </row>
    <row r="1386" spans="1:11" x14ac:dyDescent="0.2">
      <c r="A1386" s="3">
        <v>1385</v>
      </c>
      <c r="B1386" t="s">
        <v>476</v>
      </c>
      <c r="C1386" t="s">
        <v>273</v>
      </c>
      <c r="D1386" s="1">
        <v>38399</v>
      </c>
      <c r="E1386" t="s">
        <v>2000</v>
      </c>
      <c r="F1386">
        <v>2</v>
      </c>
      <c r="G1386" t="s">
        <v>2048</v>
      </c>
      <c r="H1386" s="2">
        <v>1334</v>
      </c>
      <c r="I1386" t="s">
        <v>50</v>
      </c>
      <c r="J1386" s="2">
        <f>INDEX(Positions!$A:$A,MATCH(E1386,Positions!$B:$B,0))</f>
        <v>16</v>
      </c>
      <c r="K1386" s="2">
        <f>INDEX(Locations!$A:$A,MATCH(I1386,Locations!$B:$B,0))</f>
        <v>1</v>
      </c>
    </row>
    <row r="1387" spans="1:11" x14ac:dyDescent="0.2">
      <c r="A1387" s="3">
        <v>1386</v>
      </c>
      <c r="B1387" t="s">
        <v>348</v>
      </c>
      <c r="C1387" t="s">
        <v>173</v>
      </c>
      <c r="D1387" s="1">
        <v>39542</v>
      </c>
      <c r="E1387" t="s">
        <v>2000</v>
      </c>
      <c r="F1387">
        <v>2</v>
      </c>
      <c r="G1387" t="s">
        <v>2049</v>
      </c>
      <c r="H1387" s="2">
        <v>1350</v>
      </c>
      <c r="I1387" t="s">
        <v>50</v>
      </c>
      <c r="J1387" s="2">
        <f>INDEX(Positions!$A:$A,MATCH(E1387,Positions!$B:$B,0))</f>
        <v>16</v>
      </c>
      <c r="K1387" s="2">
        <f>INDEX(Locations!$A:$A,MATCH(I1387,Locations!$B:$B,0))</f>
        <v>1</v>
      </c>
    </row>
    <row r="1388" spans="1:11" x14ac:dyDescent="0.2">
      <c r="A1388" s="3">
        <v>1387</v>
      </c>
      <c r="B1388" t="s">
        <v>258</v>
      </c>
      <c r="C1388" t="s">
        <v>237</v>
      </c>
      <c r="D1388" s="1">
        <v>33353</v>
      </c>
      <c r="E1388" t="s">
        <v>1997</v>
      </c>
      <c r="F1388">
        <v>4</v>
      </c>
      <c r="G1388" t="s">
        <v>2050</v>
      </c>
      <c r="H1388" s="2">
        <v>1350</v>
      </c>
      <c r="I1388" t="s">
        <v>50</v>
      </c>
      <c r="J1388" s="2">
        <f>INDEX(Positions!$A:$A,MATCH(E1388,Positions!$B:$B,0))</f>
        <v>56</v>
      </c>
      <c r="K1388" s="2">
        <f>INDEX(Locations!$A:$A,MATCH(I1388,Locations!$B:$B,0))</f>
        <v>1</v>
      </c>
    </row>
    <row r="1389" spans="1:11" x14ac:dyDescent="0.2">
      <c r="A1389" s="3">
        <v>1388</v>
      </c>
      <c r="B1389" t="s">
        <v>515</v>
      </c>
      <c r="C1389" t="s">
        <v>568</v>
      </c>
      <c r="D1389" s="1">
        <v>33515</v>
      </c>
      <c r="E1389" t="s">
        <v>1985</v>
      </c>
      <c r="F1389">
        <v>4</v>
      </c>
      <c r="G1389" t="s">
        <v>2051</v>
      </c>
      <c r="H1389" s="2">
        <v>1336</v>
      </c>
      <c r="I1389" t="s">
        <v>1375</v>
      </c>
      <c r="J1389" s="2">
        <f>INDEX(Positions!$A:$A,MATCH(E1389,Positions!$B:$B,0))</f>
        <v>60</v>
      </c>
      <c r="K1389" s="2">
        <f>INDEX(Locations!$A:$A,MATCH(I1389,Locations!$B:$B,0))</f>
        <v>12</v>
      </c>
    </row>
    <row r="1390" spans="1:11" x14ac:dyDescent="0.2">
      <c r="A1390" s="3">
        <v>1389</v>
      </c>
      <c r="B1390" t="s">
        <v>345</v>
      </c>
      <c r="C1390" t="s">
        <v>420</v>
      </c>
      <c r="D1390" s="1">
        <v>39604</v>
      </c>
      <c r="E1390" t="s">
        <v>1987</v>
      </c>
      <c r="F1390">
        <v>1</v>
      </c>
      <c r="G1390" t="s">
        <v>2052</v>
      </c>
      <c r="H1390" s="2">
        <v>1336</v>
      </c>
      <c r="I1390" t="s">
        <v>1375</v>
      </c>
      <c r="J1390" s="2">
        <f>INDEX(Positions!$A:$A,MATCH(E1390,Positions!$B:$B,0))</f>
        <v>4</v>
      </c>
      <c r="K1390" s="2">
        <f>INDEX(Locations!$A:$A,MATCH(I1390,Locations!$B:$B,0))</f>
        <v>12</v>
      </c>
    </row>
    <row r="1391" spans="1:11" x14ac:dyDescent="0.2">
      <c r="A1391" s="3">
        <v>1390</v>
      </c>
      <c r="B1391" t="s">
        <v>1010</v>
      </c>
      <c r="C1391" t="s">
        <v>1668</v>
      </c>
      <c r="D1391" s="1">
        <v>35727</v>
      </c>
      <c r="E1391" t="s">
        <v>1991</v>
      </c>
      <c r="F1391">
        <v>3</v>
      </c>
      <c r="G1391" t="s">
        <v>2053</v>
      </c>
      <c r="H1391" s="2">
        <v>1334</v>
      </c>
      <c r="I1391" t="s">
        <v>50</v>
      </c>
      <c r="J1391" s="2">
        <f>INDEX(Positions!$A:$A,MATCH(E1391,Positions!$B:$B,0))</f>
        <v>53</v>
      </c>
      <c r="K1391" s="2">
        <f>INDEX(Locations!$A:$A,MATCH(I1391,Locations!$B:$B,0))</f>
        <v>1</v>
      </c>
    </row>
    <row r="1392" spans="1:11" x14ac:dyDescent="0.2">
      <c r="A1392" s="3">
        <v>1391</v>
      </c>
      <c r="B1392" t="s">
        <v>215</v>
      </c>
      <c r="C1392" t="s">
        <v>1012</v>
      </c>
      <c r="D1392" s="1">
        <v>36019</v>
      </c>
      <c r="E1392" t="s">
        <v>1985</v>
      </c>
      <c r="F1392">
        <v>4</v>
      </c>
      <c r="G1392" t="s">
        <v>2054</v>
      </c>
      <c r="H1392" s="2">
        <v>1350</v>
      </c>
      <c r="I1392" t="s">
        <v>50</v>
      </c>
      <c r="J1392" s="2">
        <f>INDEX(Positions!$A:$A,MATCH(E1392,Positions!$B:$B,0))</f>
        <v>60</v>
      </c>
      <c r="K1392" s="2">
        <f>INDEX(Locations!$A:$A,MATCH(I1392,Locations!$B:$B,0))</f>
        <v>1</v>
      </c>
    </row>
    <row r="1393" spans="1:11" x14ac:dyDescent="0.2">
      <c r="A1393" s="3">
        <v>1392</v>
      </c>
      <c r="B1393" t="s">
        <v>139</v>
      </c>
      <c r="C1393" t="s">
        <v>251</v>
      </c>
      <c r="D1393" s="1">
        <v>33890</v>
      </c>
      <c r="E1393" t="s">
        <v>2055</v>
      </c>
      <c r="F1393">
        <v>3</v>
      </c>
      <c r="G1393" t="s">
        <v>2056</v>
      </c>
      <c r="H1393" s="2">
        <v>1393</v>
      </c>
      <c r="I1393" t="s">
        <v>89</v>
      </c>
      <c r="J1393" s="2">
        <f>INDEX(Positions!$A:$A,MATCH(E1393,Positions!$B:$B,0))</f>
        <v>47</v>
      </c>
      <c r="K1393" s="2">
        <f>INDEX(Locations!$A:$A,MATCH(I1393,Locations!$B:$B,0))</f>
        <v>8</v>
      </c>
    </row>
    <row r="1394" spans="1:11" x14ac:dyDescent="0.2">
      <c r="A1394" s="3">
        <v>1393</v>
      </c>
      <c r="B1394" t="s">
        <v>396</v>
      </c>
      <c r="C1394" t="s">
        <v>84</v>
      </c>
      <c r="D1394" s="1">
        <v>31992</v>
      </c>
      <c r="E1394" t="s">
        <v>2057</v>
      </c>
      <c r="F1394">
        <v>7</v>
      </c>
      <c r="G1394" t="s">
        <v>2058</v>
      </c>
      <c r="H1394" s="2">
        <v>12</v>
      </c>
      <c r="I1394" t="s">
        <v>50</v>
      </c>
      <c r="J1394" s="2">
        <f>INDEX(Positions!$A:$A,MATCH(E1394,Positions!$B:$B,0))</f>
        <v>101</v>
      </c>
      <c r="K1394" s="2">
        <f>INDEX(Locations!$A:$A,MATCH(I1394,Locations!$B:$B,0))</f>
        <v>1</v>
      </c>
    </row>
    <row r="1395" spans="1:11" x14ac:dyDescent="0.2">
      <c r="A1395" s="3">
        <v>1394</v>
      </c>
      <c r="B1395" t="s">
        <v>137</v>
      </c>
      <c r="C1395" t="s">
        <v>224</v>
      </c>
      <c r="D1395" s="1">
        <v>32758</v>
      </c>
      <c r="E1395" t="s">
        <v>2059</v>
      </c>
      <c r="F1395">
        <v>6</v>
      </c>
      <c r="G1395" t="s">
        <v>2060</v>
      </c>
      <c r="H1395" s="2">
        <v>1393</v>
      </c>
      <c r="I1395" t="s">
        <v>89</v>
      </c>
      <c r="J1395" s="2">
        <f>INDEX(Positions!$A:$A,MATCH(E1395,Positions!$B:$B,0))</f>
        <v>90</v>
      </c>
      <c r="K1395" s="2">
        <f>INDEX(Locations!$A:$A,MATCH(I1395,Locations!$B:$B,0))</f>
        <v>8</v>
      </c>
    </row>
    <row r="1396" spans="1:11" x14ac:dyDescent="0.2">
      <c r="A1396" s="3">
        <v>1395</v>
      </c>
      <c r="B1396" t="s">
        <v>483</v>
      </c>
      <c r="C1396" t="s">
        <v>802</v>
      </c>
      <c r="D1396" s="1">
        <v>30526</v>
      </c>
      <c r="E1396" t="s">
        <v>2061</v>
      </c>
      <c r="F1396">
        <v>4</v>
      </c>
      <c r="G1396" t="s">
        <v>2062</v>
      </c>
      <c r="H1396" s="2">
        <v>1393</v>
      </c>
      <c r="I1396" t="s">
        <v>92</v>
      </c>
      <c r="J1396" s="2">
        <f>INDEX(Positions!$A:$A,MATCH(E1396,Positions!$B:$B,0))</f>
        <v>68</v>
      </c>
      <c r="K1396" s="2">
        <f>INDEX(Locations!$A:$A,MATCH(I1396,Locations!$B:$B,0))</f>
        <v>6</v>
      </c>
    </row>
    <row r="1397" spans="1:11" x14ac:dyDescent="0.2">
      <c r="A1397" s="3">
        <v>1396</v>
      </c>
      <c r="B1397" t="s">
        <v>187</v>
      </c>
      <c r="C1397" t="s">
        <v>497</v>
      </c>
      <c r="D1397" s="1">
        <v>37602</v>
      </c>
      <c r="E1397" t="s">
        <v>2063</v>
      </c>
      <c r="F1397">
        <v>1</v>
      </c>
      <c r="G1397" t="s">
        <v>2064</v>
      </c>
      <c r="H1397" s="2">
        <v>1393</v>
      </c>
      <c r="I1397" t="s">
        <v>92</v>
      </c>
      <c r="J1397" s="2">
        <f>INDEX(Positions!$A:$A,MATCH(E1397,Positions!$B:$B,0))</f>
        <v>7</v>
      </c>
      <c r="K1397" s="2">
        <f>INDEX(Locations!$A:$A,MATCH(I1397,Locations!$B:$B,0))</f>
        <v>6</v>
      </c>
    </row>
    <row r="1398" spans="1:11" x14ac:dyDescent="0.2">
      <c r="A1398" s="3">
        <v>1397</v>
      </c>
      <c r="B1398" t="s">
        <v>267</v>
      </c>
      <c r="C1398" t="s">
        <v>474</v>
      </c>
      <c r="D1398" s="1">
        <v>35959</v>
      </c>
      <c r="E1398" t="s">
        <v>2065</v>
      </c>
      <c r="F1398">
        <v>2</v>
      </c>
      <c r="G1398" t="s">
        <v>2066</v>
      </c>
      <c r="H1398" s="2">
        <v>1393</v>
      </c>
      <c r="I1398" t="s">
        <v>92</v>
      </c>
      <c r="J1398" s="2">
        <f>INDEX(Positions!$A:$A,MATCH(E1398,Positions!$B:$B,0))</f>
        <v>22</v>
      </c>
      <c r="K1398" s="2">
        <f>INDEX(Locations!$A:$A,MATCH(I1398,Locations!$B:$B,0))</f>
        <v>6</v>
      </c>
    </row>
    <row r="1399" spans="1:11" x14ac:dyDescent="0.2">
      <c r="A1399" s="3">
        <v>1398</v>
      </c>
      <c r="B1399" t="s">
        <v>551</v>
      </c>
      <c r="C1399" t="s">
        <v>162</v>
      </c>
      <c r="D1399" s="1">
        <v>36618</v>
      </c>
      <c r="E1399" t="s">
        <v>2065</v>
      </c>
      <c r="F1399">
        <v>2</v>
      </c>
      <c r="G1399" t="s">
        <v>2067</v>
      </c>
      <c r="H1399" s="2">
        <v>1393</v>
      </c>
      <c r="I1399" t="s">
        <v>89</v>
      </c>
      <c r="J1399" s="2">
        <f>INDEX(Positions!$A:$A,MATCH(E1399,Positions!$B:$B,0))</f>
        <v>22</v>
      </c>
      <c r="K1399" s="2">
        <f>INDEX(Locations!$A:$A,MATCH(I1399,Locations!$B:$B,0))</f>
        <v>8</v>
      </c>
    </row>
    <row r="1400" spans="1:11" x14ac:dyDescent="0.2">
      <c r="A1400" s="3">
        <v>1399</v>
      </c>
      <c r="B1400" t="s">
        <v>519</v>
      </c>
      <c r="C1400" t="s">
        <v>314</v>
      </c>
      <c r="D1400" s="1">
        <v>38926</v>
      </c>
      <c r="E1400" t="s">
        <v>2063</v>
      </c>
      <c r="F1400">
        <v>1</v>
      </c>
      <c r="G1400" t="s">
        <v>2068</v>
      </c>
      <c r="H1400" s="2">
        <v>1393</v>
      </c>
      <c r="I1400" t="s">
        <v>89</v>
      </c>
      <c r="J1400" s="2">
        <f>INDEX(Positions!$A:$A,MATCH(E1400,Positions!$B:$B,0))</f>
        <v>7</v>
      </c>
      <c r="K1400" s="2">
        <f>INDEX(Locations!$A:$A,MATCH(I1400,Locations!$B:$B,0))</f>
        <v>8</v>
      </c>
    </row>
    <row r="1401" spans="1:11" x14ac:dyDescent="0.2">
      <c r="A1401" s="3">
        <v>1400</v>
      </c>
      <c r="B1401" t="s">
        <v>515</v>
      </c>
      <c r="C1401" t="s">
        <v>408</v>
      </c>
      <c r="D1401" s="1">
        <v>32965</v>
      </c>
      <c r="E1401" t="s">
        <v>2065</v>
      </c>
      <c r="F1401">
        <v>2</v>
      </c>
      <c r="G1401" t="s">
        <v>2069</v>
      </c>
      <c r="H1401" s="2">
        <v>1411</v>
      </c>
      <c r="I1401" t="s">
        <v>233</v>
      </c>
      <c r="J1401" s="2">
        <f>INDEX(Positions!$A:$A,MATCH(E1401,Positions!$B:$B,0))</f>
        <v>22</v>
      </c>
      <c r="K1401" s="2">
        <f>INDEX(Locations!$A:$A,MATCH(I1401,Locations!$B:$B,0))</f>
        <v>11</v>
      </c>
    </row>
    <row r="1402" spans="1:11" x14ac:dyDescent="0.2">
      <c r="A1402" s="3">
        <v>1401</v>
      </c>
      <c r="B1402" t="s">
        <v>485</v>
      </c>
      <c r="C1402" t="s">
        <v>318</v>
      </c>
      <c r="D1402" s="1">
        <v>35722</v>
      </c>
      <c r="E1402" t="s">
        <v>2065</v>
      </c>
      <c r="F1402">
        <v>2</v>
      </c>
      <c r="G1402" t="s">
        <v>2070</v>
      </c>
      <c r="H1402" s="2">
        <v>1410</v>
      </c>
      <c r="I1402" t="s">
        <v>92</v>
      </c>
      <c r="J1402" s="2">
        <f>INDEX(Positions!$A:$A,MATCH(E1402,Positions!$B:$B,0))</f>
        <v>22</v>
      </c>
      <c r="K1402" s="2">
        <f>INDEX(Locations!$A:$A,MATCH(I1402,Locations!$B:$B,0))</f>
        <v>6</v>
      </c>
    </row>
    <row r="1403" spans="1:11" x14ac:dyDescent="0.2">
      <c r="A1403" s="3">
        <v>1402</v>
      </c>
      <c r="B1403" t="s">
        <v>329</v>
      </c>
      <c r="C1403" t="s">
        <v>405</v>
      </c>
      <c r="D1403" s="1">
        <v>34300</v>
      </c>
      <c r="E1403" t="s">
        <v>2055</v>
      </c>
      <c r="F1403">
        <v>3</v>
      </c>
      <c r="G1403" t="s">
        <v>2071</v>
      </c>
      <c r="H1403" s="2">
        <v>1410</v>
      </c>
      <c r="I1403" t="s">
        <v>92</v>
      </c>
      <c r="J1403" s="2">
        <f>INDEX(Positions!$A:$A,MATCH(E1403,Positions!$B:$B,0))</f>
        <v>47</v>
      </c>
      <c r="K1403" s="2">
        <f>INDEX(Locations!$A:$A,MATCH(I1403,Locations!$B:$B,0))</f>
        <v>6</v>
      </c>
    </row>
    <row r="1404" spans="1:11" x14ac:dyDescent="0.2">
      <c r="A1404" s="3">
        <v>1403</v>
      </c>
      <c r="B1404" t="s">
        <v>389</v>
      </c>
      <c r="C1404" t="s">
        <v>173</v>
      </c>
      <c r="D1404" s="1">
        <v>28700</v>
      </c>
      <c r="E1404" t="s">
        <v>2059</v>
      </c>
      <c r="F1404">
        <v>6</v>
      </c>
      <c r="G1404" t="s">
        <v>2072</v>
      </c>
      <c r="H1404" s="2">
        <v>1393</v>
      </c>
      <c r="I1404" t="s">
        <v>233</v>
      </c>
      <c r="J1404" s="2">
        <f>INDEX(Positions!$A:$A,MATCH(E1404,Positions!$B:$B,0))</f>
        <v>90</v>
      </c>
      <c r="K1404" s="2">
        <f>INDEX(Locations!$A:$A,MATCH(I1404,Locations!$B:$B,0))</f>
        <v>11</v>
      </c>
    </row>
    <row r="1405" spans="1:11" x14ac:dyDescent="0.2">
      <c r="A1405" s="3">
        <v>1404</v>
      </c>
      <c r="B1405" t="s">
        <v>75</v>
      </c>
      <c r="C1405" t="s">
        <v>147</v>
      </c>
      <c r="D1405" s="1">
        <v>33993</v>
      </c>
      <c r="E1405" t="s">
        <v>2065</v>
      </c>
      <c r="F1405">
        <v>2</v>
      </c>
      <c r="G1405" t="s">
        <v>2073</v>
      </c>
      <c r="H1405" s="2">
        <v>1393</v>
      </c>
      <c r="I1405" t="s">
        <v>92</v>
      </c>
      <c r="J1405" s="2">
        <f>INDEX(Positions!$A:$A,MATCH(E1405,Positions!$B:$B,0))</f>
        <v>22</v>
      </c>
      <c r="K1405" s="2">
        <f>INDEX(Locations!$A:$A,MATCH(I1405,Locations!$B:$B,0))</f>
        <v>6</v>
      </c>
    </row>
    <row r="1406" spans="1:11" x14ac:dyDescent="0.2">
      <c r="A1406" s="3">
        <v>1405</v>
      </c>
      <c r="B1406" t="s">
        <v>402</v>
      </c>
      <c r="C1406" t="s">
        <v>410</v>
      </c>
      <c r="D1406" s="1">
        <v>33008</v>
      </c>
      <c r="E1406" t="s">
        <v>2074</v>
      </c>
      <c r="F1406">
        <v>5</v>
      </c>
      <c r="G1406" t="s">
        <v>2075</v>
      </c>
      <c r="H1406" s="2">
        <v>1394</v>
      </c>
      <c r="I1406" t="s">
        <v>89</v>
      </c>
      <c r="J1406" s="2">
        <f>INDEX(Positions!$A:$A,MATCH(E1406,Positions!$B:$B,0))</f>
        <v>73</v>
      </c>
      <c r="K1406" s="2">
        <f>INDEX(Locations!$A:$A,MATCH(I1406,Locations!$B:$B,0))</f>
        <v>8</v>
      </c>
    </row>
    <row r="1407" spans="1:11" x14ac:dyDescent="0.2">
      <c r="A1407" s="3">
        <v>1406</v>
      </c>
      <c r="B1407" t="s">
        <v>90</v>
      </c>
      <c r="C1407" t="s">
        <v>115</v>
      </c>
      <c r="D1407" s="1">
        <v>37139</v>
      </c>
      <c r="E1407" t="s">
        <v>2065</v>
      </c>
      <c r="F1407">
        <v>2</v>
      </c>
      <c r="G1407" t="s">
        <v>2076</v>
      </c>
      <c r="H1407" s="2">
        <v>1405</v>
      </c>
      <c r="I1407" t="s">
        <v>89</v>
      </c>
      <c r="J1407" s="2">
        <f>INDEX(Positions!$A:$A,MATCH(E1407,Positions!$B:$B,0))</f>
        <v>22</v>
      </c>
      <c r="K1407" s="2">
        <f>INDEX(Locations!$A:$A,MATCH(I1407,Locations!$B:$B,0))</f>
        <v>8</v>
      </c>
    </row>
    <row r="1408" spans="1:11" x14ac:dyDescent="0.2">
      <c r="A1408" s="3">
        <v>1407</v>
      </c>
      <c r="B1408" t="s">
        <v>427</v>
      </c>
      <c r="C1408" t="s">
        <v>474</v>
      </c>
      <c r="D1408" s="1">
        <v>33795</v>
      </c>
      <c r="E1408" t="s">
        <v>2059</v>
      </c>
      <c r="F1408">
        <v>6</v>
      </c>
      <c r="G1408" t="s">
        <v>2077</v>
      </c>
      <c r="H1408" s="2">
        <v>1393</v>
      </c>
      <c r="I1408" t="s">
        <v>92</v>
      </c>
      <c r="J1408" s="2">
        <f>INDEX(Positions!$A:$A,MATCH(E1408,Positions!$B:$B,0))</f>
        <v>90</v>
      </c>
      <c r="K1408" s="2">
        <f>INDEX(Locations!$A:$A,MATCH(I1408,Locations!$B:$B,0))</f>
        <v>6</v>
      </c>
    </row>
    <row r="1409" spans="1:11" x14ac:dyDescent="0.2">
      <c r="A1409" s="3">
        <v>1408</v>
      </c>
      <c r="B1409" t="s">
        <v>263</v>
      </c>
      <c r="C1409" t="s">
        <v>526</v>
      </c>
      <c r="D1409" s="1">
        <v>32112</v>
      </c>
      <c r="E1409" t="s">
        <v>2065</v>
      </c>
      <c r="F1409">
        <v>2</v>
      </c>
      <c r="G1409" t="s">
        <v>2078</v>
      </c>
      <c r="H1409" s="2">
        <v>1405</v>
      </c>
      <c r="I1409" t="s">
        <v>89</v>
      </c>
      <c r="J1409" s="2">
        <f>INDEX(Positions!$A:$A,MATCH(E1409,Positions!$B:$B,0))</f>
        <v>22</v>
      </c>
      <c r="K1409" s="2">
        <f>INDEX(Locations!$A:$A,MATCH(I1409,Locations!$B:$B,0))</f>
        <v>8</v>
      </c>
    </row>
    <row r="1410" spans="1:11" x14ac:dyDescent="0.2">
      <c r="A1410" s="3">
        <v>1409</v>
      </c>
      <c r="B1410" t="s">
        <v>211</v>
      </c>
      <c r="C1410" t="s">
        <v>456</v>
      </c>
      <c r="D1410" s="1">
        <v>34246</v>
      </c>
      <c r="E1410" t="s">
        <v>2065</v>
      </c>
      <c r="F1410">
        <v>2</v>
      </c>
      <c r="G1410" t="s">
        <v>2079</v>
      </c>
      <c r="H1410" s="2">
        <v>1405</v>
      </c>
      <c r="I1410" t="s">
        <v>89</v>
      </c>
      <c r="J1410" s="2">
        <f>INDEX(Positions!$A:$A,MATCH(E1410,Positions!$B:$B,0))</f>
        <v>22</v>
      </c>
      <c r="K1410" s="2">
        <f>INDEX(Locations!$A:$A,MATCH(I1410,Locations!$B:$B,0))</f>
        <v>8</v>
      </c>
    </row>
    <row r="1411" spans="1:11" x14ac:dyDescent="0.2">
      <c r="A1411" s="3">
        <v>1410</v>
      </c>
      <c r="B1411" t="s">
        <v>230</v>
      </c>
      <c r="C1411" t="s">
        <v>602</v>
      </c>
      <c r="D1411" s="1">
        <v>36414</v>
      </c>
      <c r="E1411" t="s">
        <v>2074</v>
      </c>
      <c r="F1411">
        <v>5</v>
      </c>
      <c r="G1411" t="s">
        <v>2080</v>
      </c>
      <c r="H1411" s="2">
        <v>1407</v>
      </c>
      <c r="I1411" t="s">
        <v>92</v>
      </c>
      <c r="J1411" s="2">
        <f>INDEX(Positions!$A:$A,MATCH(E1411,Positions!$B:$B,0))</f>
        <v>73</v>
      </c>
      <c r="K1411" s="2">
        <f>INDEX(Locations!$A:$A,MATCH(I1411,Locations!$B:$B,0))</f>
        <v>6</v>
      </c>
    </row>
    <row r="1412" spans="1:11" x14ac:dyDescent="0.2">
      <c r="A1412" s="3">
        <v>1411</v>
      </c>
      <c r="B1412" t="s">
        <v>86</v>
      </c>
      <c r="C1412" t="s">
        <v>113</v>
      </c>
      <c r="D1412" s="1">
        <v>29904</v>
      </c>
      <c r="E1412" t="s">
        <v>2074</v>
      </c>
      <c r="F1412">
        <v>5</v>
      </c>
      <c r="G1412" t="s">
        <v>2081</v>
      </c>
      <c r="H1412" s="2">
        <v>1403</v>
      </c>
      <c r="I1412" t="s">
        <v>233</v>
      </c>
      <c r="J1412" s="2">
        <f>INDEX(Positions!$A:$A,MATCH(E1412,Positions!$B:$B,0))</f>
        <v>73</v>
      </c>
      <c r="K1412" s="2">
        <f>INDEX(Locations!$A:$A,MATCH(I1412,Locations!$B:$B,0))</f>
        <v>11</v>
      </c>
    </row>
    <row r="1413" spans="1:11" x14ac:dyDescent="0.2">
      <c r="A1413" s="3">
        <v>1412</v>
      </c>
      <c r="B1413" t="s">
        <v>463</v>
      </c>
      <c r="C1413" t="s">
        <v>539</v>
      </c>
      <c r="D1413" s="1">
        <v>36124</v>
      </c>
      <c r="E1413" t="s">
        <v>2055</v>
      </c>
      <c r="F1413">
        <v>3</v>
      </c>
      <c r="G1413" t="s">
        <v>2082</v>
      </c>
      <c r="H1413" s="2">
        <v>1411</v>
      </c>
      <c r="I1413" t="s">
        <v>233</v>
      </c>
      <c r="J1413" s="2">
        <f>INDEX(Positions!$A:$A,MATCH(E1413,Positions!$B:$B,0))</f>
        <v>47</v>
      </c>
      <c r="K1413" s="2">
        <f>INDEX(Locations!$A:$A,MATCH(I1413,Locations!$B:$B,0))</f>
        <v>11</v>
      </c>
    </row>
    <row r="1414" spans="1:11" x14ac:dyDescent="0.2">
      <c r="A1414" s="3">
        <v>1413</v>
      </c>
      <c r="B1414" t="s">
        <v>320</v>
      </c>
      <c r="C1414" t="s">
        <v>522</v>
      </c>
      <c r="D1414" s="1">
        <v>35794</v>
      </c>
      <c r="E1414" t="s">
        <v>2061</v>
      </c>
      <c r="F1414">
        <v>4</v>
      </c>
      <c r="G1414" t="s">
        <v>2083</v>
      </c>
      <c r="H1414" s="2">
        <v>1405</v>
      </c>
      <c r="I1414" t="s">
        <v>89</v>
      </c>
      <c r="J1414" s="2">
        <f>INDEX(Positions!$A:$A,MATCH(E1414,Positions!$B:$B,0))</f>
        <v>68</v>
      </c>
      <c r="K1414" s="2">
        <f>INDEX(Locations!$A:$A,MATCH(I1414,Locations!$B:$B,0))</f>
        <v>8</v>
      </c>
    </row>
    <row r="1415" spans="1:11" x14ac:dyDescent="0.2">
      <c r="A1415" s="3">
        <v>1414</v>
      </c>
      <c r="B1415" t="s">
        <v>297</v>
      </c>
      <c r="C1415" t="s">
        <v>222</v>
      </c>
      <c r="D1415" s="1">
        <v>35440</v>
      </c>
      <c r="E1415" t="s">
        <v>2055</v>
      </c>
      <c r="F1415">
        <v>3</v>
      </c>
      <c r="G1415" t="s">
        <v>2084</v>
      </c>
      <c r="H1415" s="2">
        <v>1405</v>
      </c>
      <c r="I1415" t="s">
        <v>89</v>
      </c>
      <c r="J1415" s="2">
        <f>INDEX(Positions!$A:$A,MATCH(E1415,Positions!$B:$B,0))</f>
        <v>47</v>
      </c>
      <c r="K1415" s="2">
        <f>INDEX(Locations!$A:$A,MATCH(I1415,Locations!$B:$B,0))</f>
        <v>8</v>
      </c>
    </row>
    <row r="1416" spans="1:11" x14ac:dyDescent="0.2">
      <c r="A1416" s="3">
        <v>1415</v>
      </c>
      <c r="B1416" t="s">
        <v>170</v>
      </c>
      <c r="C1416" t="s">
        <v>228</v>
      </c>
      <c r="D1416" s="1">
        <v>35034</v>
      </c>
      <c r="E1416" t="s">
        <v>2063</v>
      </c>
      <c r="F1416">
        <v>1</v>
      </c>
      <c r="G1416" t="s">
        <v>2085</v>
      </c>
      <c r="H1416" s="2">
        <v>1411</v>
      </c>
      <c r="I1416" t="s">
        <v>233</v>
      </c>
      <c r="J1416" s="2">
        <f>INDEX(Positions!$A:$A,MATCH(E1416,Positions!$B:$B,0))</f>
        <v>7</v>
      </c>
      <c r="K1416" s="2">
        <f>INDEX(Locations!$A:$A,MATCH(I1416,Locations!$B:$B,0))</f>
        <v>11</v>
      </c>
    </row>
    <row r="1417" spans="1:11" x14ac:dyDescent="0.2">
      <c r="A1417" s="3">
        <v>1416</v>
      </c>
      <c r="B1417" t="s">
        <v>205</v>
      </c>
      <c r="C1417" t="s">
        <v>100</v>
      </c>
      <c r="D1417" s="1">
        <v>33771</v>
      </c>
      <c r="E1417" t="s">
        <v>2061</v>
      </c>
      <c r="F1417">
        <v>4</v>
      </c>
      <c r="G1417" t="s">
        <v>2086</v>
      </c>
      <c r="H1417" s="2">
        <v>1411</v>
      </c>
      <c r="I1417" t="s">
        <v>233</v>
      </c>
      <c r="J1417" s="2">
        <f>INDEX(Positions!$A:$A,MATCH(E1417,Positions!$B:$B,0))</f>
        <v>68</v>
      </c>
      <c r="K1417" s="2">
        <f>INDEX(Locations!$A:$A,MATCH(I1417,Locations!$B:$B,0))</f>
        <v>11</v>
      </c>
    </row>
    <row r="1418" spans="1:11" x14ac:dyDescent="0.2">
      <c r="A1418" s="3">
        <v>1417</v>
      </c>
      <c r="B1418" t="s">
        <v>579</v>
      </c>
      <c r="C1418" t="s">
        <v>98</v>
      </c>
      <c r="D1418" s="1">
        <v>37127</v>
      </c>
      <c r="E1418" t="s">
        <v>2063</v>
      </c>
      <c r="F1418">
        <v>1</v>
      </c>
      <c r="G1418" t="s">
        <v>2087</v>
      </c>
      <c r="H1418" s="2">
        <v>1405</v>
      </c>
      <c r="I1418" t="s">
        <v>89</v>
      </c>
      <c r="J1418" s="2">
        <f>INDEX(Positions!$A:$A,MATCH(E1418,Positions!$B:$B,0))</f>
        <v>7</v>
      </c>
      <c r="K1418" s="2">
        <f>INDEX(Locations!$A:$A,MATCH(I1418,Locations!$B:$B,0))</f>
        <v>8</v>
      </c>
    </row>
    <row r="1419" spans="1:11" x14ac:dyDescent="0.2">
      <c r="A1419" s="3">
        <v>1418</v>
      </c>
      <c r="B1419" t="s">
        <v>186</v>
      </c>
      <c r="C1419" t="s">
        <v>432</v>
      </c>
      <c r="D1419" s="1">
        <v>37448</v>
      </c>
      <c r="E1419" t="s">
        <v>2055</v>
      </c>
      <c r="F1419">
        <v>3</v>
      </c>
      <c r="G1419" t="s">
        <v>2088</v>
      </c>
      <c r="H1419" s="2">
        <v>1405</v>
      </c>
      <c r="I1419" t="s">
        <v>89</v>
      </c>
      <c r="J1419" s="2">
        <f>INDEX(Positions!$A:$A,MATCH(E1419,Positions!$B:$B,0))</f>
        <v>47</v>
      </c>
      <c r="K1419" s="2">
        <f>INDEX(Locations!$A:$A,MATCH(I1419,Locations!$B:$B,0))</f>
        <v>8</v>
      </c>
    </row>
    <row r="1420" spans="1:11" x14ac:dyDescent="0.2">
      <c r="A1420" s="3">
        <v>1419</v>
      </c>
      <c r="B1420" t="s">
        <v>139</v>
      </c>
      <c r="C1420" t="s">
        <v>103</v>
      </c>
      <c r="D1420" s="1">
        <v>35893</v>
      </c>
      <c r="E1420" t="s">
        <v>2065</v>
      </c>
      <c r="F1420">
        <v>2</v>
      </c>
      <c r="G1420" t="s">
        <v>2089</v>
      </c>
      <c r="H1420" s="2">
        <v>1410</v>
      </c>
      <c r="I1420" t="s">
        <v>92</v>
      </c>
      <c r="J1420" s="2">
        <f>INDEX(Positions!$A:$A,MATCH(E1420,Positions!$B:$B,0))</f>
        <v>22</v>
      </c>
      <c r="K1420" s="2">
        <f>INDEX(Locations!$A:$A,MATCH(I1420,Locations!$B:$B,0))</f>
        <v>6</v>
      </c>
    </row>
    <row r="1421" spans="1:11" x14ac:dyDescent="0.2">
      <c r="A1421" s="3">
        <v>1420</v>
      </c>
      <c r="B1421" t="s">
        <v>437</v>
      </c>
      <c r="C1421" t="s">
        <v>606</v>
      </c>
      <c r="D1421" s="1">
        <v>36382</v>
      </c>
      <c r="E1421" t="s">
        <v>2055</v>
      </c>
      <c r="F1421">
        <v>3</v>
      </c>
      <c r="G1421" t="s">
        <v>2090</v>
      </c>
      <c r="H1421" s="2">
        <v>1410</v>
      </c>
      <c r="I1421" t="s">
        <v>92</v>
      </c>
      <c r="J1421" s="2">
        <f>INDEX(Positions!$A:$A,MATCH(E1421,Positions!$B:$B,0))</f>
        <v>47</v>
      </c>
      <c r="K1421" s="2">
        <f>INDEX(Locations!$A:$A,MATCH(I1421,Locations!$B:$B,0))</f>
        <v>6</v>
      </c>
    </row>
    <row r="1422" spans="1:11" x14ac:dyDescent="0.2">
      <c r="A1422" s="3">
        <v>1421</v>
      </c>
      <c r="B1422" t="s">
        <v>394</v>
      </c>
      <c r="C1422" t="s">
        <v>126</v>
      </c>
      <c r="D1422" s="1">
        <v>34844</v>
      </c>
      <c r="E1422" t="s">
        <v>2065</v>
      </c>
      <c r="F1422">
        <v>2</v>
      </c>
      <c r="G1422" t="s">
        <v>2091</v>
      </c>
      <c r="H1422" s="2">
        <v>1410</v>
      </c>
      <c r="I1422" t="s">
        <v>92</v>
      </c>
      <c r="J1422" s="2">
        <f>INDEX(Positions!$A:$A,MATCH(E1422,Positions!$B:$B,0))</f>
        <v>22</v>
      </c>
      <c r="K1422" s="2">
        <f>INDEX(Locations!$A:$A,MATCH(I1422,Locations!$B:$B,0))</f>
        <v>6</v>
      </c>
    </row>
    <row r="1423" spans="1:11" x14ac:dyDescent="0.2">
      <c r="A1423" s="3">
        <v>1422</v>
      </c>
      <c r="B1423" t="s">
        <v>360</v>
      </c>
      <c r="C1423" t="s">
        <v>369</v>
      </c>
      <c r="D1423" s="1">
        <v>33729</v>
      </c>
      <c r="E1423" t="s">
        <v>2061</v>
      </c>
      <c r="F1423">
        <v>4</v>
      </c>
      <c r="G1423" t="s">
        <v>2092</v>
      </c>
      <c r="H1423" s="2">
        <v>1410</v>
      </c>
      <c r="I1423" t="s">
        <v>92</v>
      </c>
      <c r="J1423" s="2">
        <f>INDEX(Positions!$A:$A,MATCH(E1423,Positions!$B:$B,0))</f>
        <v>68</v>
      </c>
      <c r="K1423" s="2">
        <f>INDEX(Locations!$A:$A,MATCH(I1423,Locations!$B:$B,0))</f>
        <v>6</v>
      </c>
    </row>
    <row r="1424" spans="1:11" x14ac:dyDescent="0.2">
      <c r="A1424" s="3">
        <v>1423</v>
      </c>
      <c r="B1424" t="s">
        <v>501</v>
      </c>
      <c r="C1424" t="s">
        <v>286</v>
      </c>
      <c r="D1424" s="1">
        <v>32020</v>
      </c>
      <c r="E1424" t="s">
        <v>2061</v>
      </c>
      <c r="F1424">
        <v>4</v>
      </c>
      <c r="G1424" t="s">
        <v>2093</v>
      </c>
      <c r="H1424" s="2">
        <v>1405</v>
      </c>
      <c r="I1424" t="s">
        <v>89</v>
      </c>
      <c r="J1424" s="2">
        <f>INDEX(Positions!$A:$A,MATCH(E1424,Positions!$B:$B,0))</f>
        <v>68</v>
      </c>
      <c r="K1424" s="2">
        <f>INDEX(Locations!$A:$A,MATCH(I1424,Locations!$B:$B,0))</f>
        <v>8</v>
      </c>
    </row>
    <row r="1425" spans="1:11" x14ac:dyDescent="0.2">
      <c r="A1425" s="3">
        <v>1424</v>
      </c>
      <c r="B1425" t="s">
        <v>78</v>
      </c>
      <c r="C1425" t="s">
        <v>162</v>
      </c>
      <c r="D1425" s="1">
        <v>35298</v>
      </c>
      <c r="E1425" t="s">
        <v>2063</v>
      </c>
      <c r="F1425">
        <v>1</v>
      </c>
      <c r="G1425" t="s">
        <v>2094</v>
      </c>
      <c r="H1425" s="2">
        <v>1405</v>
      </c>
      <c r="I1425" t="s">
        <v>89</v>
      </c>
      <c r="J1425" s="2">
        <f>INDEX(Positions!$A:$A,MATCH(E1425,Positions!$B:$B,0))</f>
        <v>7</v>
      </c>
      <c r="K1425" s="2">
        <f>INDEX(Locations!$A:$A,MATCH(I1425,Locations!$B:$B,0))</f>
        <v>8</v>
      </c>
    </row>
    <row r="1426" spans="1:11" x14ac:dyDescent="0.2">
      <c r="A1426" s="3">
        <v>1425</v>
      </c>
      <c r="B1426" t="s">
        <v>186</v>
      </c>
      <c r="C1426" t="s">
        <v>304</v>
      </c>
      <c r="D1426" s="1">
        <v>36157</v>
      </c>
      <c r="E1426" t="s">
        <v>2055</v>
      </c>
      <c r="F1426">
        <v>3</v>
      </c>
      <c r="G1426" t="s">
        <v>2095</v>
      </c>
      <c r="H1426" s="2">
        <v>1411</v>
      </c>
      <c r="I1426" t="s">
        <v>233</v>
      </c>
      <c r="J1426" s="2">
        <f>INDEX(Positions!$A:$A,MATCH(E1426,Positions!$B:$B,0))</f>
        <v>47</v>
      </c>
      <c r="K1426" s="2">
        <f>INDEX(Locations!$A:$A,MATCH(I1426,Locations!$B:$B,0))</f>
        <v>11</v>
      </c>
    </row>
    <row r="1427" spans="1:11" x14ac:dyDescent="0.2">
      <c r="A1427" s="3">
        <v>1426</v>
      </c>
      <c r="B1427" t="s">
        <v>241</v>
      </c>
      <c r="C1427" t="s">
        <v>198</v>
      </c>
      <c r="D1427" s="1">
        <v>34372</v>
      </c>
      <c r="E1427" t="s">
        <v>2065</v>
      </c>
      <c r="F1427">
        <v>2</v>
      </c>
      <c r="G1427" t="s">
        <v>2096</v>
      </c>
      <c r="H1427" s="2">
        <v>1410</v>
      </c>
      <c r="I1427" t="s">
        <v>92</v>
      </c>
      <c r="J1427" s="2">
        <f>INDEX(Positions!$A:$A,MATCH(E1427,Positions!$B:$B,0))</f>
        <v>22</v>
      </c>
      <c r="K1427" s="2">
        <f>INDEX(Locations!$A:$A,MATCH(I1427,Locations!$B:$B,0))</f>
        <v>6</v>
      </c>
    </row>
    <row r="1428" spans="1:11" x14ac:dyDescent="0.2">
      <c r="A1428" s="3">
        <v>1427</v>
      </c>
      <c r="B1428" t="s">
        <v>273</v>
      </c>
      <c r="C1428" t="s">
        <v>500</v>
      </c>
      <c r="D1428" s="1">
        <v>36664</v>
      </c>
      <c r="E1428" t="s">
        <v>2055</v>
      </c>
      <c r="F1428">
        <v>3</v>
      </c>
      <c r="G1428" t="s">
        <v>2097</v>
      </c>
      <c r="H1428" s="2">
        <v>1410</v>
      </c>
      <c r="I1428" t="s">
        <v>92</v>
      </c>
      <c r="J1428" s="2">
        <f>INDEX(Positions!$A:$A,MATCH(E1428,Positions!$B:$B,0))</f>
        <v>47</v>
      </c>
      <c r="K1428" s="2">
        <f>INDEX(Locations!$A:$A,MATCH(I1428,Locations!$B:$B,0))</f>
        <v>6</v>
      </c>
    </row>
    <row r="1429" spans="1:11" x14ac:dyDescent="0.2">
      <c r="A1429" s="3">
        <v>1428</v>
      </c>
      <c r="B1429" t="s">
        <v>248</v>
      </c>
      <c r="C1429" t="s">
        <v>113</v>
      </c>
      <c r="D1429" s="1">
        <v>34396</v>
      </c>
      <c r="E1429" t="s">
        <v>2065</v>
      </c>
      <c r="F1429">
        <v>2</v>
      </c>
      <c r="G1429" t="s">
        <v>2098</v>
      </c>
      <c r="H1429" s="2">
        <v>1411</v>
      </c>
      <c r="I1429" t="s">
        <v>233</v>
      </c>
      <c r="J1429" s="2">
        <f>INDEX(Positions!$A:$A,MATCH(E1429,Positions!$B:$B,0))</f>
        <v>22</v>
      </c>
      <c r="K1429" s="2">
        <f>INDEX(Locations!$A:$A,MATCH(I1429,Locations!$B:$B,0))</f>
        <v>11</v>
      </c>
    </row>
    <row r="1430" spans="1:11" x14ac:dyDescent="0.2">
      <c r="A1430" s="3">
        <v>1429</v>
      </c>
      <c r="B1430" t="s">
        <v>261</v>
      </c>
      <c r="C1430" t="s">
        <v>490</v>
      </c>
      <c r="D1430" s="1">
        <v>31901</v>
      </c>
      <c r="E1430" t="s">
        <v>2074</v>
      </c>
      <c r="F1430">
        <v>5</v>
      </c>
      <c r="G1430" t="s">
        <v>2099</v>
      </c>
      <c r="H1430" s="2">
        <v>1407</v>
      </c>
      <c r="I1430" t="s">
        <v>92</v>
      </c>
      <c r="J1430" s="2">
        <f>INDEX(Positions!$A:$A,MATCH(E1430,Positions!$B:$B,0))</f>
        <v>73</v>
      </c>
      <c r="K1430" s="2">
        <f>INDEX(Locations!$A:$A,MATCH(I1430,Locations!$B:$B,0))</f>
        <v>6</v>
      </c>
    </row>
    <row r="1431" spans="1:11" x14ac:dyDescent="0.2">
      <c r="A1431" s="3">
        <v>1430</v>
      </c>
      <c r="B1431" t="s">
        <v>55</v>
      </c>
      <c r="C1431" t="s">
        <v>321</v>
      </c>
      <c r="D1431" s="1">
        <v>37178</v>
      </c>
      <c r="E1431" t="s">
        <v>2065</v>
      </c>
      <c r="F1431">
        <v>2</v>
      </c>
      <c r="G1431" t="s">
        <v>2100</v>
      </c>
      <c r="H1431" s="2">
        <v>1405</v>
      </c>
      <c r="I1431" t="s">
        <v>89</v>
      </c>
      <c r="J1431" s="2">
        <f>INDEX(Positions!$A:$A,MATCH(E1431,Positions!$B:$B,0))</f>
        <v>22</v>
      </c>
      <c r="K1431" s="2">
        <f>INDEX(Locations!$A:$A,MATCH(I1431,Locations!$B:$B,0))</f>
        <v>8</v>
      </c>
    </row>
    <row r="1432" spans="1:11" x14ac:dyDescent="0.2">
      <c r="A1432" s="3">
        <v>1431</v>
      </c>
      <c r="B1432" t="s">
        <v>510</v>
      </c>
      <c r="C1432" t="s">
        <v>366</v>
      </c>
      <c r="D1432" s="1">
        <v>36953</v>
      </c>
      <c r="E1432" t="s">
        <v>2055</v>
      </c>
      <c r="F1432">
        <v>3</v>
      </c>
      <c r="G1432" t="s">
        <v>2101</v>
      </c>
      <c r="H1432" s="2">
        <v>1429</v>
      </c>
      <c r="I1432" t="s">
        <v>92</v>
      </c>
      <c r="J1432" s="2">
        <f>INDEX(Positions!$A:$A,MATCH(E1432,Positions!$B:$B,0))</f>
        <v>47</v>
      </c>
      <c r="K1432" s="2">
        <f>INDEX(Locations!$A:$A,MATCH(I1432,Locations!$B:$B,0))</f>
        <v>6</v>
      </c>
    </row>
    <row r="1433" spans="1:11" x14ac:dyDescent="0.2">
      <c r="A1433" s="3">
        <v>1432</v>
      </c>
      <c r="B1433" t="s">
        <v>170</v>
      </c>
      <c r="C1433" t="s">
        <v>160</v>
      </c>
      <c r="D1433" s="1">
        <v>39130</v>
      </c>
      <c r="E1433" t="s">
        <v>2065</v>
      </c>
      <c r="F1433">
        <v>2</v>
      </c>
      <c r="G1433" t="s">
        <v>2102</v>
      </c>
      <c r="H1433" s="2">
        <v>1411</v>
      </c>
      <c r="I1433" t="s">
        <v>233</v>
      </c>
      <c r="J1433" s="2">
        <f>INDEX(Positions!$A:$A,MATCH(E1433,Positions!$B:$B,0))</f>
        <v>22</v>
      </c>
      <c r="K1433" s="2">
        <f>INDEX(Locations!$A:$A,MATCH(I1433,Locations!$B:$B,0))</f>
        <v>11</v>
      </c>
    </row>
    <row r="1434" spans="1:11" x14ac:dyDescent="0.2">
      <c r="A1434" s="3">
        <v>1433</v>
      </c>
      <c r="B1434" t="s">
        <v>315</v>
      </c>
      <c r="C1434" t="s">
        <v>425</v>
      </c>
      <c r="D1434" s="1">
        <v>36951</v>
      </c>
      <c r="E1434" t="s">
        <v>2065</v>
      </c>
      <c r="F1434">
        <v>2</v>
      </c>
      <c r="G1434" t="s">
        <v>2103</v>
      </c>
      <c r="H1434" s="2">
        <v>1429</v>
      </c>
      <c r="I1434" t="s">
        <v>92</v>
      </c>
      <c r="J1434" s="2">
        <f>INDEX(Positions!$A:$A,MATCH(E1434,Positions!$B:$B,0))</f>
        <v>22</v>
      </c>
      <c r="K1434" s="2">
        <f>INDEX(Locations!$A:$A,MATCH(I1434,Locations!$B:$B,0))</f>
        <v>6</v>
      </c>
    </row>
    <row r="1435" spans="1:11" x14ac:dyDescent="0.2">
      <c r="A1435" s="3">
        <v>1434</v>
      </c>
      <c r="B1435" t="s">
        <v>257</v>
      </c>
      <c r="C1435" t="s">
        <v>359</v>
      </c>
      <c r="D1435" s="1">
        <v>33556</v>
      </c>
      <c r="E1435" t="s">
        <v>2061</v>
      </c>
      <c r="F1435">
        <v>4</v>
      </c>
      <c r="G1435" t="s">
        <v>2104</v>
      </c>
      <c r="H1435" s="2">
        <v>1429</v>
      </c>
      <c r="I1435" t="s">
        <v>92</v>
      </c>
      <c r="J1435" s="2">
        <f>INDEX(Positions!$A:$A,MATCH(E1435,Positions!$B:$B,0))</f>
        <v>68</v>
      </c>
      <c r="K1435" s="2">
        <f>INDEX(Locations!$A:$A,MATCH(I1435,Locations!$B:$B,0))</f>
        <v>6</v>
      </c>
    </row>
    <row r="1436" spans="1:11" x14ac:dyDescent="0.2">
      <c r="A1436" s="3">
        <v>1435</v>
      </c>
      <c r="B1436" t="s">
        <v>415</v>
      </c>
      <c r="C1436" t="s">
        <v>292</v>
      </c>
      <c r="D1436" s="1">
        <v>35249</v>
      </c>
      <c r="E1436" t="s">
        <v>2065</v>
      </c>
      <c r="F1436">
        <v>2</v>
      </c>
      <c r="G1436" t="s">
        <v>2105</v>
      </c>
      <c r="H1436" s="2">
        <v>1429</v>
      </c>
      <c r="I1436" t="s">
        <v>92</v>
      </c>
      <c r="J1436" s="2">
        <f>INDEX(Positions!$A:$A,MATCH(E1436,Positions!$B:$B,0))</f>
        <v>22</v>
      </c>
      <c r="K1436" s="2">
        <f>INDEX(Locations!$A:$A,MATCH(I1436,Locations!$B:$B,0))</f>
        <v>6</v>
      </c>
    </row>
    <row r="1437" spans="1:11" x14ac:dyDescent="0.2">
      <c r="A1437" s="3">
        <v>1436</v>
      </c>
      <c r="B1437" t="s">
        <v>530</v>
      </c>
      <c r="C1437" t="s">
        <v>518</v>
      </c>
      <c r="D1437" s="1">
        <v>39574</v>
      </c>
      <c r="E1437" t="s">
        <v>2063</v>
      </c>
      <c r="F1437">
        <v>1</v>
      </c>
      <c r="G1437" t="s">
        <v>2106</v>
      </c>
      <c r="H1437" s="2">
        <v>1429</v>
      </c>
      <c r="I1437" t="s">
        <v>92</v>
      </c>
      <c r="J1437" s="2">
        <f>INDEX(Positions!$A:$A,MATCH(E1437,Positions!$B:$B,0))</f>
        <v>7</v>
      </c>
      <c r="K1437" s="2">
        <f>INDEX(Locations!$A:$A,MATCH(I1437,Locations!$B:$B,0))</f>
        <v>6</v>
      </c>
    </row>
    <row r="1438" spans="1:11" x14ac:dyDescent="0.2">
      <c r="A1438" s="3">
        <v>1437</v>
      </c>
      <c r="B1438" t="s">
        <v>455</v>
      </c>
      <c r="C1438" t="s">
        <v>242</v>
      </c>
      <c r="D1438" s="1">
        <v>29009</v>
      </c>
      <c r="E1438" t="s">
        <v>2074</v>
      </c>
      <c r="F1438">
        <v>5</v>
      </c>
      <c r="G1438" t="s">
        <v>2107</v>
      </c>
      <c r="H1438" s="2">
        <v>1407</v>
      </c>
      <c r="I1438" t="s">
        <v>92</v>
      </c>
      <c r="J1438" s="2">
        <f>INDEX(Positions!$A:$A,MATCH(E1438,Positions!$B:$B,0))</f>
        <v>73</v>
      </c>
      <c r="K1438" s="2">
        <f>INDEX(Locations!$A:$A,MATCH(I1438,Locations!$B:$B,0))</f>
        <v>6</v>
      </c>
    </row>
    <row r="1439" spans="1:11" x14ac:dyDescent="0.2">
      <c r="A1439" s="3">
        <v>1438</v>
      </c>
      <c r="B1439" t="s">
        <v>365</v>
      </c>
      <c r="C1439" t="s">
        <v>419</v>
      </c>
      <c r="D1439" s="1">
        <v>36963</v>
      </c>
      <c r="E1439" t="s">
        <v>2065</v>
      </c>
      <c r="F1439">
        <v>2</v>
      </c>
      <c r="G1439" t="s">
        <v>2108</v>
      </c>
      <c r="H1439" s="2">
        <v>1405</v>
      </c>
      <c r="I1439" t="s">
        <v>89</v>
      </c>
      <c r="J1439" s="2">
        <f>INDEX(Positions!$A:$A,MATCH(E1439,Positions!$B:$B,0))</f>
        <v>22</v>
      </c>
      <c r="K1439" s="2">
        <f>INDEX(Locations!$A:$A,MATCH(I1439,Locations!$B:$B,0))</f>
        <v>8</v>
      </c>
    </row>
    <row r="1440" spans="1:11" x14ac:dyDescent="0.2">
      <c r="A1440" s="3">
        <v>1439</v>
      </c>
      <c r="B1440" t="s">
        <v>491</v>
      </c>
      <c r="C1440" t="s">
        <v>154</v>
      </c>
      <c r="D1440" s="1">
        <v>32236</v>
      </c>
      <c r="E1440" t="s">
        <v>2055</v>
      </c>
      <c r="F1440">
        <v>3</v>
      </c>
      <c r="G1440" t="s">
        <v>2109</v>
      </c>
      <c r="H1440" s="2">
        <v>1437</v>
      </c>
      <c r="I1440" t="s">
        <v>92</v>
      </c>
      <c r="J1440" s="2">
        <f>INDEX(Positions!$A:$A,MATCH(E1440,Positions!$B:$B,0))</f>
        <v>47</v>
      </c>
      <c r="K1440" s="2">
        <f>INDEX(Locations!$A:$A,MATCH(I1440,Locations!$B:$B,0))</f>
        <v>6</v>
      </c>
    </row>
    <row r="1441" spans="1:11" x14ac:dyDescent="0.2">
      <c r="A1441" s="3">
        <v>1440</v>
      </c>
      <c r="B1441" t="s">
        <v>411</v>
      </c>
      <c r="C1441" t="s">
        <v>460</v>
      </c>
      <c r="D1441" s="1">
        <v>37041</v>
      </c>
      <c r="E1441" t="s">
        <v>2065</v>
      </c>
      <c r="F1441">
        <v>2</v>
      </c>
      <c r="G1441" t="s">
        <v>2110</v>
      </c>
      <c r="H1441" s="2">
        <v>1437</v>
      </c>
      <c r="I1441" t="s">
        <v>92</v>
      </c>
      <c r="J1441" s="2">
        <f>INDEX(Positions!$A:$A,MATCH(E1441,Positions!$B:$B,0))</f>
        <v>22</v>
      </c>
      <c r="K1441" s="2">
        <f>INDEX(Locations!$A:$A,MATCH(I1441,Locations!$B:$B,0))</f>
        <v>6</v>
      </c>
    </row>
    <row r="1442" spans="1:11" x14ac:dyDescent="0.2">
      <c r="A1442" s="3">
        <v>1441</v>
      </c>
      <c r="B1442" t="s">
        <v>215</v>
      </c>
      <c r="C1442" t="s">
        <v>255</v>
      </c>
      <c r="D1442" s="1">
        <v>32814</v>
      </c>
      <c r="E1442" t="s">
        <v>2061</v>
      </c>
      <c r="F1442">
        <v>4</v>
      </c>
      <c r="G1442" t="s">
        <v>2111</v>
      </c>
      <c r="H1442" s="2">
        <v>1437</v>
      </c>
      <c r="I1442" t="s">
        <v>92</v>
      </c>
      <c r="J1442" s="2">
        <f>INDEX(Positions!$A:$A,MATCH(E1442,Positions!$B:$B,0))</f>
        <v>68</v>
      </c>
      <c r="K1442" s="2">
        <f>INDEX(Locations!$A:$A,MATCH(I1442,Locations!$B:$B,0))</f>
        <v>6</v>
      </c>
    </row>
    <row r="1443" spans="1:11" x14ac:dyDescent="0.2">
      <c r="A1443" s="3">
        <v>1442</v>
      </c>
      <c r="B1443" t="s">
        <v>396</v>
      </c>
      <c r="C1443" t="s">
        <v>456</v>
      </c>
      <c r="D1443" s="1">
        <v>35783</v>
      </c>
      <c r="E1443" t="s">
        <v>2065</v>
      </c>
      <c r="F1443">
        <v>2</v>
      </c>
      <c r="G1443" t="s">
        <v>2112</v>
      </c>
      <c r="H1443" s="2">
        <v>1429</v>
      </c>
      <c r="I1443" t="s">
        <v>92</v>
      </c>
      <c r="J1443" s="2">
        <f>INDEX(Positions!$A:$A,MATCH(E1443,Positions!$B:$B,0))</f>
        <v>22</v>
      </c>
      <c r="K1443" s="2">
        <f>INDEX(Locations!$A:$A,MATCH(I1443,Locations!$B:$B,0))</f>
        <v>6</v>
      </c>
    </row>
    <row r="1444" spans="1:11" x14ac:dyDescent="0.2">
      <c r="A1444" s="3">
        <v>1443</v>
      </c>
      <c r="B1444" t="s">
        <v>498</v>
      </c>
      <c r="C1444" t="s">
        <v>462</v>
      </c>
      <c r="D1444" s="1">
        <v>37016</v>
      </c>
      <c r="E1444" t="s">
        <v>2065</v>
      </c>
      <c r="F1444">
        <v>2</v>
      </c>
      <c r="G1444" t="s">
        <v>2113</v>
      </c>
      <c r="H1444" s="2">
        <v>1437</v>
      </c>
      <c r="I1444" t="s">
        <v>92</v>
      </c>
      <c r="J1444" s="2">
        <f>INDEX(Positions!$A:$A,MATCH(E1444,Positions!$B:$B,0))</f>
        <v>22</v>
      </c>
      <c r="K1444" s="2">
        <f>INDEX(Locations!$A:$A,MATCH(I1444,Locations!$B:$B,0))</f>
        <v>6</v>
      </c>
    </row>
    <row r="1445" spans="1:11" x14ac:dyDescent="0.2">
      <c r="A1445" s="3">
        <v>1444</v>
      </c>
      <c r="B1445" t="s">
        <v>473</v>
      </c>
      <c r="C1445" t="s">
        <v>541</v>
      </c>
      <c r="D1445" s="1">
        <v>36567</v>
      </c>
      <c r="E1445" t="s">
        <v>2063</v>
      </c>
      <c r="F1445">
        <v>1</v>
      </c>
      <c r="G1445" t="s">
        <v>2114</v>
      </c>
      <c r="H1445" s="2">
        <v>1429</v>
      </c>
      <c r="I1445" t="s">
        <v>92</v>
      </c>
      <c r="J1445" s="2">
        <f>INDEX(Positions!$A:$A,MATCH(E1445,Positions!$B:$B,0))</f>
        <v>7</v>
      </c>
      <c r="K1445" s="2">
        <f>INDEX(Locations!$A:$A,MATCH(I1445,Locations!$B:$B,0))</f>
        <v>6</v>
      </c>
    </row>
    <row r="1446" spans="1:11" x14ac:dyDescent="0.2">
      <c r="A1446" s="3">
        <v>1445</v>
      </c>
      <c r="B1446" t="s">
        <v>546</v>
      </c>
      <c r="C1446" t="s">
        <v>254</v>
      </c>
      <c r="D1446" s="1">
        <v>37712</v>
      </c>
      <c r="E1446" t="s">
        <v>2063</v>
      </c>
      <c r="F1446">
        <v>1</v>
      </c>
      <c r="G1446" t="s">
        <v>2115</v>
      </c>
      <c r="H1446" s="2">
        <v>1410</v>
      </c>
      <c r="I1446" t="s">
        <v>92</v>
      </c>
      <c r="J1446" s="2">
        <f>INDEX(Positions!$A:$A,MATCH(E1446,Positions!$B:$B,0))</f>
        <v>7</v>
      </c>
      <c r="K1446" s="2">
        <f>INDEX(Locations!$A:$A,MATCH(I1446,Locations!$B:$B,0))</f>
        <v>6</v>
      </c>
    </row>
    <row r="1447" spans="1:11" x14ac:dyDescent="0.2">
      <c r="A1447" s="3">
        <v>1446</v>
      </c>
      <c r="B1447" t="s">
        <v>427</v>
      </c>
      <c r="C1447" t="s">
        <v>420</v>
      </c>
      <c r="D1447" s="1">
        <v>35758</v>
      </c>
      <c r="E1447" t="s">
        <v>2061</v>
      </c>
      <c r="F1447">
        <v>4</v>
      </c>
      <c r="G1447" t="s">
        <v>2116</v>
      </c>
      <c r="H1447" s="2">
        <v>1429</v>
      </c>
      <c r="I1447" t="s">
        <v>92</v>
      </c>
      <c r="J1447" s="2">
        <f>INDEX(Positions!$A:$A,MATCH(E1447,Positions!$B:$B,0))</f>
        <v>68</v>
      </c>
      <c r="K1447" s="2">
        <f>INDEX(Locations!$A:$A,MATCH(I1447,Locations!$B:$B,0))</f>
        <v>6</v>
      </c>
    </row>
    <row r="1448" spans="1:11" x14ac:dyDescent="0.2">
      <c r="A1448" s="3">
        <v>1447</v>
      </c>
      <c r="B1448" t="s">
        <v>513</v>
      </c>
      <c r="C1448" t="s">
        <v>450</v>
      </c>
      <c r="D1448" s="1">
        <v>39374</v>
      </c>
      <c r="E1448" t="s">
        <v>2063</v>
      </c>
      <c r="F1448">
        <v>1</v>
      </c>
      <c r="G1448" t="s">
        <v>2117</v>
      </c>
      <c r="H1448" s="2">
        <v>1437</v>
      </c>
      <c r="I1448" t="s">
        <v>92</v>
      </c>
      <c r="J1448" s="2">
        <f>INDEX(Positions!$A:$A,MATCH(E1448,Positions!$B:$B,0))</f>
        <v>7</v>
      </c>
      <c r="K1448" s="2">
        <f>INDEX(Locations!$A:$A,MATCH(I1448,Locations!$B:$B,0))</f>
        <v>6</v>
      </c>
    </row>
    <row r="1449" spans="1:11" x14ac:dyDescent="0.2">
      <c r="A1449" s="3">
        <v>1448</v>
      </c>
      <c r="B1449" t="s">
        <v>241</v>
      </c>
      <c r="C1449" t="s">
        <v>327</v>
      </c>
      <c r="D1449" s="1">
        <v>35693</v>
      </c>
      <c r="E1449" t="s">
        <v>2055</v>
      </c>
      <c r="F1449">
        <v>3</v>
      </c>
      <c r="G1449" t="s">
        <v>2118</v>
      </c>
      <c r="H1449" s="2">
        <v>1405</v>
      </c>
      <c r="I1449" t="s">
        <v>89</v>
      </c>
      <c r="J1449" s="2">
        <f>INDEX(Positions!$A:$A,MATCH(E1449,Positions!$B:$B,0))</f>
        <v>47</v>
      </c>
      <c r="K1449" s="2">
        <f>INDEX(Locations!$A:$A,MATCH(I1449,Locations!$B:$B,0))</f>
        <v>8</v>
      </c>
    </row>
    <row r="1450" spans="1:11" x14ac:dyDescent="0.2">
      <c r="A1450" s="3">
        <v>1449</v>
      </c>
      <c r="B1450" t="s">
        <v>231</v>
      </c>
      <c r="C1450" t="s">
        <v>372</v>
      </c>
      <c r="D1450" s="1">
        <v>34340</v>
      </c>
      <c r="E1450" t="s">
        <v>2055</v>
      </c>
      <c r="F1450">
        <v>3</v>
      </c>
      <c r="G1450" t="s">
        <v>2119</v>
      </c>
      <c r="H1450" s="2">
        <v>1437</v>
      </c>
      <c r="I1450" t="s">
        <v>92</v>
      </c>
      <c r="J1450" s="2">
        <f>INDEX(Positions!$A:$A,MATCH(E1450,Positions!$B:$B,0))</f>
        <v>47</v>
      </c>
      <c r="K1450" s="2">
        <f>INDEX(Locations!$A:$A,MATCH(I1450,Locations!$B:$B,0))</f>
        <v>6</v>
      </c>
    </row>
    <row r="1451" spans="1:11" x14ac:dyDescent="0.2">
      <c r="A1451" s="3">
        <v>1450</v>
      </c>
      <c r="B1451" t="s">
        <v>142</v>
      </c>
      <c r="C1451" t="s">
        <v>158</v>
      </c>
      <c r="D1451" s="1">
        <v>35644</v>
      </c>
      <c r="E1451" t="s">
        <v>2065</v>
      </c>
      <c r="F1451">
        <v>2</v>
      </c>
      <c r="G1451" t="s">
        <v>2120</v>
      </c>
      <c r="H1451" s="2">
        <v>1411</v>
      </c>
      <c r="I1451" t="s">
        <v>233</v>
      </c>
      <c r="J1451" s="2">
        <f>INDEX(Positions!$A:$A,MATCH(E1451,Positions!$B:$B,0))</f>
        <v>22</v>
      </c>
      <c r="K1451" s="2">
        <f>INDEX(Locations!$A:$A,MATCH(I1451,Locations!$B:$B,0))</f>
        <v>11</v>
      </c>
    </row>
    <row r="1452" spans="1:11" x14ac:dyDescent="0.2">
      <c r="A1452" s="3">
        <v>1451</v>
      </c>
      <c r="B1452" t="s">
        <v>374</v>
      </c>
      <c r="C1452" t="s">
        <v>236</v>
      </c>
      <c r="D1452" s="1">
        <v>35543</v>
      </c>
      <c r="E1452" t="s">
        <v>2055</v>
      </c>
      <c r="F1452">
        <v>3</v>
      </c>
      <c r="G1452" t="s">
        <v>2121</v>
      </c>
      <c r="H1452" s="2">
        <v>1437</v>
      </c>
      <c r="I1452" t="s">
        <v>92</v>
      </c>
      <c r="J1452" s="2">
        <f>INDEX(Positions!$A:$A,MATCH(E1452,Positions!$B:$B,0))</f>
        <v>47</v>
      </c>
      <c r="K1452" s="2">
        <f>INDEX(Locations!$A:$A,MATCH(I1452,Locations!$B:$B,0))</f>
        <v>6</v>
      </c>
    </row>
    <row r="1453" spans="1:11" x14ac:dyDescent="0.2">
      <c r="A1453" s="3">
        <v>1452</v>
      </c>
      <c r="B1453" t="s">
        <v>310</v>
      </c>
      <c r="C1453" t="s">
        <v>439</v>
      </c>
      <c r="D1453" s="1">
        <v>30112</v>
      </c>
      <c r="E1453" t="s">
        <v>2122</v>
      </c>
      <c r="F1453">
        <v>8</v>
      </c>
      <c r="G1453" t="s">
        <v>2123</v>
      </c>
      <c r="H1453" s="2">
        <v>9</v>
      </c>
      <c r="I1453" t="s">
        <v>50</v>
      </c>
      <c r="J1453" s="2">
        <f>INDEX(Positions!$A:$A,MATCH(E1453,Positions!$B:$B,0))</f>
        <v>106</v>
      </c>
      <c r="K1453" s="2">
        <f>INDEX(Locations!$A:$A,MATCH(I1453,Locations!$B:$B,0))</f>
        <v>1</v>
      </c>
    </row>
    <row r="1454" spans="1:11" x14ac:dyDescent="0.2">
      <c r="A1454" s="3">
        <v>1453</v>
      </c>
      <c r="B1454" t="s">
        <v>409</v>
      </c>
      <c r="C1454" t="s">
        <v>195</v>
      </c>
      <c r="D1454" s="1">
        <v>34190</v>
      </c>
      <c r="E1454" t="s">
        <v>2124</v>
      </c>
      <c r="F1454">
        <v>4</v>
      </c>
      <c r="G1454" t="s">
        <v>2125</v>
      </c>
      <c r="H1454" s="2">
        <v>1452</v>
      </c>
      <c r="I1454" t="s">
        <v>50</v>
      </c>
      <c r="J1454" s="2">
        <f>INDEX(Positions!$A:$A,MATCH(E1454,Positions!$B:$B,0))</f>
        <v>55</v>
      </c>
      <c r="K1454" s="2">
        <f>INDEX(Locations!$A:$A,MATCH(I1454,Locations!$B:$B,0))</f>
        <v>1</v>
      </c>
    </row>
    <row r="1455" spans="1:11" x14ac:dyDescent="0.2">
      <c r="A1455" s="3">
        <v>1454</v>
      </c>
      <c r="B1455" t="s">
        <v>300</v>
      </c>
      <c r="C1455" t="s">
        <v>520</v>
      </c>
      <c r="D1455" s="1">
        <v>30048</v>
      </c>
      <c r="E1455" t="s">
        <v>2126</v>
      </c>
      <c r="F1455">
        <v>3</v>
      </c>
      <c r="G1455" t="s">
        <v>2127</v>
      </c>
      <c r="H1455" s="2">
        <v>1452</v>
      </c>
      <c r="I1455" t="s">
        <v>50</v>
      </c>
      <c r="J1455" s="2">
        <f>INDEX(Positions!$A:$A,MATCH(E1455,Positions!$B:$B,0))</f>
        <v>45</v>
      </c>
      <c r="K1455" s="2">
        <f>INDEX(Locations!$A:$A,MATCH(I1455,Locations!$B:$B,0))</f>
        <v>1</v>
      </c>
    </row>
    <row r="1456" spans="1:11" x14ac:dyDescent="0.2">
      <c r="A1456" s="3">
        <v>1455</v>
      </c>
      <c r="B1456" t="s">
        <v>137</v>
      </c>
      <c r="C1456" t="s">
        <v>332</v>
      </c>
      <c r="D1456" s="1">
        <v>32298</v>
      </c>
      <c r="E1456" t="s">
        <v>2128</v>
      </c>
      <c r="F1456">
        <v>6</v>
      </c>
      <c r="G1456" t="s">
        <v>2129</v>
      </c>
      <c r="H1456" s="2">
        <v>1452</v>
      </c>
      <c r="I1456" t="s">
        <v>50</v>
      </c>
      <c r="J1456" s="2">
        <f>INDEX(Positions!$A:$A,MATCH(E1456,Positions!$B:$B,0))</f>
        <v>80</v>
      </c>
      <c r="K1456" s="2">
        <f>INDEX(Locations!$A:$A,MATCH(I1456,Locations!$B:$B,0))</f>
        <v>1</v>
      </c>
    </row>
    <row r="1457" spans="1:11" x14ac:dyDescent="0.2">
      <c r="A1457" s="3">
        <v>1456</v>
      </c>
      <c r="B1457" t="s">
        <v>441</v>
      </c>
      <c r="C1457" t="s">
        <v>341</v>
      </c>
      <c r="D1457" s="1">
        <v>33357</v>
      </c>
      <c r="E1457" t="s">
        <v>2130</v>
      </c>
      <c r="F1457">
        <v>5</v>
      </c>
      <c r="G1457" t="s">
        <v>2131</v>
      </c>
      <c r="H1457" s="2">
        <v>1452</v>
      </c>
      <c r="I1457" t="s">
        <v>50</v>
      </c>
      <c r="J1457" s="2">
        <f>INDEX(Positions!$A:$A,MATCH(E1457,Positions!$B:$B,0))</f>
        <v>74</v>
      </c>
      <c r="K1457" s="2">
        <f>INDEX(Locations!$A:$A,MATCH(I1457,Locations!$B:$B,0))</f>
        <v>1</v>
      </c>
    </row>
    <row r="1458" spans="1:11" x14ac:dyDescent="0.2">
      <c r="A1458" s="3">
        <v>1457</v>
      </c>
      <c r="B1458" t="s">
        <v>530</v>
      </c>
      <c r="C1458" t="s">
        <v>542</v>
      </c>
      <c r="D1458" s="1">
        <v>34123</v>
      </c>
      <c r="E1458" t="s">
        <v>2132</v>
      </c>
      <c r="F1458">
        <v>2</v>
      </c>
      <c r="G1458" t="s">
        <v>2133</v>
      </c>
      <c r="H1458" s="2">
        <v>1452</v>
      </c>
      <c r="I1458" t="s">
        <v>50</v>
      </c>
      <c r="J1458" s="2">
        <f>INDEX(Positions!$A:$A,MATCH(E1458,Positions!$B:$B,0))</f>
        <v>18</v>
      </c>
      <c r="K1458" s="2">
        <f>INDEX(Locations!$A:$A,MATCH(I1458,Locations!$B:$B,0))</f>
        <v>1</v>
      </c>
    </row>
    <row r="1459" spans="1:11" x14ac:dyDescent="0.2">
      <c r="A1459" s="3">
        <v>1458</v>
      </c>
      <c r="B1459" t="s">
        <v>186</v>
      </c>
      <c r="C1459" t="s">
        <v>449</v>
      </c>
      <c r="D1459" s="1">
        <v>33579</v>
      </c>
      <c r="E1459" t="s">
        <v>2126</v>
      </c>
      <c r="F1459">
        <v>3</v>
      </c>
      <c r="G1459" t="s">
        <v>2134</v>
      </c>
      <c r="H1459" s="2">
        <v>1452</v>
      </c>
      <c r="I1459" t="s">
        <v>50</v>
      </c>
      <c r="J1459" s="2">
        <f>INDEX(Positions!$A:$A,MATCH(E1459,Positions!$B:$B,0))</f>
        <v>45</v>
      </c>
      <c r="K1459" s="2">
        <f>INDEX(Locations!$A:$A,MATCH(I1459,Locations!$B:$B,0))</f>
        <v>1</v>
      </c>
    </row>
    <row r="1460" spans="1:11" x14ac:dyDescent="0.2">
      <c r="A1460" s="3">
        <v>1459</v>
      </c>
      <c r="B1460" t="s">
        <v>510</v>
      </c>
      <c r="C1460" t="s">
        <v>507</v>
      </c>
      <c r="D1460" s="1">
        <v>32852</v>
      </c>
      <c r="E1460" t="s">
        <v>2126</v>
      </c>
      <c r="F1460">
        <v>3</v>
      </c>
      <c r="G1460" t="s">
        <v>2135</v>
      </c>
      <c r="H1460" s="2">
        <v>1452</v>
      </c>
      <c r="I1460" t="s">
        <v>50</v>
      </c>
      <c r="J1460" s="2">
        <f>INDEX(Positions!$A:$A,MATCH(E1460,Positions!$B:$B,0))</f>
        <v>45</v>
      </c>
      <c r="K1460" s="2">
        <f>INDEX(Locations!$A:$A,MATCH(I1460,Locations!$B:$B,0))</f>
        <v>1</v>
      </c>
    </row>
    <row r="1461" spans="1:11" x14ac:dyDescent="0.2">
      <c r="A1461" s="3">
        <v>1460</v>
      </c>
      <c r="B1461" t="s">
        <v>411</v>
      </c>
      <c r="C1461" t="s">
        <v>1012</v>
      </c>
      <c r="D1461" s="1">
        <v>36739</v>
      </c>
      <c r="E1461" t="s">
        <v>2124</v>
      </c>
      <c r="F1461">
        <v>4</v>
      </c>
      <c r="G1461" t="s">
        <v>2136</v>
      </c>
      <c r="H1461" s="2">
        <v>1452</v>
      </c>
      <c r="I1461" t="s">
        <v>50</v>
      </c>
      <c r="J1461" s="2">
        <f>INDEX(Positions!$A:$A,MATCH(E1461,Positions!$B:$B,0))</f>
        <v>55</v>
      </c>
      <c r="K1461" s="2">
        <f>INDEX(Locations!$A:$A,MATCH(I1461,Locations!$B:$B,0))</f>
        <v>1</v>
      </c>
    </row>
    <row r="1462" spans="1:11" x14ac:dyDescent="0.2">
      <c r="A1462" s="3">
        <v>1461</v>
      </c>
      <c r="B1462" t="s">
        <v>423</v>
      </c>
      <c r="C1462" t="s">
        <v>232</v>
      </c>
      <c r="D1462" s="1">
        <v>33814</v>
      </c>
      <c r="E1462" t="s">
        <v>2124</v>
      </c>
      <c r="F1462">
        <v>4</v>
      </c>
      <c r="G1462" t="s">
        <v>2137</v>
      </c>
      <c r="H1462" s="2">
        <v>1452</v>
      </c>
      <c r="I1462" t="s">
        <v>50</v>
      </c>
      <c r="J1462" s="2">
        <f>INDEX(Positions!$A:$A,MATCH(E1462,Positions!$B:$B,0))</f>
        <v>55</v>
      </c>
      <c r="K1462" s="2">
        <f>INDEX(Locations!$A:$A,MATCH(I1462,Locations!$B:$B,0))</f>
        <v>1</v>
      </c>
    </row>
    <row r="1463" spans="1:11" x14ac:dyDescent="0.2">
      <c r="A1463" s="3">
        <v>1462</v>
      </c>
      <c r="B1463" t="s">
        <v>174</v>
      </c>
      <c r="C1463" t="s">
        <v>555</v>
      </c>
      <c r="D1463" s="1">
        <v>32349</v>
      </c>
      <c r="E1463" t="s">
        <v>2130</v>
      </c>
      <c r="F1463">
        <v>5</v>
      </c>
      <c r="G1463" t="s">
        <v>2138</v>
      </c>
      <c r="H1463" s="2">
        <v>1452</v>
      </c>
      <c r="I1463" t="s">
        <v>50</v>
      </c>
      <c r="J1463" s="2">
        <f>INDEX(Positions!$A:$A,MATCH(E1463,Positions!$B:$B,0))</f>
        <v>74</v>
      </c>
      <c r="K1463" s="2">
        <f>INDEX(Locations!$A:$A,MATCH(I1463,Locations!$B:$B,0))</f>
        <v>1</v>
      </c>
    </row>
    <row r="1464" spans="1:11" x14ac:dyDescent="0.2">
      <c r="A1464" s="3">
        <v>1463</v>
      </c>
      <c r="B1464" t="s">
        <v>379</v>
      </c>
      <c r="C1464" t="s">
        <v>448</v>
      </c>
      <c r="D1464" s="1">
        <v>35289</v>
      </c>
      <c r="E1464" t="s">
        <v>2139</v>
      </c>
      <c r="F1464">
        <v>3</v>
      </c>
      <c r="G1464" t="s">
        <v>2140</v>
      </c>
      <c r="H1464" s="2">
        <v>1452</v>
      </c>
      <c r="I1464" t="s">
        <v>50</v>
      </c>
      <c r="J1464" s="2">
        <f>INDEX(Positions!$A:$A,MATCH(E1464,Positions!$B:$B,0))</f>
        <v>32</v>
      </c>
      <c r="K1464" s="2">
        <f>INDEX(Locations!$A:$A,MATCH(I1464,Locations!$B:$B,0))</f>
        <v>1</v>
      </c>
    </row>
    <row r="1465" spans="1:11" x14ac:dyDescent="0.2">
      <c r="A1465" s="3">
        <v>1464</v>
      </c>
      <c r="B1465" t="s">
        <v>129</v>
      </c>
      <c r="C1465" t="s">
        <v>206</v>
      </c>
      <c r="D1465" s="1">
        <v>34203</v>
      </c>
      <c r="E1465" t="s">
        <v>2126</v>
      </c>
      <c r="F1465">
        <v>3</v>
      </c>
      <c r="G1465" t="s">
        <v>2141</v>
      </c>
      <c r="H1465" s="2">
        <v>1452</v>
      </c>
      <c r="I1465" t="s">
        <v>50</v>
      </c>
      <c r="J1465" s="2">
        <f>INDEX(Positions!$A:$A,MATCH(E1465,Positions!$B:$B,0))</f>
        <v>45</v>
      </c>
      <c r="K1465" s="2">
        <f>INDEX(Locations!$A:$A,MATCH(I1465,Locations!$B:$B,0))</f>
        <v>1</v>
      </c>
    </row>
    <row r="1466" spans="1:11" x14ac:dyDescent="0.2">
      <c r="A1466" s="3">
        <v>1465</v>
      </c>
      <c r="B1466" t="s">
        <v>486</v>
      </c>
      <c r="C1466" t="s">
        <v>405</v>
      </c>
      <c r="D1466" s="1">
        <v>30133</v>
      </c>
      <c r="E1466" t="s">
        <v>2142</v>
      </c>
      <c r="F1466">
        <v>7</v>
      </c>
      <c r="G1466" t="s">
        <v>2143</v>
      </c>
      <c r="H1466" s="2">
        <v>12</v>
      </c>
      <c r="I1466" t="s">
        <v>50</v>
      </c>
      <c r="J1466" s="2">
        <f>INDEX(Positions!$A:$A,MATCH(E1466,Positions!$B:$B,0))</f>
        <v>97</v>
      </c>
      <c r="K1466" s="2">
        <f>INDEX(Locations!$A:$A,MATCH(I1466,Locations!$B:$B,0))</f>
        <v>1</v>
      </c>
    </row>
    <row r="1467" spans="1:11" x14ac:dyDescent="0.2">
      <c r="A1467" s="3">
        <v>1466</v>
      </c>
      <c r="B1467" t="s">
        <v>402</v>
      </c>
      <c r="C1467" t="s">
        <v>224</v>
      </c>
      <c r="D1467" s="1">
        <v>30828</v>
      </c>
      <c r="E1467" t="s">
        <v>2144</v>
      </c>
      <c r="F1467">
        <v>6</v>
      </c>
      <c r="G1467" t="s">
        <v>2145</v>
      </c>
      <c r="H1467" s="2">
        <v>1465</v>
      </c>
      <c r="I1467" t="s">
        <v>92</v>
      </c>
      <c r="J1467" s="2">
        <f>INDEX(Positions!$A:$A,MATCH(E1467,Positions!$B:$B,0))</f>
        <v>82</v>
      </c>
      <c r="K1467" s="2">
        <f>INDEX(Locations!$A:$A,MATCH(I1467,Locations!$B:$B,0))</f>
        <v>6</v>
      </c>
    </row>
    <row r="1468" spans="1:11" x14ac:dyDescent="0.2">
      <c r="A1468" s="3">
        <v>1467</v>
      </c>
      <c r="B1468" t="s">
        <v>204</v>
      </c>
      <c r="C1468" t="s">
        <v>624</v>
      </c>
      <c r="D1468" s="1">
        <v>34884</v>
      </c>
      <c r="E1468" t="s">
        <v>2146</v>
      </c>
      <c r="F1468">
        <v>1</v>
      </c>
      <c r="G1468" t="s">
        <v>2147</v>
      </c>
      <c r="H1468" s="2">
        <v>1465</v>
      </c>
      <c r="I1468" t="s">
        <v>92</v>
      </c>
      <c r="J1468" s="2">
        <f>INDEX(Positions!$A:$A,MATCH(E1468,Positions!$B:$B,0))</f>
        <v>2</v>
      </c>
      <c r="K1468" s="2">
        <f>INDEX(Locations!$A:$A,MATCH(I1468,Locations!$B:$B,0))</f>
        <v>6</v>
      </c>
    </row>
    <row r="1469" spans="1:11" x14ac:dyDescent="0.2">
      <c r="A1469" s="3">
        <v>1468</v>
      </c>
      <c r="B1469" t="s">
        <v>293</v>
      </c>
      <c r="C1469" t="s">
        <v>290</v>
      </c>
      <c r="D1469" s="1">
        <v>36359</v>
      </c>
      <c r="E1469" t="s">
        <v>2148</v>
      </c>
      <c r="F1469">
        <v>1</v>
      </c>
      <c r="G1469" t="s">
        <v>2149</v>
      </c>
      <c r="H1469" s="2">
        <v>1465</v>
      </c>
      <c r="I1469" t="s">
        <v>50</v>
      </c>
      <c r="J1469" s="2">
        <f>INDEX(Positions!$A:$A,MATCH(E1469,Positions!$B:$B,0))</f>
        <v>3</v>
      </c>
      <c r="K1469" s="2">
        <f>INDEX(Locations!$A:$A,MATCH(I1469,Locations!$B:$B,0))</f>
        <v>1</v>
      </c>
    </row>
    <row r="1470" spans="1:11" x14ac:dyDescent="0.2">
      <c r="A1470" s="3">
        <v>1469</v>
      </c>
      <c r="B1470" t="s">
        <v>452</v>
      </c>
      <c r="C1470" t="s">
        <v>255</v>
      </c>
      <c r="D1470" s="1">
        <v>36068</v>
      </c>
      <c r="E1470" t="s">
        <v>2148</v>
      </c>
      <c r="F1470">
        <v>1</v>
      </c>
      <c r="G1470" t="s">
        <v>2150</v>
      </c>
      <c r="H1470" s="2">
        <v>1472</v>
      </c>
      <c r="I1470" t="s">
        <v>92</v>
      </c>
      <c r="J1470" s="2">
        <f>INDEX(Positions!$A:$A,MATCH(E1470,Positions!$B:$B,0))</f>
        <v>3</v>
      </c>
      <c r="K1470" s="2">
        <f>INDEX(Locations!$A:$A,MATCH(I1470,Locations!$B:$B,0))</f>
        <v>6</v>
      </c>
    </row>
    <row r="1471" spans="1:11" x14ac:dyDescent="0.2">
      <c r="A1471" s="3">
        <v>1470</v>
      </c>
      <c r="B1471" t="s">
        <v>125</v>
      </c>
      <c r="C1471" t="s">
        <v>304</v>
      </c>
      <c r="D1471" s="1">
        <v>37717</v>
      </c>
      <c r="E1471" t="s">
        <v>2151</v>
      </c>
      <c r="F1471">
        <v>3</v>
      </c>
      <c r="G1471" t="s">
        <v>2152</v>
      </c>
      <c r="H1471" s="2">
        <v>1472</v>
      </c>
      <c r="I1471" t="s">
        <v>50</v>
      </c>
      <c r="J1471" s="2">
        <f>INDEX(Positions!$A:$A,MATCH(E1471,Positions!$B:$B,0))</f>
        <v>42</v>
      </c>
      <c r="K1471" s="2">
        <f>INDEX(Locations!$A:$A,MATCH(I1471,Locations!$B:$B,0))</f>
        <v>1</v>
      </c>
    </row>
    <row r="1472" spans="1:11" x14ac:dyDescent="0.2">
      <c r="A1472" s="3">
        <v>1471</v>
      </c>
      <c r="B1472" t="s">
        <v>269</v>
      </c>
      <c r="C1472" t="s">
        <v>68</v>
      </c>
      <c r="D1472" s="1">
        <v>34819</v>
      </c>
      <c r="E1472" t="s">
        <v>2153</v>
      </c>
      <c r="F1472">
        <v>3</v>
      </c>
      <c r="G1472" t="s">
        <v>2154</v>
      </c>
      <c r="H1472" s="2">
        <v>1472</v>
      </c>
      <c r="I1472" t="s">
        <v>50</v>
      </c>
      <c r="J1472" s="2">
        <f>INDEX(Positions!$A:$A,MATCH(E1472,Positions!$B:$B,0))</f>
        <v>41</v>
      </c>
      <c r="K1472" s="2">
        <f>INDEX(Locations!$A:$A,MATCH(I1472,Locations!$B:$B,0))</f>
        <v>1</v>
      </c>
    </row>
    <row r="1473" spans="1:11" x14ac:dyDescent="0.2">
      <c r="A1473" s="3">
        <v>1472</v>
      </c>
      <c r="B1473" t="s">
        <v>358</v>
      </c>
      <c r="C1473" t="s">
        <v>521</v>
      </c>
      <c r="D1473" s="1">
        <v>32371</v>
      </c>
      <c r="E1473" t="s">
        <v>2155</v>
      </c>
      <c r="F1473">
        <v>5</v>
      </c>
      <c r="G1473" t="s">
        <v>2156</v>
      </c>
      <c r="H1473" s="2">
        <v>1466</v>
      </c>
      <c r="I1473" t="s">
        <v>92</v>
      </c>
      <c r="J1473" s="2">
        <f>INDEX(Positions!$A:$A,MATCH(E1473,Positions!$B:$B,0))</f>
        <v>71</v>
      </c>
      <c r="K1473" s="2">
        <f>INDEX(Locations!$A:$A,MATCH(I1473,Locations!$B:$B,0))</f>
        <v>6</v>
      </c>
    </row>
    <row r="1474" spans="1:11" x14ac:dyDescent="0.2">
      <c r="A1474" s="3">
        <v>1473</v>
      </c>
      <c r="B1474" t="s">
        <v>444</v>
      </c>
      <c r="C1474" t="s">
        <v>136</v>
      </c>
      <c r="D1474" s="1">
        <v>33749</v>
      </c>
      <c r="E1474" t="s">
        <v>2157</v>
      </c>
      <c r="F1474">
        <v>3</v>
      </c>
      <c r="G1474" t="s">
        <v>2158</v>
      </c>
      <c r="H1474" s="2">
        <v>1472</v>
      </c>
      <c r="I1474" t="s">
        <v>50</v>
      </c>
      <c r="J1474" s="2">
        <f>INDEX(Positions!$A:$A,MATCH(E1474,Positions!$B:$B,0))</f>
        <v>36</v>
      </c>
      <c r="K1474" s="2">
        <f>INDEX(Locations!$A:$A,MATCH(I1474,Locations!$B:$B,0))</f>
        <v>1</v>
      </c>
    </row>
    <row r="1475" spans="1:11" x14ac:dyDescent="0.2">
      <c r="A1475" s="3">
        <v>1474</v>
      </c>
      <c r="B1475" t="s">
        <v>396</v>
      </c>
      <c r="C1475" t="s">
        <v>254</v>
      </c>
      <c r="D1475" s="1">
        <v>37197</v>
      </c>
      <c r="E1475" t="s">
        <v>2148</v>
      </c>
      <c r="F1475">
        <v>1</v>
      </c>
      <c r="G1475" t="s">
        <v>2159</v>
      </c>
      <c r="H1475" s="2">
        <v>1472</v>
      </c>
      <c r="I1475" t="s">
        <v>92</v>
      </c>
      <c r="J1475" s="2">
        <f>INDEX(Positions!$A:$A,MATCH(E1475,Positions!$B:$B,0))</f>
        <v>3</v>
      </c>
      <c r="K1475" s="2">
        <f>INDEX(Locations!$A:$A,MATCH(I1475,Locations!$B:$B,0))</f>
        <v>6</v>
      </c>
    </row>
    <row r="1476" spans="1:11" x14ac:dyDescent="0.2">
      <c r="A1476" s="3">
        <v>1475</v>
      </c>
      <c r="B1476" t="s">
        <v>235</v>
      </c>
      <c r="C1476" t="s">
        <v>375</v>
      </c>
      <c r="D1476" s="1">
        <v>32704</v>
      </c>
      <c r="E1476" t="s">
        <v>2153</v>
      </c>
      <c r="F1476">
        <v>3</v>
      </c>
      <c r="G1476" t="s">
        <v>2160</v>
      </c>
      <c r="H1476" s="2">
        <v>1472</v>
      </c>
      <c r="I1476" t="s">
        <v>92</v>
      </c>
      <c r="J1476" s="2">
        <f>INDEX(Positions!$A:$A,MATCH(E1476,Positions!$B:$B,0))</f>
        <v>41</v>
      </c>
      <c r="K1476" s="2">
        <f>INDEX(Locations!$A:$A,MATCH(I1476,Locations!$B:$B,0))</f>
        <v>6</v>
      </c>
    </row>
    <row r="1477" spans="1:11" x14ac:dyDescent="0.2">
      <c r="A1477" s="3">
        <v>1476</v>
      </c>
      <c r="B1477" t="s">
        <v>343</v>
      </c>
      <c r="C1477" t="s">
        <v>1055</v>
      </c>
      <c r="D1477" s="1">
        <v>35444</v>
      </c>
      <c r="E1477" t="s">
        <v>2161</v>
      </c>
      <c r="F1477">
        <v>2</v>
      </c>
      <c r="G1477" t="s">
        <v>2162</v>
      </c>
      <c r="H1477" s="2">
        <v>1482</v>
      </c>
      <c r="I1477" t="s">
        <v>50</v>
      </c>
      <c r="J1477" s="2">
        <f>INDEX(Positions!$A:$A,MATCH(E1477,Positions!$B:$B,0))</f>
        <v>24</v>
      </c>
      <c r="K1477" s="2">
        <f>INDEX(Locations!$A:$A,MATCH(I1477,Locations!$B:$B,0))</f>
        <v>1</v>
      </c>
    </row>
    <row r="1478" spans="1:11" x14ac:dyDescent="0.2">
      <c r="A1478" s="3">
        <v>1477</v>
      </c>
      <c r="B1478" t="s">
        <v>274</v>
      </c>
      <c r="C1478" t="s">
        <v>222</v>
      </c>
      <c r="D1478" s="1">
        <v>34103</v>
      </c>
      <c r="E1478" t="s">
        <v>2151</v>
      </c>
      <c r="F1478">
        <v>3</v>
      </c>
      <c r="G1478" t="s">
        <v>2163</v>
      </c>
      <c r="H1478" s="2">
        <v>1472</v>
      </c>
      <c r="I1478" t="s">
        <v>92</v>
      </c>
      <c r="J1478" s="2">
        <f>INDEX(Positions!$A:$A,MATCH(E1478,Positions!$B:$B,0))</f>
        <v>42</v>
      </c>
      <c r="K1478" s="2">
        <f>INDEX(Locations!$A:$A,MATCH(I1478,Locations!$B:$B,0))</f>
        <v>6</v>
      </c>
    </row>
    <row r="1479" spans="1:11" x14ac:dyDescent="0.2">
      <c r="A1479" s="3">
        <v>1478</v>
      </c>
      <c r="B1479" t="s">
        <v>351</v>
      </c>
      <c r="C1479" t="s">
        <v>388</v>
      </c>
      <c r="D1479" s="1">
        <v>34834</v>
      </c>
      <c r="E1479" t="s">
        <v>2146</v>
      </c>
      <c r="F1479">
        <v>1</v>
      </c>
      <c r="G1479" t="s">
        <v>2164</v>
      </c>
      <c r="H1479" s="2">
        <v>1482</v>
      </c>
      <c r="I1479" t="s">
        <v>50</v>
      </c>
      <c r="J1479" s="2">
        <f>INDEX(Positions!$A:$A,MATCH(E1479,Positions!$B:$B,0))</f>
        <v>2</v>
      </c>
      <c r="K1479" s="2">
        <f>INDEX(Locations!$A:$A,MATCH(I1479,Locations!$B:$B,0))</f>
        <v>1</v>
      </c>
    </row>
    <row r="1480" spans="1:11" x14ac:dyDescent="0.2">
      <c r="A1480" s="3">
        <v>1479</v>
      </c>
      <c r="B1480" t="s">
        <v>114</v>
      </c>
      <c r="C1480" t="s">
        <v>280</v>
      </c>
      <c r="D1480" s="1">
        <v>30072</v>
      </c>
      <c r="E1480" t="s">
        <v>2144</v>
      </c>
      <c r="F1480">
        <v>6</v>
      </c>
      <c r="G1480" t="s">
        <v>2165</v>
      </c>
      <c r="H1480" s="2">
        <v>1465</v>
      </c>
      <c r="I1480" t="s">
        <v>50</v>
      </c>
      <c r="J1480" s="2">
        <f>INDEX(Positions!$A:$A,MATCH(E1480,Positions!$B:$B,0))</f>
        <v>82</v>
      </c>
      <c r="K1480" s="2">
        <f>INDEX(Locations!$A:$A,MATCH(I1480,Locations!$B:$B,0))</f>
        <v>1</v>
      </c>
    </row>
    <row r="1481" spans="1:11" x14ac:dyDescent="0.2">
      <c r="A1481" s="3">
        <v>1480</v>
      </c>
      <c r="B1481" t="s">
        <v>194</v>
      </c>
      <c r="C1481" t="s">
        <v>320</v>
      </c>
      <c r="D1481" s="1">
        <v>36633</v>
      </c>
      <c r="E1481" t="s">
        <v>2151</v>
      </c>
      <c r="F1481">
        <v>3</v>
      </c>
      <c r="G1481" t="s">
        <v>2166</v>
      </c>
      <c r="H1481" s="2">
        <v>1472</v>
      </c>
      <c r="I1481" t="s">
        <v>92</v>
      </c>
      <c r="J1481" s="2">
        <f>INDEX(Positions!$A:$A,MATCH(E1481,Positions!$B:$B,0))</f>
        <v>42</v>
      </c>
      <c r="K1481" s="2">
        <f>INDEX(Locations!$A:$A,MATCH(I1481,Locations!$B:$B,0))</f>
        <v>6</v>
      </c>
    </row>
    <row r="1482" spans="1:11" x14ac:dyDescent="0.2">
      <c r="A1482" s="3">
        <v>1481</v>
      </c>
      <c r="B1482" t="s">
        <v>63</v>
      </c>
      <c r="C1482" t="s">
        <v>87</v>
      </c>
      <c r="D1482" s="1">
        <v>38234</v>
      </c>
      <c r="E1482" t="s">
        <v>2146</v>
      </c>
      <c r="F1482">
        <v>1</v>
      </c>
      <c r="G1482" t="s">
        <v>2167</v>
      </c>
      <c r="H1482" s="2">
        <v>1472</v>
      </c>
      <c r="I1482" t="s">
        <v>92</v>
      </c>
      <c r="J1482" s="2">
        <f>INDEX(Positions!$A:$A,MATCH(E1482,Positions!$B:$B,0))</f>
        <v>2</v>
      </c>
      <c r="K1482" s="2">
        <f>INDEX(Locations!$A:$A,MATCH(I1482,Locations!$B:$B,0))</f>
        <v>6</v>
      </c>
    </row>
    <row r="1483" spans="1:11" x14ac:dyDescent="0.2">
      <c r="A1483" s="3">
        <v>1482</v>
      </c>
      <c r="B1483" t="s">
        <v>246</v>
      </c>
      <c r="C1483" t="s">
        <v>113</v>
      </c>
      <c r="D1483" s="1">
        <v>33091</v>
      </c>
      <c r="E1483" t="s">
        <v>2155</v>
      </c>
      <c r="F1483">
        <v>5</v>
      </c>
      <c r="G1483" t="s">
        <v>2168</v>
      </c>
      <c r="H1483" s="2">
        <v>1479</v>
      </c>
      <c r="I1483" t="s">
        <v>50</v>
      </c>
      <c r="J1483" s="2">
        <f>INDEX(Positions!$A:$A,MATCH(E1483,Positions!$B:$B,0))</f>
        <v>71</v>
      </c>
      <c r="K1483" s="2">
        <f>INDEX(Locations!$A:$A,MATCH(I1483,Locations!$B:$B,0))</f>
        <v>1</v>
      </c>
    </row>
    <row r="1484" spans="1:11" x14ac:dyDescent="0.2">
      <c r="A1484" s="3">
        <v>1483</v>
      </c>
      <c r="B1484" t="s">
        <v>452</v>
      </c>
      <c r="C1484" t="s">
        <v>64</v>
      </c>
      <c r="D1484" s="1">
        <v>33862</v>
      </c>
      <c r="E1484" t="s">
        <v>2151</v>
      </c>
      <c r="F1484">
        <v>3</v>
      </c>
      <c r="G1484" t="s">
        <v>2169</v>
      </c>
      <c r="H1484" s="2">
        <v>1482</v>
      </c>
      <c r="I1484" t="s">
        <v>50</v>
      </c>
      <c r="J1484" s="2">
        <f>INDEX(Positions!$A:$A,MATCH(E1484,Positions!$B:$B,0))</f>
        <v>42</v>
      </c>
      <c r="K1484" s="2">
        <f>INDEX(Locations!$A:$A,MATCH(I1484,Locations!$B:$B,0))</f>
        <v>1</v>
      </c>
    </row>
    <row r="1485" spans="1:11" x14ac:dyDescent="0.2">
      <c r="A1485" s="3">
        <v>1484</v>
      </c>
      <c r="B1485" t="s">
        <v>406</v>
      </c>
      <c r="C1485" t="s">
        <v>247</v>
      </c>
      <c r="D1485" s="1">
        <v>37437</v>
      </c>
      <c r="E1485" t="s">
        <v>2146</v>
      </c>
      <c r="F1485">
        <v>1</v>
      </c>
      <c r="G1485" t="s">
        <v>2170</v>
      </c>
      <c r="H1485" s="2">
        <v>1482</v>
      </c>
      <c r="I1485" t="s">
        <v>50</v>
      </c>
      <c r="J1485" s="2">
        <f>INDEX(Positions!$A:$A,MATCH(E1485,Positions!$B:$B,0))</f>
        <v>2</v>
      </c>
      <c r="K1485" s="2">
        <f>INDEX(Locations!$A:$A,MATCH(I1485,Locations!$B:$B,0))</f>
        <v>1</v>
      </c>
    </row>
    <row r="1486" spans="1:11" x14ac:dyDescent="0.2">
      <c r="A1486" s="3">
        <v>1485</v>
      </c>
      <c r="B1486" t="s">
        <v>159</v>
      </c>
      <c r="C1486" t="s">
        <v>440</v>
      </c>
      <c r="D1486" s="1">
        <v>34391</v>
      </c>
      <c r="E1486" t="s">
        <v>2151</v>
      </c>
      <c r="F1486">
        <v>3</v>
      </c>
      <c r="G1486" t="s">
        <v>2171</v>
      </c>
      <c r="H1486" s="2">
        <v>1482</v>
      </c>
      <c r="I1486" t="s">
        <v>50</v>
      </c>
      <c r="J1486" s="2">
        <f>INDEX(Positions!$A:$A,MATCH(E1486,Positions!$B:$B,0))</f>
        <v>42</v>
      </c>
      <c r="K1486" s="2">
        <f>INDEX(Locations!$A:$A,MATCH(I1486,Locations!$B:$B,0))</f>
        <v>1</v>
      </c>
    </row>
    <row r="1487" spans="1:11" x14ac:dyDescent="0.2">
      <c r="A1487" s="3">
        <v>1486</v>
      </c>
      <c r="B1487" t="s">
        <v>441</v>
      </c>
      <c r="C1487" t="s">
        <v>240</v>
      </c>
      <c r="D1487" s="1">
        <v>39117</v>
      </c>
      <c r="E1487" t="s">
        <v>2148</v>
      </c>
      <c r="F1487">
        <v>1</v>
      </c>
      <c r="G1487" t="s">
        <v>2172</v>
      </c>
      <c r="H1487" s="2">
        <v>1482</v>
      </c>
      <c r="I1487" t="s">
        <v>233</v>
      </c>
      <c r="J1487" s="2">
        <f>INDEX(Positions!$A:$A,MATCH(E1487,Positions!$B:$B,0))</f>
        <v>3</v>
      </c>
      <c r="K1487" s="2">
        <f>INDEX(Locations!$A:$A,MATCH(I1487,Locations!$B:$B,0))</f>
        <v>11</v>
      </c>
    </row>
    <row r="1488" spans="1:11" x14ac:dyDescent="0.2">
      <c r="A1488" s="3">
        <v>1487</v>
      </c>
      <c r="B1488" t="s">
        <v>159</v>
      </c>
      <c r="C1488" t="s">
        <v>225</v>
      </c>
      <c r="D1488" s="1">
        <v>33358</v>
      </c>
      <c r="E1488" t="s">
        <v>2151</v>
      </c>
      <c r="F1488">
        <v>3</v>
      </c>
      <c r="G1488" t="s">
        <v>2173</v>
      </c>
      <c r="H1488" s="2">
        <v>1472</v>
      </c>
      <c r="I1488" t="s">
        <v>92</v>
      </c>
      <c r="J1488" s="2">
        <f>INDEX(Positions!$A:$A,MATCH(E1488,Positions!$B:$B,0))</f>
        <v>42</v>
      </c>
      <c r="K1488" s="2">
        <f>INDEX(Locations!$A:$A,MATCH(I1488,Locations!$B:$B,0))</f>
        <v>6</v>
      </c>
    </row>
    <row r="1489" spans="1:11" x14ac:dyDescent="0.2">
      <c r="A1489" s="3">
        <v>1488</v>
      </c>
      <c r="B1489" t="s">
        <v>546</v>
      </c>
      <c r="C1489" t="s">
        <v>518</v>
      </c>
      <c r="D1489" s="1">
        <v>34128</v>
      </c>
      <c r="E1489" t="s">
        <v>2151</v>
      </c>
      <c r="F1489">
        <v>3</v>
      </c>
      <c r="G1489" t="s">
        <v>2174</v>
      </c>
      <c r="H1489" s="2">
        <v>1472</v>
      </c>
      <c r="I1489" t="s">
        <v>92</v>
      </c>
      <c r="J1489" s="2">
        <f>INDEX(Positions!$A:$A,MATCH(E1489,Positions!$B:$B,0))</f>
        <v>42</v>
      </c>
      <c r="K1489" s="2">
        <f>INDEX(Locations!$A:$A,MATCH(I1489,Locations!$B:$B,0))</f>
        <v>6</v>
      </c>
    </row>
    <row r="1490" spans="1:11" x14ac:dyDescent="0.2">
      <c r="A1490" s="3">
        <v>1489</v>
      </c>
      <c r="B1490" t="s">
        <v>515</v>
      </c>
      <c r="C1490" t="s">
        <v>560</v>
      </c>
      <c r="D1490" s="1">
        <v>38377</v>
      </c>
      <c r="E1490" t="s">
        <v>2146</v>
      </c>
      <c r="F1490">
        <v>1</v>
      </c>
      <c r="G1490" t="s">
        <v>2175</v>
      </c>
      <c r="H1490" s="2">
        <v>1472</v>
      </c>
      <c r="I1490" t="s">
        <v>92</v>
      </c>
      <c r="J1490" s="2">
        <f>INDEX(Positions!$A:$A,MATCH(E1490,Positions!$B:$B,0))</f>
        <v>2</v>
      </c>
      <c r="K1490" s="2">
        <f>INDEX(Locations!$A:$A,MATCH(I1490,Locations!$B:$B,0))</f>
        <v>6</v>
      </c>
    </row>
    <row r="1491" spans="1:11" x14ac:dyDescent="0.2">
      <c r="A1491" s="3">
        <v>1490</v>
      </c>
      <c r="B1491" t="s">
        <v>494</v>
      </c>
      <c r="C1491" t="s">
        <v>438</v>
      </c>
      <c r="D1491" s="1">
        <v>36592</v>
      </c>
      <c r="E1491" t="s">
        <v>2157</v>
      </c>
      <c r="F1491">
        <v>3</v>
      </c>
      <c r="G1491" t="s">
        <v>2176</v>
      </c>
      <c r="H1491" s="2">
        <v>1472</v>
      </c>
      <c r="I1491" t="s">
        <v>92</v>
      </c>
      <c r="J1491" s="2">
        <f>INDEX(Positions!$A:$A,MATCH(E1491,Positions!$B:$B,0))</f>
        <v>36</v>
      </c>
      <c r="K1491" s="2">
        <f>INDEX(Locations!$A:$A,MATCH(I1491,Locations!$B:$B,0))</f>
        <v>6</v>
      </c>
    </row>
    <row r="1492" spans="1:11" x14ac:dyDescent="0.2">
      <c r="A1492" s="3">
        <v>1491</v>
      </c>
      <c r="B1492" t="s">
        <v>385</v>
      </c>
      <c r="C1492" t="s">
        <v>457</v>
      </c>
      <c r="D1492" s="1">
        <v>36427</v>
      </c>
      <c r="E1492" t="s">
        <v>2161</v>
      </c>
      <c r="F1492">
        <v>2</v>
      </c>
      <c r="G1492" t="s">
        <v>2177</v>
      </c>
      <c r="H1492" s="2">
        <v>1472</v>
      </c>
      <c r="I1492" t="s">
        <v>92</v>
      </c>
      <c r="J1492" s="2">
        <f>INDEX(Positions!$A:$A,MATCH(E1492,Positions!$B:$B,0))</f>
        <v>24</v>
      </c>
      <c r="K1492" s="2">
        <f>INDEX(Locations!$A:$A,MATCH(I1492,Locations!$B:$B,0))</f>
        <v>6</v>
      </c>
    </row>
    <row r="1493" spans="1:11" x14ac:dyDescent="0.2">
      <c r="A1493" s="3">
        <v>1492</v>
      </c>
      <c r="B1493" t="s">
        <v>200</v>
      </c>
      <c r="C1493" t="s">
        <v>350</v>
      </c>
      <c r="D1493" s="1">
        <v>35727</v>
      </c>
      <c r="E1493" t="s">
        <v>2161</v>
      </c>
      <c r="F1493">
        <v>2</v>
      </c>
      <c r="G1493" t="s">
        <v>2178</v>
      </c>
      <c r="H1493" s="2">
        <v>1482</v>
      </c>
      <c r="I1493" t="s">
        <v>50</v>
      </c>
      <c r="J1493" s="2">
        <f>INDEX(Positions!$A:$A,MATCH(E1493,Positions!$B:$B,0))</f>
        <v>24</v>
      </c>
      <c r="K1493" s="2">
        <f>INDEX(Locations!$A:$A,MATCH(I1493,Locations!$B:$B,0))</f>
        <v>1</v>
      </c>
    </row>
    <row r="1494" spans="1:11" x14ac:dyDescent="0.2">
      <c r="A1494" s="3">
        <v>1493</v>
      </c>
      <c r="B1494" t="s">
        <v>477</v>
      </c>
      <c r="C1494" t="s">
        <v>1668</v>
      </c>
      <c r="D1494" s="1">
        <v>31146</v>
      </c>
      <c r="E1494" t="s">
        <v>2144</v>
      </c>
      <c r="F1494">
        <v>6</v>
      </c>
      <c r="G1494" t="s">
        <v>2179</v>
      </c>
      <c r="H1494" s="2">
        <v>1465</v>
      </c>
      <c r="I1494" t="s">
        <v>89</v>
      </c>
      <c r="J1494" s="2">
        <f>INDEX(Positions!$A:$A,MATCH(E1494,Positions!$B:$B,0))</f>
        <v>82</v>
      </c>
      <c r="K1494" s="2">
        <f>INDEX(Locations!$A:$A,MATCH(I1494,Locations!$B:$B,0))</f>
        <v>8</v>
      </c>
    </row>
    <row r="1495" spans="1:11" x14ac:dyDescent="0.2">
      <c r="A1495" s="3">
        <v>1494</v>
      </c>
      <c r="B1495" t="s">
        <v>358</v>
      </c>
      <c r="C1495" t="s">
        <v>166</v>
      </c>
      <c r="D1495" s="1">
        <v>34347</v>
      </c>
      <c r="E1495" t="s">
        <v>2151</v>
      </c>
      <c r="F1495">
        <v>3</v>
      </c>
      <c r="G1495" t="s">
        <v>2180</v>
      </c>
      <c r="H1495" s="2">
        <v>1482</v>
      </c>
      <c r="I1495" t="s">
        <v>233</v>
      </c>
      <c r="J1495" s="2">
        <f>INDEX(Positions!$A:$A,MATCH(E1495,Positions!$B:$B,0))</f>
        <v>42</v>
      </c>
      <c r="K1495" s="2">
        <f>INDEX(Locations!$A:$A,MATCH(I1495,Locations!$B:$B,0))</f>
        <v>11</v>
      </c>
    </row>
    <row r="1496" spans="1:11" x14ac:dyDescent="0.2">
      <c r="A1496" s="3">
        <v>1495</v>
      </c>
      <c r="B1496" t="s">
        <v>426</v>
      </c>
      <c r="C1496" t="s">
        <v>442</v>
      </c>
      <c r="D1496" s="1">
        <v>39179</v>
      </c>
      <c r="E1496" t="s">
        <v>2148</v>
      </c>
      <c r="F1496">
        <v>1</v>
      </c>
      <c r="G1496" t="s">
        <v>2181</v>
      </c>
      <c r="H1496" s="2">
        <v>1482</v>
      </c>
      <c r="I1496" t="s">
        <v>50</v>
      </c>
      <c r="J1496" s="2">
        <f>INDEX(Positions!$A:$A,MATCH(E1496,Positions!$B:$B,0))</f>
        <v>3</v>
      </c>
      <c r="K1496" s="2">
        <f>INDEX(Locations!$A:$A,MATCH(I1496,Locations!$B:$B,0))</f>
        <v>1</v>
      </c>
    </row>
    <row r="1497" spans="1:11" x14ac:dyDescent="0.2">
      <c r="A1497" s="3">
        <v>1496</v>
      </c>
      <c r="B1497" t="s">
        <v>159</v>
      </c>
      <c r="C1497" t="s">
        <v>128</v>
      </c>
      <c r="D1497" s="1">
        <v>34225</v>
      </c>
      <c r="E1497" t="s">
        <v>2155</v>
      </c>
      <c r="F1497">
        <v>5</v>
      </c>
      <c r="G1497" t="s">
        <v>2182</v>
      </c>
      <c r="H1497" s="2">
        <v>1479</v>
      </c>
      <c r="I1497" t="s">
        <v>50</v>
      </c>
      <c r="J1497" s="2">
        <f>INDEX(Positions!$A:$A,MATCH(E1497,Positions!$B:$B,0))</f>
        <v>71</v>
      </c>
      <c r="K1497" s="2">
        <f>INDEX(Locations!$A:$A,MATCH(I1497,Locations!$B:$B,0))</f>
        <v>1</v>
      </c>
    </row>
    <row r="1498" spans="1:11" x14ac:dyDescent="0.2">
      <c r="A1498" s="3">
        <v>1497</v>
      </c>
      <c r="B1498" t="s">
        <v>452</v>
      </c>
      <c r="C1498" t="s">
        <v>496</v>
      </c>
      <c r="D1498" s="1">
        <v>32728</v>
      </c>
      <c r="E1498" t="s">
        <v>2155</v>
      </c>
      <c r="F1498">
        <v>5</v>
      </c>
      <c r="G1498" t="s">
        <v>2183</v>
      </c>
      <c r="H1498" s="2">
        <v>1493</v>
      </c>
      <c r="I1498" t="s">
        <v>89</v>
      </c>
      <c r="J1498" s="2">
        <f>INDEX(Positions!$A:$A,MATCH(E1498,Positions!$B:$B,0))</f>
        <v>71</v>
      </c>
      <c r="K1498" s="2">
        <f>INDEX(Locations!$A:$A,MATCH(I1498,Locations!$B:$B,0))</f>
        <v>8</v>
      </c>
    </row>
    <row r="1499" spans="1:11" x14ac:dyDescent="0.2">
      <c r="A1499" s="3">
        <v>1498</v>
      </c>
      <c r="B1499" t="s">
        <v>435</v>
      </c>
      <c r="C1499" t="s">
        <v>350</v>
      </c>
      <c r="D1499" s="1">
        <v>32753</v>
      </c>
      <c r="E1499" t="s">
        <v>2157</v>
      </c>
      <c r="F1499">
        <v>3</v>
      </c>
      <c r="G1499" t="s">
        <v>2184</v>
      </c>
      <c r="H1499" s="2">
        <v>1496</v>
      </c>
      <c r="I1499" t="s">
        <v>50</v>
      </c>
      <c r="J1499" s="2">
        <f>INDEX(Positions!$A:$A,MATCH(E1499,Positions!$B:$B,0))</f>
        <v>36</v>
      </c>
      <c r="K1499" s="2">
        <f>INDEX(Locations!$A:$A,MATCH(I1499,Locations!$B:$B,0))</f>
        <v>1</v>
      </c>
    </row>
    <row r="1500" spans="1:11" x14ac:dyDescent="0.2">
      <c r="A1500" s="3">
        <v>1499</v>
      </c>
      <c r="B1500" t="s">
        <v>428</v>
      </c>
      <c r="C1500" t="s">
        <v>158</v>
      </c>
      <c r="D1500" s="1">
        <v>39441</v>
      </c>
      <c r="E1500" t="s">
        <v>2146</v>
      </c>
      <c r="F1500">
        <v>1</v>
      </c>
      <c r="G1500" t="s">
        <v>2185</v>
      </c>
      <c r="H1500" s="2">
        <v>1496</v>
      </c>
      <c r="I1500" t="s">
        <v>50</v>
      </c>
      <c r="J1500" s="2">
        <f>INDEX(Positions!$A:$A,MATCH(E1500,Positions!$B:$B,0))</f>
        <v>2</v>
      </c>
      <c r="K1500" s="2">
        <f>INDEX(Locations!$A:$A,MATCH(I1500,Locations!$B:$B,0))</f>
        <v>1</v>
      </c>
    </row>
    <row r="1501" spans="1:11" x14ac:dyDescent="0.2">
      <c r="A1501" s="3">
        <v>1500</v>
      </c>
      <c r="B1501" t="s">
        <v>370</v>
      </c>
      <c r="C1501" t="s">
        <v>425</v>
      </c>
      <c r="D1501" s="1">
        <v>34348</v>
      </c>
      <c r="E1501" t="s">
        <v>2161</v>
      </c>
      <c r="F1501">
        <v>2</v>
      </c>
      <c r="G1501" t="s">
        <v>2186</v>
      </c>
      <c r="H1501" s="2">
        <v>1497</v>
      </c>
      <c r="I1501" t="s">
        <v>89</v>
      </c>
      <c r="J1501" s="2">
        <f>INDEX(Positions!$A:$A,MATCH(E1501,Positions!$B:$B,0))</f>
        <v>24</v>
      </c>
      <c r="K1501" s="2">
        <f>INDEX(Locations!$A:$A,MATCH(I1501,Locations!$B:$B,0))</f>
        <v>8</v>
      </c>
    </row>
    <row r="1502" spans="1:11" x14ac:dyDescent="0.2">
      <c r="A1502" s="3">
        <v>1501</v>
      </c>
      <c r="B1502" t="s">
        <v>179</v>
      </c>
      <c r="C1502" t="s">
        <v>140</v>
      </c>
      <c r="D1502" s="1">
        <v>35433</v>
      </c>
      <c r="E1502" t="s">
        <v>2153</v>
      </c>
      <c r="F1502">
        <v>3</v>
      </c>
      <c r="G1502" t="s">
        <v>2187</v>
      </c>
      <c r="H1502" s="2">
        <v>1496</v>
      </c>
      <c r="I1502" t="s">
        <v>50</v>
      </c>
      <c r="J1502" s="2">
        <f>INDEX(Positions!$A:$A,MATCH(E1502,Positions!$B:$B,0))</f>
        <v>41</v>
      </c>
      <c r="K1502" s="2">
        <f>INDEX(Locations!$A:$A,MATCH(I1502,Locations!$B:$B,0))</f>
        <v>1</v>
      </c>
    </row>
    <row r="1503" spans="1:11" x14ac:dyDescent="0.2">
      <c r="A1503" s="3">
        <v>1502</v>
      </c>
      <c r="B1503" t="s">
        <v>346</v>
      </c>
      <c r="C1503" t="s">
        <v>94</v>
      </c>
      <c r="D1503" s="1">
        <v>33121</v>
      </c>
      <c r="E1503" t="s">
        <v>2153</v>
      </c>
      <c r="F1503">
        <v>3</v>
      </c>
      <c r="G1503" t="s">
        <v>2188</v>
      </c>
      <c r="H1503" s="2">
        <v>1497</v>
      </c>
      <c r="I1503" t="s">
        <v>89</v>
      </c>
      <c r="J1503" s="2">
        <f>INDEX(Positions!$A:$A,MATCH(E1503,Positions!$B:$B,0))</f>
        <v>41</v>
      </c>
      <c r="K1503" s="2">
        <f>INDEX(Locations!$A:$A,MATCH(I1503,Locations!$B:$B,0))</f>
        <v>8</v>
      </c>
    </row>
    <row r="1504" spans="1:11" x14ac:dyDescent="0.2">
      <c r="A1504" s="3">
        <v>1503</v>
      </c>
      <c r="B1504" t="s">
        <v>187</v>
      </c>
      <c r="C1504" t="s">
        <v>140</v>
      </c>
      <c r="D1504" s="1">
        <v>35632</v>
      </c>
      <c r="E1504" t="s">
        <v>2151</v>
      </c>
      <c r="F1504">
        <v>3</v>
      </c>
      <c r="G1504" t="s">
        <v>2189</v>
      </c>
      <c r="H1504" s="2">
        <v>1496</v>
      </c>
      <c r="I1504" t="s">
        <v>50</v>
      </c>
      <c r="J1504" s="2">
        <f>INDEX(Positions!$A:$A,MATCH(E1504,Positions!$B:$B,0))</f>
        <v>42</v>
      </c>
      <c r="K1504" s="2">
        <f>INDEX(Locations!$A:$A,MATCH(I1504,Locations!$B:$B,0))</f>
        <v>1</v>
      </c>
    </row>
    <row r="1505" spans="1:11" x14ac:dyDescent="0.2">
      <c r="A1505" s="3">
        <v>1504</v>
      </c>
      <c r="B1505" t="s">
        <v>204</v>
      </c>
      <c r="C1505" t="s">
        <v>130</v>
      </c>
      <c r="D1505" s="1">
        <v>37980</v>
      </c>
      <c r="E1505" t="s">
        <v>2146</v>
      </c>
      <c r="F1505">
        <v>1</v>
      </c>
      <c r="G1505" t="s">
        <v>2190</v>
      </c>
      <c r="H1505" s="2">
        <v>1496</v>
      </c>
      <c r="I1505" t="s">
        <v>233</v>
      </c>
      <c r="J1505" s="2">
        <f>INDEX(Positions!$A:$A,MATCH(E1505,Positions!$B:$B,0))</f>
        <v>2</v>
      </c>
      <c r="K1505" s="2">
        <f>INDEX(Locations!$A:$A,MATCH(I1505,Locations!$B:$B,0))</f>
        <v>11</v>
      </c>
    </row>
    <row r="1506" spans="1:11" x14ac:dyDescent="0.2">
      <c r="A1506" s="3">
        <v>1505</v>
      </c>
      <c r="B1506" t="s">
        <v>492</v>
      </c>
      <c r="C1506" t="s">
        <v>344</v>
      </c>
      <c r="D1506" s="1">
        <v>37353</v>
      </c>
      <c r="E1506" t="s">
        <v>2148</v>
      </c>
      <c r="F1506">
        <v>1</v>
      </c>
      <c r="G1506" t="s">
        <v>2191</v>
      </c>
      <c r="H1506" s="2">
        <v>1496</v>
      </c>
      <c r="I1506" t="s">
        <v>50</v>
      </c>
      <c r="J1506" s="2">
        <f>INDEX(Positions!$A:$A,MATCH(E1506,Positions!$B:$B,0))</f>
        <v>3</v>
      </c>
      <c r="K1506" s="2">
        <f>INDEX(Locations!$A:$A,MATCH(I1506,Locations!$B:$B,0))</f>
        <v>1</v>
      </c>
    </row>
    <row r="1507" spans="1:11" x14ac:dyDescent="0.2">
      <c r="A1507" s="3">
        <v>1506</v>
      </c>
      <c r="B1507" t="s">
        <v>345</v>
      </c>
      <c r="C1507" t="s">
        <v>347</v>
      </c>
      <c r="D1507" s="1">
        <v>39188</v>
      </c>
      <c r="E1507" t="s">
        <v>2161</v>
      </c>
      <c r="F1507">
        <v>2</v>
      </c>
      <c r="G1507" t="s">
        <v>2192</v>
      </c>
      <c r="H1507" s="2">
        <v>1496</v>
      </c>
      <c r="I1507" t="s">
        <v>50</v>
      </c>
      <c r="J1507" s="2">
        <f>INDEX(Positions!$A:$A,MATCH(E1507,Positions!$B:$B,0))</f>
        <v>24</v>
      </c>
      <c r="K1507" s="2">
        <f>INDEX(Locations!$A:$A,MATCH(I1507,Locations!$B:$B,0))</f>
        <v>1</v>
      </c>
    </row>
    <row r="1508" spans="1:11" x14ac:dyDescent="0.2">
      <c r="A1508" s="3">
        <v>1507</v>
      </c>
      <c r="B1508" t="s">
        <v>127</v>
      </c>
      <c r="C1508" t="s">
        <v>140</v>
      </c>
      <c r="D1508" s="1">
        <v>37570</v>
      </c>
      <c r="E1508" t="s">
        <v>2151</v>
      </c>
      <c r="F1508">
        <v>3</v>
      </c>
      <c r="G1508" t="s">
        <v>2193</v>
      </c>
      <c r="H1508" s="2">
        <v>1496</v>
      </c>
      <c r="I1508" t="s">
        <v>50</v>
      </c>
      <c r="J1508" s="2">
        <f>INDEX(Positions!$A:$A,MATCH(E1508,Positions!$B:$B,0))</f>
        <v>42</v>
      </c>
      <c r="K1508" s="2">
        <f>INDEX(Locations!$A:$A,MATCH(I1508,Locations!$B:$B,0))</f>
        <v>1</v>
      </c>
    </row>
    <row r="1509" spans="1:11" x14ac:dyDescent="0.2">
      <c r="A1509" s="3">
        <v>1508</v>
      </c>
      <c r="B1509" t="s">
        <v>221</v>
      </c>
      <c r="C1509" t="s">
        <v>162</v>
      </c>
      <c r="D1509" s="1">
        <v>33540</v>
      </c>
      <c r="E1509" t="s">
        <v>2157</v>
      </c>
      <c r="F1509">
        <v>3</v>
      </c>
      <c r="G1509" t="s">
        <v>2194</v>
      </c>
      <c r="H1509" s="2">
        <v>1497</v>
      </c>
      <c r="I1509" t="s">
        <v>89</v>
      </c>
      <c r="J1509" s="2">
        <f>INDEX(Positions!$A:$A,MATCH(E1509,Positions!$B:$B,0))</f>
        <v>36</v>
      </c>
      <c r="K1509" s="2">
        <f>INDEX(Locations!$A:$A,MATCH(I1509,Locations!$B:$B,0))</f>
        <v>8</v>
      </c>
    </row>
    <row r="1510" spans="1:11" x14ac:dyDescent="0.2">
      <c r="A1510" s="3">
        <v>1509</v>
      </c>
      <c r="B1510" t="s">
        <v>243</v>
      </c>
      <c r="C1510" t="s">
        <v>162</v>
      </c>
      <c r="D1510" s="1">
        <v>36342</v>
      </c>
      <c r="E1510" t="s">
        <v>2151</v>
      </c>
      <c r="F1510">
        <v>3</v>
      </c>
      <c r="G1510" t="s">
        <v>2195</v>
      </c>
      <c r="H1510" s="2">
        <v>1497</v>
      </c>
      <c r="I1510" t="s">
        <v>233</v>
      </c>
      <c r="J1510" s="2">
        <f>INDEX(Positions!$A:$A,MATCH(E1510,Positions!$B:$B,0))</f>
        <v>42</v>
      </c>
      <c r="K1510" s="2">
        <f>INDEX(Locations!$A:$A,MATCH(I1510,Locations!$B:$B,0))</f>
        <v>11</v>
      </c>
    </row>
    <row r="1511" spans="1:11" x14ac:dyDescent="0.2">
      <c r="A1511" s="3">
        <v>1510</v>
      </c>
      <c r="B1511" t="s">
        <v>110</v>
      </c>
      <c r="C1511" t="s">
        <v>292</v>
      </c>
      <c r="D1511" s="1">
        <v>34525</v>
      </c>
      <c r="E1511" t="s">
        <v>2151</v>
      </c>
      <c r="F1511">
        <v>3</v>
      </c>
      <c r="G1511" t="s">
        <v>2196</v>
      </c>
      <c r="H1511" s="2">
        <v>1497</v>
      </c>
      <c r="I1511" t="s">
        <v>89</v>
      </c>
      <c r="J1511" s="2">
        <f>INDEX(Positions!$A:$A,MATCH(E1511,Positions!$B:$B,0))</f>
        <v>42</v>
      </c>
      <c r="K1511" s="2">
        <f>INDEX(Locations!$A:$A,MATCH(I1511,Locations!$B:$B,0))</f>
        <v>8</v>
      </c>
    </row>
    <row r="1512" spans="1:11" x14ac:dyDescent="0.2">
      <c r="A1512" s="3">
        <v>1511</v>
      </c>
      <c r="B1512" t="s">
        <v>243</v>
      </c>
      <c r="C1512" t="s">
        <v>168</v>
      </c>
      <c r="D1512" s="1">
        <v>37163</v>
      </c>
      <c r="E1512" t="s">
        <v>2146</v>
      </c>
      <c r="F1512">
        <v>1</v>
      </c>
      <c r="G1512" t="s">
        <v>2197</v>
      </c>
      <c r="H1512" s="2">
        <v>1497</v>
      </c>
      <c r="I1512" t="s">
        <v>89</v>
      </c>
      <c r="J1512" s="2">
        <f>INDEX(Positions!$A:$A,MATCH(E1512,Positions!$B:$B,0))</f>
        <v>2</v>
      </c>
      <c r="K1512" s="2">
        <f>INDEX(Locations!$A:$A,MATCH(I1512,Locations!$B:$B,0))</f>
        <v>8</v>
      </c>
    </row>
    <row r="1513" spans="1:11" x14ac:dyDescent="0.2">
      <c r="A1513" s="3">
        <v>1512</v>
      </c>
      <c r="B1513" t="s">
        <v>348</v>
      </c>
      <c r="C1513" t="s">
        <v>324</v>
      </c>
      <c r="D1513" s="1">
        <v>38214</v>
      </c>
      <c r="E1513" t="s">
        <v>2148</v>
      </c>
      <c r="F1513">
        <v>1</v>
      </c>
      <c r="G1513" t="s">
        <v>2198</v>
      </c>
      <c r="H1513" s="2">
        <v>1497</v>
      </c>
      <c r="I1513" t="s">
        <v>89</v>
      </c>
      <c r="J1513" s="2">
        <f>INDEX(Positions!$A:$A,MATCH(E1513,Positions!$B:$B,0))</f>
        <v>3</v>
      </c>
      <c r="K1513" s="2">
        <f>INDEX(Locations!$A:$A,MATCH(I1513,Locations!$B:$B,0))</f>
        <v>8</v>
      </c>
    </row>
    <row r="1514" spans="1:11" x14ac:dyDescent="0.2">
      <c r="A1514" s="3">
        <v>1513</v>
      </c>
      <c r="B1514" t="s">
        <v>349</v>
      </c>
      <c r="C1514" t="s">
        <v>466</v>
      </c>
      <c r="D1514" s="1">
        <v>34025</v>
      </c>
      <c r="E1514" t="s">
        <v>2151</v>
      </c>
      <c r="F1514">
        <v>3</v>
      </c>
      <c r="G1514" t="s">
        <v>2199</v>
      </c>
      <c r="H1514" s="2">
        <v>1497</v>
      </c>
      <c r="I1514" t="s">
        <v>89</v>
      </c>
      <c r="J1514" s="2">
        <f>INDEX(Positions!$A:$A,MATCH(E1514,Positions!$B:$B,0))</f>
        <v>42</v>
      </c>
      <c r="K1514" s="2">
        <f>INDEX(Locations!$A:$A,MATCH(I1514,Locations!$B:$B,0))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511-9EEB-CD43-9F37-994B41E623F2}">
  <sheetPr>
    <tabColor rgb="FF92D050"/>
  </sheetPr>
  <dimension ref="A1:F1514"/>
  <sheetViews>
    <sheetView zoomScale="150" zoomScaleNormal="150" workbookViewId="0">
      <pane ySplit="1" topLeftCell="A187" activePane="bottomLeft" state="frozen"/>
      <selection pane="bottomLeft" activeCell="F265" sqref="F265"/>
    </sheetView>
  </sheetViews>
  <sheetFormatPr baseColWidth="10" defaultColWidth="11" defaultRowHeight="16" x14ac:dyDescent="0.2"/>
  <cols>
    <col min="1" max="1" width="12.5" bestFit="1" customWidth="1"/>
    <col min="2" max="2" width="14.83203125" bestFit="1" customWidth="1"/>
    <col min="3" max="3" width="10.5" bestFit="1" customWidth="1"/>
    <col min="4" max="4" width="10.6640625" bestFit="1" customWidth="1"/>
    <col min="5" max="5" width="8.6640625" bestFit="1" customWidth="1"/>
    <col min="6" max="6" width="18.33203125" bestFit="1" customWidth="1"/>
    <col min="7" max="7" width="7.33203125" bestFit="1" customWidth="1"/>
    <col min="8" max="8" width="14.33203125" bestFit="1" customWidth="1"/>
    <col min="9" max="9" width="10.1640625" bestFit="1" customWidth="1"/>
    <col min="10" max="10" width="10.6640625" bestFit="1" customWidth="1"/>
    <col min="11" max="11" width="7.33203125" bestFit="1" customWidth="1"/>
    <col min="12" max="12" width="12.33203125" bestFit="1" customWidth="1"/>
    <col min="13" max="13" width="7.83203125" bestFit="1" customWidth="1"/>
    <col min="14" max="14" width="9.6640625" bestFit="1" customWidth="1"/>
    <col min="15" max="15" width="7.1640625" bestFit="1" customWidth="1"/>
    <col min="16" max="16" width="6" bestFit="1" customWidth="1"/>
  </cols>
  <sheetData>
    <row r="1" spans="1:6" x14ac:dyDescent="0.2">
      <c r="A1" t="s">
        <v>0</v>
      </c>
      <c r="B1" t="s">
        <v>14</v>
      </c>
      <c r="C1" t="s">
        <v>3</v>
      </c>
      <c r="D1" t="s">
        <v>5</v>
      </c>
      <c r="E1" t="s">
        <v>10</v>
      </c>
      <c r="F1" t="s">
        <v>2287</v>
      </c>
    </row>
    <row r="2" spans="1:6" x14ac:dyDescent="0.2">
      <c r="A2" s="2">
        <v>1</v>
      </c>
      <c r="B2">
        <v>100</v>
      </c>
      <c r="C2" s="1">
        <v>43592</v>
      </c>
      <c r="D2" s="1"/>
      <c r="E2" t="s">
        <v>82</v>
      </c>
      <c r="F2" t="str">
        <f>IF(D2="","Active","Terminated")</f>
        <v>Active</v>
      </c>
    </row>
    <row r="3" spans="1:6" x14ac:dyDescent="0.2">
      <c r="A3" s="2">
        <v>2</v>
      </c>
      <c r="B3">
        <v>100</v>
      </c>
      <c r="C3" s="1">
        <v>43598</v>
      </c>
      <c r="D3" s="1"/>
      <c r="E3" t="s">
        <v>82</v>
      </c>
      <c r="F3" t="str">
        <f t="shared" ref="F3:F66" si="0">IF(D3="","Active","Terminated")</f>
        <v>Active</v>
      </c>
    </row>
    <row r="4" spans="1:6" x14ac:dyDescent="0.2">
      <c r="A4" s="2">
        <v>3</v>
      </c>
      <c r="B4">
        <v>100</v>
      </c>
      <c r="C4" s="1">
        <v>43619</v>
      </c>
      <c r="D4" s="1"/>
      <c r="E4" t="s">
        <v>82</v>
      </c>
      <c r="F4" t="str">
        <f t="shared" si="0"/>
        <v>Active</v>
      </c>
    </row>
    <row r="5" spans="1:6" x14ac:dyDescent="0.2">
      <c r="A5" s="2">
        <v>4</v>
      </c>
      <c r="B5">
        <v>100</v>
      </c>
      <c r="C5" s="1">
        <v>43633</v>
      </c>
      <c r="D5" s="1">
        <v>44071</v>
      </c>
      <c r="E5" t="s">
        <v>82</v>
      </c>
      <c r="F5" t="str">
        <f t="shared" si="0"/>
        <v>Terminated</v>
      </c>
    </row>
    <row r="6" spans="1:6" x14ac:dyDescent="0.2">
      <c r="A6" s="2">
        <v>5</v>
      </c>
      <c r="B6">
        <v>100</v>
      </c>
      <c r="C6" s="1">
        <v>43689</v>
      </c>
      <c r="D6" s="1"/>
      <c r="E6" t="s">
        <v>82</v>
      </c>
      <c r="F6" t="str">
        <f t="shared" si="0"/>
        <v>Active</v>
      </c>
    </row>
    <row r="7" spans="1:6" x14ac:dyDescent="0.2">
      <c r="A7" s="2">
        <v>6</v>
      </c>
      <c r="B7">
        <v>100</v>
      </c>
      <c r="C7" s="1">
        <v>43878</v>
      </c>
      <c r="D7" s="1"/>
      <c r="E7" t="s">
        <v>82</v>
      </c>
      <c r="F7" t="str">
        <f t="shared" si="0"/>
        <v>Active</v>
      </c>
    </row>
    <row r="8" spans="1:6" x14ac:dyDescent="0.2">
      <c r="A8" s="2">
        <v>7</v>
      </c>
      <c r="B8">
        <v>100</v>
      </c>
      <c r="C8" s="1">
        <v>43892</v>
      </c>
      <c r="D8" s="1"/>
      <c r="E8" t="s">
        <v>82</v>
      </c>
      <c r="F8" t="str">
        <f t="shared" si="0"/>
        <v>Active</v>
      </c>
    </row>
    <row r="9" spans="1:6" x14ac:dyDescent="0.2">
      <c r="A9" s="2">
        <v>8</v>
      </c>
      <c r="B9">
        <v>100</v>
      </c>
      <c r="C9" s="1">
        <v>44088</v>
      </c>
      <c r="D9" s="1"/>
      <c r="E9" t="s">
        <v>82</v>
      </c>
      <c r="F9" t="str">
        <f t="shared" si="0"/>
        <v>Active</v>
      </c>
    </row>
    <row r="10" spans="1:6" x14ac:dyDescent="0.2">
      <c r="A10" s="2">
        <v>9</v>
      </c>
      <c r="B10">
        <v>100</v>
      </c>
      <c r="C10" s="1">
        <v>44270</v>
      </c>
      <c r="D10" s="1"/>
      <c r="E10" t="s">
        <v>82</v>
      </c>
      <c r="F10" t="str">
        <f t="shared" si="0"/>
        <v>Active</v>
      </c>
    </row>
    <row r="11" spans="1:6" x14ac:dyDescent="0.2">
      <c r="A11" s="2">
        <v>10</v>
      </c>
      <c r="B11">
        <v>200</v>
      </c>
      <c r="C11" s="1">
        <v>43616</v>
      </c>
      <c r="D11" s="1">
        <v>43837</v>
      </c>
      <c r="E11" t="s">
        <v>82</v>
      </c>
      <c r="F11" t="str">
        <f t="shared" si="0"/>
        <v>Terminated</v>
      </c>
    </row>
    <row r="12" spans="1:6" x14ac:dyDescent="0.2">
      <c r="A12" s="2">
        <v>11</v>
      </c>
      <c r="B12">
        <v>200</v>
      </c>
      <c r="C12" s="1">
        <v>43640</v>
      </c>
      <c r="D12" s="1">
        <v>44306</v>
      </c>
      <c r="E12" t="s">
        <v>82</v>
      </c>
      <c r="F12" t="str">
        <f t="shared" si="0"/>
        <v>Terminated</v>
      </c>
    </row>
    <row r="13" spans="1:6" x14ac:dyDescent="0.2">
      <c r="A13" s="2">
        <v>12</v>
      </c>
      <c r="B13">
        <v>200</v>
      </c>
      <c r="C13" s="1">
        <v>43654</v>
      </c>
      <c r="D13" s="1"/>
      <c r="E13" t="s">
        <v>82</v>
      </c>
      <c r="F13" t="str">
        <f t="shared" si="0"/>
        <v>Active</v>
      </c>
    </row>
    <row r="14" spans="1:6" x14ac:dyDescent="0.2">
      <c r="A14" s="2">
        <v>13</v>
      </c>
      <c r="B14">
        <v>200</v>
      </c>
      <c r="C14" s="1">
        <v>43668</v>
      </c>
      <c r="D14" s="1">
        <v>43700</v>
      </c>
      <c r="E14" t="s">
        <v>82</v>
      </c>
      <c r="F14" t="str">
        <f t="shared" si="0"/>
        <v>Terminated</v>
      </c>
    </row>
    <row r="15" spans="1:6" x14ac:dyDescent="0.2">
      <c r="A15" s="2">
        <v>14</v>
      </c>
      <c r="B15">
        <v>200</v>
      </c>
      <c r="C15" s="1">
        <v>43668</v>
      </c>
      <c r="D15" s="1">
        <v>44438</v>
      </c>
      <c r="E15" t="s">
        <v>82</v>
      </c>
      <c r="F15" t="str">
        <f t="shared" si="0"/>
        <v>Terminated</v>
      </c>
    </row>
    <row r="16" spans="1:6" x14ac:dyDescent="0.2">
      <c r="A16" s="2">
        <v>15</v>
      </c>
      <c r="B16">
        <v>200</v>
      </c>
      <c r="C16" s="1">
        <v>43689</v>
      </c>
      <c r="D16" s="1"/>
      <c r="E16" t="s">
        <v>82</v>
      </c>
      <c r="F16" t="str">
        <f t="shared" si="0"/>
        <v>Active</v>
      </c>
    </row>
    <row r="17" spans="1:6" x14ac:dyDescent="0.2">
      <c r="A17" s="2">
        <v>16</v>
      </c>
      <c r="B17">
        <v>200</v>
      </c>
      <c r="C17" s="1">
        <v>43719</v>
      </c>
      <c r="D17" s="1">
        <v>44361</v>
      </c>
      <c r="E17" t="s">
        <v>82</v>
      </c>
      <c r="F17" t="str">
        <f t="shared" si="0"/>
        <v>Terminated</v>
      </c>
    </row>
    <row r="18" spans="1:6" x14ac:dyDescent="0.2">
      <c r="A18" s="2">
        <v>17</v>
      </c>
      <c r="B18">
        <v>200</v>
      </c>
      <c r="C18" s="1">
        <v>43719</v>
      </c>
      <c r="D18" s="1">
        <v>44536</v>
      </c>
      <c r="E18" t="s">
        <v>82</v>
      </c>
      <c r="F18" t="str">
        <f t="shared" si="0"/>
        <v>Terminated</v>
      </c>
    </row>
    <row r="19" spans="1:6" x14ac:dyDescent="0.2">
      <c r="A19" s="2">
        <v>18</v>
      </c>
      <c r="B19">
        <v>200</v>
      </c>
      <c r="C19" s="1">
        <v>43724</v>
      </c>
      <c r="D19" s="1">
        <v>44076</v>
      </c>
      <c r="E19" t="s">
        <v>82</v>
      </c>
      <c r="F19" t="str">
        <f t="shared" si="0"/>
        <v>Terminated</v>
      </c>
    </row>
    <row r="20" spans="1:6" x14ac:dyDescent="0.2">
      <c r="A20" s="2">
        <v>19</v>
      </c>
      <c r="B20">
        <v>200</v>
      </c>
      <c r="C20" s="1">
        <v>43726</v>
      </c>
      <c r="D20" s="1">
        <v>43818</v>
      </c>
      <c r="E20" t="s">
        <v>82</v>
      </c>
      <c r="F20" t="str">
        <f t="shared" si="0"/>
        <v>Terminated</v>
      </c>
    </row>
    <row r="21" spans="1:6" x14ac:dyDescent="0.2">
      <c r="A21" s="2">
        <v>20</v>
      </c>
      <c r="B21">
        <v>200</v>
      </c>
      <c r="C21" s="1">
        <v>43745</v>
      </c>
      <c r="D21" s="1">
        <v>44908</v>
      </c>
      <c r="E21" t="s">
        <v>82</v>
      </c>
      <c r="F21" t="str">
        <f t="shared" si="0"/>
        <v>Terminated</v>
      </c>
    </row>
    <row r="22" spans="1:6" x14ac:dyDescent="0.2">
      <c r="A22" s="2">
        <v>21</v>
      </c>
      <c r="B22">
        <v>200</v>
      </c>
      <c r="C22" s="1">
        <v>43766</v>
      </c>
      <c r="D22" s="1">
        <v>44579</v>
      </c>
      <c r="E22" t="s">
        <v>82</v>
      </c>
      <c r="F22" t="str">
        <f t="shared" si="0"/>
        <v>Terminated</v>
      </c>
    </row>
    <row r="23" spans="1:6" x14ac:dyDescent="0.2">
      <c r="A23" s="2">
        <v>22</v>
      </c>
      <c r="B23">
        <v>200</v>
      </c>
      <c r="C23" s="1">
        <v>43766</v>
      </c>
      <c r="D23" s="1">
        <v>44774</v>
      </c>
      <c r="E23" t="s">
        <v>82</v>
      </c>
      <c r="F23" t="str">
        <f t="shared" si="0"/>
        <v>Terminated</v>
      </c>
    </row>
    <row r="24" spans="1:6" x14ac:dyDescent="0.2">
      <c r="A24" s="2">
        <v>23</v>
      </c>
      <c r="B24">
        <v>200</v>
      </c>
      <c r="C24" s="1">
        <v>43787</v>
      </c>
      <c r="D24" s="1">
        <v>43892</v>
      </c>
      <c r="E24" t="s">
        <v>82</v>
      </c>
      <c r="F24" t="str">
        <f t="shared" si="0"/>
        <v>Terminated</v>
      </c>
    </row>
    <row r="25" spans="1:6" x14ac:dyDescent="0.2">
      <c r="A25" s="2">
        <v>24</v>
      </c>
      <c r="B25">
        <v>200</v>
      </c>
      <c r="C25" s="1">
        <v>43790</v>
      </c>
      <c r="D25" s="1">
        <v>44123</v>
      </c>
      <c r="E25" t="s">
        <v>82</v>
      </c>
      <c r="F25" t="str">
        <f t="shared" si="0"/>
        <v>Terminated</v>
      </c>
    </row>
    <row r="26" spans="1:6" x14ac:dyDescent="0.2">
      <c r="A26" s="2">
        <v>25</v>
      </c>
      <c r="B26">
        <v>200</v>
      </c>
      <c r="C26" s="1">
        <v>43794</v>
      </c>
      <c r="D26" s="1">
        <v>46153</v>
      </c>
      <c r="E26" t="s">
        <v>557</v>
      </c>
      <c r="F26" t="str">
        <f t="shared" si="0"/>
        <v>Terminated</v>
      </c>
    </row>
    <row r="27" spans="1:6" x14ac:dyDescent="0.2">
      <c r="A27" s="2">
        <v>26</v>
      </c>
      <c r="B27">
        <v>200</v>
      </c>
      <c r="C27" s="1">
        <v>43829</v>
      </c>
      <c r="D27" s="1">
        <v>44084</v>
      </c>
      <c r="E27" t="s">
        <v>82</v>
      </c>
      <c r="F27" t="str">
        <f t="shared" si="0"/>
        <v>Terminated</v>
      </c>
    </row>
    <row r="28" spans="1:6" x14ac:dyDescent="0.2">
      <c r="A28" s="2">
        <v>27</v>
      </c>
      <c r="B28">
        <v>200</v>
      </c>
      <c r="C28" s="1">
        <v>43829</v>
      </c>
      <c r="D28" s="1">
        <v>45643</v>
      </c>
      <c r="E28" t="s">
        <v>82</v>
      </c>
      <c r="F28" t="str">
        <f t="shared" si="0"/>
        <v>Terminated</v>
      </c>
    </row>
    <row r="29" spans="1:6" x14ac:dyDescent="0.2">
      <c r="A29" s="2">
        <v>28</v>
      </c>
      <c r="B29">
        <v>200</v>
      </c>
      <c r="C29" s="1">
        <v>43854</v>
      </c>
      <c r="D29" s="1">
        <v>44448</v>
      </c>
      <c r="E29" t="s">
        <v>82</v>
      </c>
      <c r="F29" t="str">
        <f t="shared" si="0"/>
        <v>Terminated</v>
      </c>
    </row>
    <row r="30" spans="1:6" x14ac:dyDescent="0.2">
      <c r="A30" s="2">
        <v>29</v>
      </c>
      <c r="B30">
        <v>200</v>
      </c>
      <c r="C30" s="1">
        <v>43864</v>
      </c>
      <c r="D30" s="1">
        <v>44880</v>
      </c>
      <c r="E30" t="s">
        <v>82</v>
      </c>
      <c r="F30" t="str">
        <f t="shared" si="0"/>
        <v>Terminated</v>
      </c>
    </row>
    <row r="31" spans="1:6" x14ac:dyDescent="0.2">
      <c r="A31" s="2">
        <v>30</v>
      </c>
      <c r="B31">
        <v>200</v>
      </c>
      <c r="C31" s="1">
        <v>43892</v>
      </c>
      <c r="D31" s="1">
        <v>43927</v>
      </c>
      <c r="E31" t="s">
        <v>82</v>
      </c>
      <c r="F31" t="str">
        <f t="shared" si="0"/>
        <v>Terminated</v>
      </c>
    </row>
    <row r="32" spans="1:6" x14ac:dyDescent="0.2">
      <c r="A32" s="2">
        <v>31</v>
      </c>
      <c r="B32">
        <v>200</v>
      </c>
      <c r="C32" s="1">
        <v>43923</v>
      </c>
      <c r="D32" s="1">
        <v>43994</v>
      </c>
      <c r="E32" t="s">
        <v>82</v>
      </c>
      <c r="F32" t="str">
        <f t="shared" si="0"/>
        <v>Terminated</v>
      </c>
    </row>
    <row r="33" spans="1:6" x14ac:dyDescent="0.2">
      <c r="A33" s="2">
        <v>32</v>
      </c>
      <c r="B33">
        <v>200</v>
      </c>
      <c r="C33" s="1">
        <v>43962</v>
      </c>
      <c r="D33" s="1">
        <v>44893</v>
      </c>
      <c r="E33" t="s">
        <v>557</v>
      </c>
      <c r="F33" t="str">
        <f t="shared" si="0"/>
        <v>Terminated</v>
      </c>
    </row>
    <row r="34" spans="1:6" x14ac:dyDescent="0.2">
      <c r="A34" s="2">
        <v>33</v>
      </c>
      <c r="B34">
        <v>200</v>
      </c>
      <c r="C34" s="1">
        <v>44053</v>
      </c>
      <c r="D34" s="1">
        <v>44655</v>
      </c>
      <c r="E34" t="s">
        <v>82</v>
      </c>
      <c r="F34" t="str">
        <f t="shared" si="0"/>
        <v>Terminated</v>
      </c>
    </row>
    <row r="35" spans="1:6" x14ac:dyDescent="0.2">
      <c r="A35" s="2">
        <v>34</v>
      </c>
      <c r="B35">
        <v>200</v>
      </c>
      <c r="C35" s="1">
        <v>44057</v>
      </c>
      <c r="D35" s="1">
        <v>44883</v>
      </c>
      <c r="E35" t="s">
        <v>82</v>
      </c>
      <c r="F35" t="str">
        <f t="shared" si="0"/>
        <v>Terminated</v>
      </c>
    </row>
    <row r="36" spans="1:6" x14ac:dyDescent="0.2">
      <c r="A36" s="2">
        <v>35</v>
      </c>
      <c r="B36">
        <v>200</v>
      </c>
      <c r="C36" s="1">
        <v>44074</v>
      </c>
      <c r="D36" s="1">
        <v>44109</v>
      </c>
      <c r="E36" t="s">
        <v>558</v>
      </c>
      <c r="F36" t="str">
        <f t="shared" si="0"/>
        <v>Terminated</v>
      </c>
    </row>
    <row r="37" spans="1:6" x14ac:dyDescent="0.2">
      <c r="A37" s="2">
        <v>36</v>
      </c>
      <c r="B37">
        <v>200</v>
      </c>
      <c r="C37" s="1">
        <v>44082</v>
      </c>
      <c r="D37" s="1">
        <v>44151</v>
      </c>
      <c r="E37" t="s">
        <v>82</v>
      </c>
      <c r="F37" t="str">
        <f t="shared" si="0"/>
        <v>Terminated</v>
      </c>
    </row>
    <row r="38" spans="1:6" x14ac:dyDescent="0.2">
      <c r="A38" s="2">
        <v>37</v>
      </c>
      <c r="B38">
        <v>200</v>
      </c>
      <c r="C38" s="1">
        <v>44084</v>
      </c>
      <c r="D38" s="1">
        <v>44165</v>
      </c>
      <c r="E38" t="s">
        <v>82</v>
      </c>
      <c r="F38" t="str">
        <f t="shared" si="0"/>
        <v>Terminated</v>
      </c>
    </row>
    <row r="39" spans="1:6" x14ac:dyDescent="0.2">
      <c r="A39" s="2">
        <v>38</v>
      </c>
      <c r="B39">
        <v>200</v>
      </c>
      <c r="C39" s="1">
        <v>44088</v>
      </c>
      <c r="D39" s="1">
        <v>45107</v>
      </c>
      <c r="E39" t="s">
        <v>557</v>
      </c>
      <c r="F39" t="str">
        <f t="shared" si="0"/>
        <v>Terminated</v>
      </c>
    </row>
    <row r="40" spans="1:6" x14ac:dyDescent="0.2">
      <c r="A40" s="2">
        <v>39</v>
      </c>
      <c r="B40">
        <v>200</v>
      </c>
      <c r="C40" s="1">
        <v>44095</v>
      </c>
      <c r="D40" s="1">
        <v>45076</v>
      </c>
      <c r="E40" t="s">
        <v>82</v>
      </c>
      <c r="F40" t="str">
        <f t="shared" si="0"/>
        <v>Terminated</v>
      </c>
    </row>
    <row r="41" spans="1:6" x14ac:dyDescent="0.2">
      <c r="A41" s="2">
        <v>40</v>
      </c>
      <c r="B41">
        <v>200</v>
      </c>
      <c r="C41" s="1">
        <v>44137</v>
      </c>
      <c r="D41" s="1">
        <v>45474</v>
      </c>
      <c r="E41" t="s">
        <v>82</v>
      </c>
      <c r="F41" t="str">
        <f t="shared" si="0"/>
        <v>Terminated</v>
      </c>
    </row>
    <row r="42" spans="1:6" x14ac:dyDescent="0.2">
      <c r="A42" s="2">
        <v>41</v>
      </c>
      <c r="B42">
        <v>200</v>
      </c>
      <c r="C42" s="1">
        <v>44230</v>
      </c>
      <c r="D42" s="1">
        <v>44393</v>
      </c>
      <c r="E42" t="s">
        <v>82</v>
      </c>
      <c r="F42" t="str">
        <f t="shared" si="0"/>
        <v>Terminated</v>
      </c>
    </row>
    <row r="43" spans="1:6" x14ac:dyDescent="0.2">
      <c r="A43" s="2">
        <v>42</v>
      </c>
      <c r="B43">
        <v>200</v>
      </c>
      <c r="C43" s="1">
        <v>44250</v>
      </c>
      <c r="D43" s="1">
        <v>44634</v>
      </c>
      <c r="E43" t="s">
        <v>558</v>
      </c>
      <c r="F43" t="str">
        <f t="shared" si="0"/>
        <v>Terminated</v>
      </c>
    </row>
    <row r="44" spans="1:6" x14ac:dyDescent="0.2">
      <c r="A44" s="2">
        <v>43</v>
      </c>
      <c r="B44">
        <v>200</v>
      </c>
      <c r="C44" s="1">
        <v>44267</v>
      </c>
      <c r="D44" s="1">
        <v>44599</v>
      </c>
      <c r="E44" t="s">
        <v>82</v>
      </c>
      <c r="F44" t="str">
        <f t="shared" si="0"/>
        <v>Terminated</v>
      </c>
    </row>
    <row r="45" spans="1:6" x14ac:dyDescent="0.2">
      <c r="A45" s="2">
        <v>44</v>
      </c>
      <c r="B45">
        <v>200</v>
      </c>
      <c r="C45" s="1">
        <v>44277</v>
      </c>
      <c r="D45" s="1">
        <v>44452</v>
      </c>
      <c r="E45" t="s">
        <v>82</v>
      </c>
      <c r="F45" t="str">
        <f t="shared" si="0"/>
        <v>Terminated</v>
      </c>
    </row>
    <row r="46" spans="1:6" x14ac:dyDescent="0.2">
      <c r="A46" s="2">
        <v>45</v>
      </c>
      <c r="B46">
        <v>200</v>
      </c>
      <c r="C46" s="1">
        <v>44281</v>
      </c>
      <c r="D46" s="1">
        <v>44525</v>
      </c>
      <c r="E46" t="s">
        <v>82</v>
      </c>
      <c r="F46" t="str">
        <f t="shared" si="0"/>
        <v>Terminated</v>
      </c>
    </row>
    <row r="47" spans="1:6" x14ac:dyDescent="0.2">
      <c r="A47" s="2">
        <v>46</v>
      </c>
      <c r="B47">
        <v>200</v>
      </c>
      <c r="C47" s="1">
        <v>44291</v>
      </c>
      <c r="D47" s="1">
        <v>44440</v>
      </c>
      <c r="E47" t="s">
        <v>82</v>
      </c>
      <c r="F47" t="str">
        <f t="shared" si="0"/>
        <v>Terminated</v>
      </c>
    </row>
    <row r="48" spans="1:6" x14ac:dyDescent="0.2">
      <c r="A48" s="2">
        <v>47</v>
      </c>
      <c r="B48">
        <v>200</v>
      </c>
      <c r="C48" s="1">
        <v>44334</v>
      </c>
      <c r="D48" s="1">
        <v>45162</v>
      </c>
      <c r="E48" t="s">
        <v>82</v>
      </c>
      <c r="F48" t="str">
        <f t="shared" si="0"/>
        <v>Terminated</v>
      </c>
    </row>
    <row r="49" spans="1:6" x14ac:dyDescent="0.2">
      <c r="A49" s="2">
        <v>48</v>
      </c>
      <c r="B49">
        <v>200</v>
      </c>
      <c r="C49" s="1">
        <v>44361</v>
      </c>
      <c r="D49" s="1">
        <v>45295</v>
      </c>
      <c r="E49" t="s">
        <v>558</v>
      </c>
      <c r="F49" t="str">
        <f t="shared" si="0"/>
        <v>Terminated</v>
      </c>
    </row>
    <row r="50" spans="1:6" x14ac:dyDescent="0.2">
      <c r="A50" s="2">
        <v>49</v>
      </c>
      <c r="B50">
        <v>200</v>
      </c>
      <c r="C50" s="1">
        <v>44396</v>
      </c>
      <c r="D50" s="1">
        <v>45747</v>
      </c>
      <c r="E50" t="s">
        <v>82</v>
      </c>
      <c r="F50" t="str">
        <f t="shared" si="0"/>
        <v>Terminated</v>
      </c>
    </row>
    <row r="51" spans="1:6" x14ac:dyDescent="0.2">
      <c r="A51" s="2">
        <v>50</v>
      </c>
      <c r="B51">
        <v>200</v>
      </c>
      <c r="C51" s="1">
        <v>44398</v>
      </c>
      <c r="D51" s="1">
        <v>44543</v>
      </c>
      <c r="E51" t="s">
        <v>82</v>
      </c>
      <c r="F51" t="str">
        <f t="shared" si="0"/>
        <v>Terminated</v>
      </c>
    </row>
    <row r="52" spans="1:6" x14ac:dyDescent="0.2">
      <c r="A52" s="2">
        <v>51</v>
      </c>
      <c r="B52">
        <v>200</v>
      </c>
      <c r="C52" s="1">
        <v>44413</v>
      </c>
      <c r="D52" s="1">
        <v>45649</v>
      </c>
      <c r="E52" t="s">
        <v>82</v>
      </c>
      <c r="F52" t="str">
        <f t="shared" si="0"/>
        <v>Terminated</v>
      </c>
    </row>
    <row r="53" spans="1:6" x14ac:dyDescent="0.2">
      <c r="A53" s="2">
        <v>52</v>
      </c>
      <c r="B53">
        <v>200</v>
      </c>
      <c r="C53" s="1">
        <v>44431</v>
      </c>
      <c r="D53" s="1">
        <v>44515</v>
      </c>
      <c r="E53" t="s">
        <v>82</v>
      </c>
      <c r="F53" t="str">
        <f t="shared" si="0"/>
        <v>Terminated</v>
      </c>
    </row>
    <row r="54" spans="1:6" x14ac:dyDescent="0.2">
      <c r="A54" s="2">
        <v>53</v>
      </c>
      <c r="B54">
        <v>200</v>
      </c>
      <c r="C54" s="1">
        <v>44438</v>
      </c>
      <c r="D54" s="1">
        <v>45336</v>
      </c>
      <c r="E54" t="s">
        <v>82</v>
      </c>
      <c r="F54" t="str">
        <f t="shared" si="0"/>
        <v>Terminated</v>
      </c>
    </row>
    <row r="55" spans="1:6" x14ac:dyDescent="0.2">
      <c r="A55" s="2">
        <v>54</v>
      </c>
      <c r="B55">
        <v>200</v>
      </c>
      <c r="C55" s="1">
        <v>44461</v>
      </c>
      <c r="D55" s="1">
        <v>46105</v>
      </c>
      <c r="E55" t="s">
        <v>82</v>
      </c>
      <c r="F55" t="str">
        <f t="shared" si="0"/>
        <v>Terminated</v>
      </c>
    </row>
    <row r="56" spans="1:6" x14ac:dyDescent="0.2">
      <c r="A56" s="2">
        <v>55</v>
      </c>
      <c r="B56">
        <v>200</v>
      </c>
      <c r="C56" s="1">
        <v>44466</v>
      </c>
      <c r="D56" s="1">
        <v>44827</v>
      </c>
      <c r="E56" t="s">
        <v>82</v>
      </c>
      <c r="F56" t="str">
        <f t="shared" si="0"/>
        <v>Terminated</v>
      </c>
    </row>
    <row r="57" spans="1:6" x14ac:dyDescent="0.2">
      <c r="A57" s="2">
        <v>56</v>
      </c>
      <c r="B57">
        <v>200</v>
      </c>
      <c r="C57" s="1">
        <v>44468</v>
      </c>
      <c r="D57" s="1">
        <v>44931</v>
      </c>
      <c r="E57" t="s">
        <v>558</v>
      </c>
      <c r="F57" t="str">
        <f t="shared" si="0"/>
        <v>Terminated</v>
      </c>
    </row>
    <row r="58" spans="1:6" x14ac:dyDescent="0.2">
      <c r="A58" s="2">
        <v>57</v>
      </c>
      <c r="B58">
        <v>200</v>
      </c>
      <c r="C58" s="1">
        <v>44470</v>
      </c>
      <c r="D58" s="1">
        <v>45509</v>
      </c>
      <c r="E58" t="s">
        <v>82</v>
      </c>
      <c r="F58" t="str">
        <f t="shared" si="0"/>
        <v>Terminated</v>
      </c>
    </row>
    <row r="59" spans="1:6" x14ac:dyDescent="0.2">
      <c r="A59" s="2">
        <v>58</v>
      </c>
      <c r="B59">
        <v>200</v>
      </c>
      <c r="C59" s="1">
        <v>44473</v>
      </c>
      <c r="D59" s="1">
        <v>45933</v>
      </c>
      <c r="E59" t="s">
        <v>82</v>
      </c>
      <c r="F59" t="str">
        <f t="shared" si="0"/>
        <v>Terminated</v>
      </c>
    </row>
    <row r="60" spans="1:6" x14ac:dyDescent="0.2">
      <c r="A60" s="2">
        <v>59</v>
      </c>
      <c r="B60">
        <v>200</v>
      </c>
      <c r="C60" s="1">
        <v>44480</v>
      </c>
      <c r="D60" s="1">
        <v>44607</v>
      </c>
      <c r="E60" t="s">
        <v>82</v>
      </c>
      <c r="F60" t="str">
        <f t="shared" si="0"/>
        <v>Terminated</v>
      </c>
    </row>
    <row r="61" spans="1:6" x14ac:dyDescent="0.2">
      <c r="A61" s="2">
        <v>60</v>
      </c>
      <c r="B61">
        <v>200</v>
      </c>
      <c r="C61" s="1">
        <v>44484</v>
      </c>
      <c r="D61" s="1">
        <v>44676</v>
      </c>
      <c r="E61" t="s">
        <v>82</v>
      </c>
      <c r="F61" t="str">
        <f t="shared" si="0"/>
        <v>Terminated</v>
      </c>
    </row>
    <row r="62" spans="1:6" x14ac:dyDescent="0.2">
      <c r="A62" s="2">
        <v>61</v>
      </c>
      <c r="B62">
        <v>200</v>
      </c>
      <c r="C62" s="1">
        <v>44501</v>
      </c>
      <c r="D62" s="1">
        <v>45271</v>
      </c>
      <c r="E62" t="s">
        <v>82</v>
      </c>
      <c r="F62" t="str">
        <f t="shared" si="0"/>
        <v>Terminated</v>
      </c>
    </row>
    <row r="63" spans="1:6" x14ac:dyDescent="0.2">
      <c r="A63" s="2">
        <v>62</v>
      </c>
      <c r="B63">
        <v>200</v>
      </c>
      <c r="C63" s="1">
        <v>44501</v>
      </c>
      <c r="D63" s="1">
        <v>44543</v>
      </c>
      <c r="E63" t="s">
        <v>82</v>
      </c>
      <c r="F63" t="str">
        <f t="shared" si="0"/>
        <v>Terminated</v>
      </c>
    </row>
    <row r="64" spans="1:6" x14ac:dyDescent="0.2">
      <c r="A64" s="2">
        <v>63</v>
      </c>
      <c r="B64">
        <v>200</v>
      </c>
      <c r="C64" s="1">
        <v>44508</v>
      </c>
      <c r="D64" s="1">
        <v>44603</v>
      </c>
      <c r="E64" t="s">
        <v>82</v>
      </c>
      <c r="F64" t="str">
        <f t="shared" si="0"/>
        <v>Terminated</v>
      </c>
    </row>
    <row r="65" spans="1:6" x14ac:dyDescent="0.2">
      <c r="A65" s="2">
        <v>64</v>
      </c>
      <c r="B65">
        <v>200</v>
      </c>
      <c r="C65" s="1">
        <v>44540</v>
      </c>
      <c r="D65" s="1">
        <v>44642</v>
      </c>
      <c r="E65" t="s">
        <v>82</v>
      </c>
      <c r="F65" t="str">
        <f t="shared" si="0"/>
        <v>Terminated</v>
      </c>
    </row>
    <row r="66" spans="1:6" x14ac:dyDescent="0.2">
      <c r="A66" s="2">
        <v>65</v>
      </c>
      <c r="B66">
        <v>200</v>
      </c>
      <c r="C66" s="1">
        <v>44544</v>
      </c>
      <c r="D66" s="1"/>
      <c r="E66" t="s">
        <v>82</v>
      </c>
      <c r="F66" t="str">
        <f t="shared" si="0"/>
        <v>Active</v>
      </c>
    </row>
    <row r="67" spans="1:6" x14ac:dyDescent="0.2">
      <c r="A67" s="2">
        <v>66</v>
      </c>
      <c r="B67">
        <v>200</v>
      </c>
      <c r="C67" s="1">
        <v>44550</v>
      </c>
      <c r="D67" s="1">
        <v>45159</v>
      </c>
      <c r="E67" t="s">
        <v>82</v>
      </c>
      <c r="F67" t="str">
        <f t="shared" ref="F67:F130" si="1">IF(D67="","Active","Terminated")</f>
        <v>Terminated</v>
      </c>
    </row>
    <row r="68" spans="1:6" x14ac:dyDescent="0.2">
      <c r="A68" s="2">
        <v>67</v>
      </c>
      <c r="B68">
        <v>200</v>
      </c>
      <c r="C68" s="1">
        <v>44557</v>
      </c>
      <c r="D68" s="1">
        <v>45215</v>
      </c>
      <c r="E68" t="s">
        <v>82</v>
      </c>
      <c r="F68" t="str">
        <f t="shared" si="1"/>
        <v>Terminated</v>
      </c>
    </row>
    <row r="69" spans="1:6" x14ac:dyDescent="0.2">
      <c r="A69" s="2">
        <v>68</v>
      </c>
      <c r="B69">
        <v>200</v>
      </c>
      <c r="C69" s="1">
        <v>44557</v>
      </c>
      <c r="D69" s="1">
        <v>44823</v>
      </c>
      <c r="E69" t="s">
        <v>82</v>
      </c>
      <c r="F69" t="str">
        <f t="shared" si="1"/>
        <v>Terminated</v>
      </c>
    </row>
    <row r="70" spans="1:6" x14ac:dyDescent="0.2">
      <c r="A70" s="2">
        <v>69</v>
      </c>
      <c r="B70">
        <v>200</v>
      </c>
      <c r="C70" s="1">
        <v>44564</v>
      </c>
      <c r="D70" s="1">
        <v>44753</v>
      </c>
      <c r="E70" t="s">
        <v>82</v>
      </c>
      <c r="F70" t="str">
        <f t="shared" si="1"/>
        <v>Terminated</v>
      </c>
    </row>
    <row r="71" spans="1:6" x14ac:dyDescent="0.2">
      <c r="A71" s="2">
        <v>70</v>
      </c>
      <c r="B71">
        <v>200</v>
      </c>
      <c r="C71" s="1">
        <v>44575</v>
      </c>
      <c r="D71" s="1">
        <v>44711</v>
      </c>
      <c r="E71" t="s">
        <v>82</v>
      </c>
      <c r="F71" t="str">
        <f t="shared" si="1"/>
        <v>Terminated</v>
      </c>
    </row>
    <row r="72" spans="1:6" x14ac:dyDescent="0.2">
      <c r="A72" s="2">
        <v>71</v>
      </c>
      <c r="B72">
        <v>200</v>
      </c>
      <c r="C72" s="1">
        <v>44599</v>
      </c>
      <c r="D72" s="1">
        <v>44853</v>
      </c>
      <c r="E72" t="s">
        <v>82</v>
      </c>
      <c r="F72" t="str">
        <f t="shared" si="1"/>
        <v>Terminated</v>
      </c>
    </row>
    <row r="73" spans="1:6" x14ac:dyDescent="0.2">
      <c r="A73" s="2">
        <v>72</v>
      </c>
      <c r="B73">
        <v>200</v>
      </c>
      <c r="C73" s="1">
        <v>44603</v>
      </c>
      <c r="D73" s="1">
        <v>45320</v>
      </c>
      <c r="E73" t="s">
        <v>82</v>
      </c>
      <c r="F73" t="str">
        <f t="shared" si="1"/>
        <v>Terminated</v>
      </c>
    </row>
    <row r="74" spans="1:6" x14ac:dyDescent="0.2">
      <c r="A74" s="2">
        <v>73</v>
      </c>
      <c r="B74">
        <v>200</v>
      </c>
      <c r="C74" s="1">
        <v>44613</v>
      </c>
      <c r="D74" s="1">
        <v>45345</v>
      </c>
      <c r="E74" t="s">
        <v>82</v>
      </c>
      <c r="F74" t="str">
        <f t="shared" si="1"/>
        <v>Terminated</v>
      </c>
    </row>
    <row r="75" spans="1:6" x14ac:dyDescent="0.2">
      <c r="A75" s="2">
        <v>74</v>
      </c>
      <c r="B75">
        <v>200</v>
      </c>
      <c r="C75" s="1">
        <v>44635</v>
      </c>
      <c r="D75" s="1">
        <v>45040</v>
      </c>
      <c r="E75" t="s">
        <v>557</v>
      </c>
      <c r="F75" t="str">
        <f t="shared" si="1"/>
        <v>Terminated</v>
      </c>
    </row>
    <row r="76" spans="1:6" x14ac:dyDescent="0.2">
      <c r="A76" s="2">
        <v>75</v>
      </c>
      <c r="B76">
        <v>200</v>
      </c>
      <c r="C76" s="1">
        <v>44669</v>
      </c>
      <c r="D76" s="1">
        <v>46227</v>
      </c>
      <c r="E76" t="s">
        <v>82</v>
      </c>
      <c r="F76" t="str">
        <f t="shared" si="1"/>
        <v>Terminated</v>
      </c>
    </row>
    <row r="77" spans="1:6" x14ac:dyDescent="0.2">
      <c r="A77" s="2">
        <v>76</v>
      </c>
      <c r="B77">
        <v>200</v>
      </c>
      <c r="C77" s="1">
        <v>44683</v>
      </c>
      <c r="D77" s="1">
        <v>44901</v>
      </c>
      <c r="E77" t="s">
        <v>82</v>
      </c>
      <c r="F77" t="str">
        <f t="shared" si="1"/>
        <v>Terminated</v>
      </c>
    </row>
    <row r="78" spans="1:6" x14ac:dyDescent="0.2">
      <c r="A78" s="2">
        <v>77</v>
      </c>
      <c r="B78">
        <v>200</v>
      </c>
      <c r="C78" s="1">
        <v>44704</v>
      </c>
      <c r="D78" s="1">
        <v>45127</v>
      </c>
      <c r="E78" t="s">
        <v>557</v>
      </c>
      <c r="F78" t="str">
        <f t="shared" si="1"/>
        <v>Terminated</v>
      </c>
    </row>
    <row r="79" spans="1:6" x14ac:dyDescent="0.2">
      <c r="A79" s="2">
        <v>78</v>
      </c>
      <c r="B79">
        <v>200</v>
      </c>
      <c r="C79" s="1">
        <v>44721</v>
      </c>
      <c r="D79" s="1">
        <v>46086</v>
      </c>
      <c r="E79" t="s">
        <v>82</v>
      </c>
      <c r="F79" t="str">
        <f t="shared" si="1"/>
        <v>Terminated</v>
      </c>
    </row>
    <row r="80" spans="1:6" x14ac:dyDescent="0.2">
      <c r="A80" s="2">
        <v>79</v>
      </c>
      <c r="B80">
        <v>200</v>
      </c>
      <c r="C80" s="1">
        <v>44733</v>
      </c>
      <c r="D80" s="1">
        <v>45090</v>
      </c>
      <c r="E80" t="s">
        <v>82</v>
      </c>
      <c r="F80" t="str">
        <f t="shared" si="1"/>
        <v>Terminated</v>
      </c>
    </row>
    <row r="81" spans="1:6" x14ac:dyDescent="0.2">
      <c r="A81" s="2">
        <v>80</v>
      </c>
      <c r="B81">
        <v>200</v>
      </c>
      <c r="C81" s="1">
        <v>44735</v>
      </c>
      <c r="D81" s="1">
        <v>44973</v>
      </c>
      <c r="E81" t="s">
        <v>82</v>
      </c>
      <c r="F81" t="str">
        <f t="shared" si="1"/>
        <v>Terminated</v>
      </c>
    </row>
    <row r="82" spans="1:6" x14ac:dyDescent="0.2">
      <c r="A82" s="2">
        <v>81</v>
      </c>
      <c r="B82">
        <v>200</v>
      </c>
      <c r="C82" s="1">
        <v>44755</v>
      </c>
      <c r="D82" s="1">
        <v>44900</v>
      </c>
      <c r="E82" t="s">
        <v>82</v>
      </c>
      <c r="F82" t="str">
        <f t="shared" si="1"/>
        <v>Terminated</v>
      </c>
    </row>
    <row r="83" spans="1:6" x14ac:dyDescent="0.2">
      <c r="A83" s="2">
        <v>82</v>
      </c>
      <c r="B83">
        <v>200</v>
      </c>
      <c r="C83" s="1">
        <v>44760</v>
      </c>
      <c r="D83" s="1">
        <v>44993</v>
      </c>
      <c r="E83" t="s">
        <v>82</v>
      </c>
      <c r="F83" t="str">
        <f t="shared" si="1"/>
        <v>Terminated</v>
      </c>
    </row>
    <row r="84" spans="1:6" x14ac:dyDescent="0.2">
      <c r="A84" s="2">
        <v>83</v>
      </c>
      <c r="B84">
        <v>200</v>
      </c>
      <c r="C84" s="1">
        <v>44761</v>
      </c>
      <c r="D84" s="1">
        <v>45229</v>
      </c>
      <c r="E84" t="s">
        <v>82</v>
      </c>
      <c r="F84" t="str">
        <f t="shared" si="1"/>
        <v>Terminated</v>
      </c>
    </row>
    <row r="85" spans="1:6" x14ac:dyDescent="0.2">
      <c r="A85" s="2">
        <v>84</v>
      </c>
      <c r="B85">
        <v>200</v>
      </c>
      <c r="C85" s="1">
        <v>44764</v>
      </c>
      <c r="D85" s="1">
        <v>44915</v>
      </c>
      <c r="E85" t="s">
        <v>82</v>
      </c>
      <c r="F85" t="str">
        <f t="shared" si="1"/>
        <v>Terminated</v>
      </c>
    </row>
    <row r="86" spans="1:6" x14ac:dyDescent="0.2">
      <c r="A86" s="2">
        <v>85</v>
      </c>
      <c r="B86">
        <v>200</v>
      </c>
      <c r="C86" s="1">
        <v>44777</v>
      </c>
      <c r="D86" s="1">
        <v>44910</v>
      </c>
      <c r="E86" t="s">
        <v>82</v>
      </c>
      <c r="F86" t="str">
        <f t="shared" si="1"/>
        <v>Terminated</v>
      </c>
    </row>
    <row r="87" spans="1:6" x14ac:dyDescent="0.2">
      <c r="A87" s="2">
        <v>86</v>
      </c>
      <c r="B87">
        <v>200</v>
      </c>
      <c r="C87" s="1">
        <v>44785</v>
      </c>
      <c r="D87" s="1">
        <v>45407</v>
      </c>
      <c r="E87" t="s">
        <v>82</v>
      </c>
      <c r="F87" t="str">
        <f t="shared" si="1"/>
        <v>Terminated</v>
      </c>
    </row>
    <row r="88" spans="1:6" x14ac:dyDescent="0.2">
      <c r="A88" s="2">
        <v>87</v>
      </c>
      <c r="B88">
        <v>200</v>
      </c>
      <c r="C88" s="1">
        <v>44802</v>
      </c>
      <c r="D88" s="1">
        <v>44888</v>
      </c>
      <c r="E88" t="s">
        <v>558</v>
      </c>
      <c r="F88" t="str">
        <f t="shared" si="1"/>
        <v>Terminated</v>
      </c>
    </row>
    <row r="89" spans="1:6" x14ac:dyDescent="0.2">
      <c r="A89" s="2">
        <v>88</v>
      </c>
      <c r="B89">
        <v>200</v>
      </c>
      <c r="C89" s="1">
        <v>44810</v>
      </c>
      <c r="D89" s="1">
        <v>46007</v>
      </c>
      <c r="E89" t="s">
        <v>82</v>
      </c>
      <c r="F89" t="str">
        <f t="shared" si="1"/>
        <v>Terminated</v>
      </c>
    </row>
    <row r="90" spans="1:6" x14ac:dyDescent="0.2">
      <c r="A90" s="2">
        <v>89</v>
      </c>
      <c r="B90">
        <v>200</v>
      </c>
      <c r="C90" s="1">
        <v>44861</v>
      </c>
      <c r="D90" s="1">
        <v>44958</v>
      </c>
      <c r="E90" t="s">
        <v>82</v>
      </c>
      <c r="F90" t="str">
        <f t="shared" si="1"/>
        <v>Terminated</v>
      </c>
    </row>
    <row r="91" spans="1:6" x14ac:dyDescent="0.2">
      <c r="A91" s="2">
        <v>90</v>
      </c>
      <c r="B91">
        <v>200</v>
      </c>
      <c r="C91" s="1">
        <v>44866</v>
      </c>
      <c r="D91" s="1">
        <v>44944</v>
      </c>
      <c r="E91" t="s">
        <v>82</v>
      </c>
      <c r="F91" t="str">
        <f t="shared" si="1"/>
        <v>Terminated</v>
      </c>
    </row>
    <row r="92" spans="1:6" x14ac:dyDescent="0.2">
      <c r="A92" s="2">
        <v>91</v>
      </c>
      <c r="B92">
        <v>200</v>
      </c>
      <c r="C92" s="1">
        <v>44866</v>
      </c>
      <c r="D92" s="1">
        <v>45316</v>
      </c>
      <c r="E92" t="s">
        <v>82</v>
      </c>
      <c r="F92" t="str">
        <f t="shared" si="1"/>
        <v>Terminated</v>
      </c>
    </row>
    <row r="93" spans="1:6" x14ac:dyDescent="0.2">
      <c r="A93" s="2">
        <v>92</v>
      </c>
      <c r="B93">
        <v>200</v>
      </c>
      <c r="C93" s="1">
        <v>44916</v>
      </c>
      <c r="D93" s="1">
        <v>45649</v>
      </c>
      <c r="E93" t="s">
        <v>82</v>
      </c>
      <c r="F93" t="str">
        <f t="shared" si="1"/>
        <v>Terminated</v>
      </c>
    </row>
    <row r="94" spans="1:6" x14ac:dyDescent="0.2">
      <c r="A94" s="2">
        <v>93</v>
      </c>
      <c r="B94">
        <v>200</v>
      </c>
      <c r="C94" s="1">
        <v>44921</v>
      </c>
      <c r="D94" s="1">
        <v>44965</v>
      </c>
      <c r="E94" t="s">
        <v>82</v>
      </c>
      <c r="F94" t="str">
        <f t="shared" si="1"/>
        <v>Terminated</v>
      </c>
    </row>
    <row r="95" spans="1:6" x14ac:dyDescent="0.2">
      <c r="A95" s="2">
        <v>94</v>
      </c>
      <c r="B95">
        <v>200</v>
      </c>
      <c r="C95" s="1">
        <v>44928</v>
      </c>
      <c r="D95" s="1">
        <v>45236</v>
      </c>
      <c r="E95" t="s">
        <v>82</v>
      </c>
      <c r="F95" t="str">
        <f t="shared" si="1"/>
        <v>Terminated</v>
      </c>
    </row>
    <row r="96" spans="1:6" x14ac:dyDescent="0.2">
      <c r="A96" s="2">
        <v>95</v>
      </c>
      <c r="B96">
        <v>200</v>
      </c>
      <c r="C96" s="1">
        <v>44944</v>
      </c>
      <c r="D96" s="1">
        <v>45187</v>
      </c>
      <c r="E96" t="s">
        <v>82</v>
      </c>
      <c r="F96" t="str">
        <f t="shared" si="1"/>
        <v>Terminated</v>
      </c>
    </row>
    <row r="97" spans="1:6" x14ac:dyDescent="0.2">
      <c r="A97" s="2">
        <v>96</v>
      </c>
      <c r="B97">
        <v>200</v>
      </c>
      <c r="C97" s="1">
        <v>44965</v>
      </c>
      <c r="D97" s="1">
        <v>45061</v>
      </c>
      <c r="E97" t="s">
        <v>82</v>
      </c>
      <c r="F97" t="str">
        <f t="shared" si="1"/>
        <v>Terminated</v>
      </c>
    </row>
    <row r="98" spans="1:6" x14ac:dyDescent="0.2">
      <c r="A98" s="2">
        <v>97</v>
      </c>
      <c r="B98">
        <v>200</v>
      </c>
      <c r="C98" s="1">
        <v>44993</v>
      </c>
      <c r="D98" s="1"/>
      <c r="E98" t="s">
        <v>82</v>
      </c>
      <c r="F98" t="str">
        <f t="shared" si="1"/>
        <v>Active</v>
      </c>
    </row>
    <row r="99" spans="1:6" x14ac:dyDescent="0.2">
      <c r="A99" s="2">
        <v>98</v>
      </c>
      <c r="B99">
        <v>200</v>
      </c>
      <c r="C99" s="1">
        <v>45005</v>
      </c>
      <c r="D99" s="1">
        <v>45131</v>
      </c>
      <c r="E99" t="s">
        <v>82</v>
      </c>
      <c r="F99" t="str">
        <f t="shared" si="1"/>
        <v>Terminated</v>
      </c>
    </row>
    <row r="100" spans="1:6" x14ac:dyDescent="0.2">
      <c r="A100" s="2">
        <v>99</v>
      </c>
      <c r="B100">
        <v>200</v>
      </c>
      <c r="C100" s="1">
        <v>45026</v>
      </c>
      <c r="D100" s="1">
        <v>45103</v>
      </c>
      <c r="E100" t="s">
        <v>558</v>
      </c>
      <c r="F100" t="str">
        <f t="shared" si="1"/>
        <v>Terminated</v>
      </c>
    </row>
    <row r="101" spans="1:6" x14ac:dyDescent="0.2">
      <c r="A101" s="2">
        <v>100</v>
      </c>
      <c r="B101">
        <v>200</v>
      </c>
      <c r="C101" s="1">
        <v>45035</v>
      </c>
      <c r="D101" s="1">
        <v>45117</v>
      </c>
      <c r="E101" t="s">
        <v>82</v>
      </c>
      <c r="F101" t="str">
        <f t="shared" si="1"/>
        <v>Terminated</v>
      </c>
    </row>
    <row r="102" spans="1:6" x14ac:dyDescent="0.2">
      <c r="A102" s="2">
        <v>101</v>
      </c>
      <c r="B102">
        <v>200</v>
      </c>
      <c r="C102" s="1">
        <v>45064</v>
      </c>
      <c r="D102" s="1"/>
      <c r="E102" t="s">
        <v>82</v>
      </c>
      <c r="F102" t="str">
        <f t="shared" si="1"/>
        <v>Active</v>
      </c>
    </row>
    <row r="103" spans="1:6" x14ac:dyDescent="0.2">
      <c r="A103" s="2">
        <v>102</v>
      </c>
      <c r="B103">
        <v>200</v>
      </c>
      <c r="C103" s="1">
        <v>45104</v>
      </c>
      <c r="D103" s="1">
        <v>45324</v>
      </c>
      <c r="E103" t="s">
        <v>82</v>
      </c>
      <c r="F103" t="str">
        <f t="shared" si="1"/>
        <v>Terminated</v>
      </c>
    </row>
    <row r="104" spans="1:6" x14ac:dyDescent="0.2">
      <c r="A104" s="2">
        <v>103</v>
      </c>
      <c r="B104">
        <v>200</v>
      </c>
      <c r="C104" s="1">
        <v>45119</v>
      </c>
      <c r="D104" s="1">
        <v>45436</v>
      </c>
      <c r="E104" t="s">
        <v>558</v>
      </c>
      <c r="F104" t="str">
        <f t="shared" si="1"/>
        <v>Terminated</v>
      </c>
    </row>
    <row r="105" spans="1:6" x14ac:dyDescent="0.2">
      <c r="A105" s="2">
        <v>104</v>
      </c>
      <c r="B105">
        <v>200</v>
      </c>
      <c r="C105" s="1">
        <v>45173</v>
      </c>
      <c r="D105" s="1">
        <v>45292</v>
      </c>
      <c r="E105" t="s">
        <v>82</v>
      </c>
      <c r="F105" t="str">
        <f t="shared" si="1"/>
        <v>Terminated</v>
      </c>
    </row>
    <row r="106" spans="1:6" x14ac:dyDescent="0.2">
      <c r="A106" s="2">
        <v>105</v>
      </c>
      <c r="B106">
        <v>200</v>
      </c>
      <c r="C106" s="1">
        <v>45173</v>
      </c>
      <c r="D106" s="1">
        <v>46003</v>
      </c>
      <c r="E106" t="s">
        <v>82</v>
      </c>
      <c r="F106" t="str">
        <f t="shared" si="1"/>
        <v>Terminated</v>
      </c>
    </row>
    <row r="107" spans="1:6" x14ac:dyDescent="0.2">
      <c r="A107" s="2">
        <v>106</v>
      </c>
      <c r="B107">
        <v>200</v>
      </c>
      <c r="C107" s="1">
        <v>45175</v>
      </c>
      <c r="D107" s="1">
        <v>45495</v>
      </c>
      <c r="E107" t="s">
        <v>82</v>
      </c>
      <c r="F107" t="str">
        <f t="shared" si="1"/>
        <v>Terminated</v>
      </c>
    </row>
    <row r="108" spans="1:6" x14ac:dyDescent="0.2">
      <c r="A108" s="2">
        <v>107</v>
      </c>
      <c r="B108">
        <v>200</v>
      </c>
      <c r="C108" s="1">
        <v>45184</v>
      </c>
      <c r="D108" s="1">
        <v>45357</v>
      </c>
      <c r="E108" t="s">
        <v>558</v>
      </c>
      <c r="F108" t="str">
        <f t="shared" si="1"/>
        <v>Terminated</v>
      </c>
    </row>
    <row r="109" spans="1:6" x14ac:dyDescent="0.2">
      <c r="A109" s="2">
        <v>108</v>
      </c>
      <c r="B109">
        <v>200</v>
      </c>
      <c r="C109" s="1">
        <v>45204</v>
      </c>
      <c r="D109" s="1">
        <v>45301</v>
      </c>
      <c r="E109" t="s">
        <v>82</v>
      </c>
      <c r="F109" t="str">
        <f t="shared" si="1"/>
        <v>Terminated</v>
      </c>
    </row>
    <row r="110" spans="1:6" x14ac:dyDescent="0.2">
      <c r="A110" s="2">
        <v>109</v>
      </c>
      <c r="B110">
        <v>200</v>
      </c>
      <c r="C110" s="1">
        <v>45209</v>
      </c>
      <c r="D110" s="1">
        <v>45355</v>
      </c>
      <c r="E110" t="s">
        <v>82</v>
      </c>
      <c r="F110" t="str">
        <f t="shared" si="1"/>
        <v>Terminated</v>
      </c>
    </row>
    <row r="111" spans="1:6" x14ac:dyDescent="0.2">
      <c r="A111" s="2">
        <v>110</v>
      </c>
      <c r="B111">
        <v>200</v>
      </c>
      <c r="C111" s="1">
        <v>45212</v>
      </c>
      <c r="D111" s="1">
        <v>45904</v>
      </c>
      <c r="E111" t="s">
        <v>82</v>
      </c>
      <c r="F111" t="str">
        <f t="shared" si="1"/>
        <v>Terminated</v>
      </c>
    </row>
    <row r="112" spans="1:6" x14ac:dyDescent="0.2">
      <c r="A112" s="2">
        <v>111</v>
      </c>
      <c r="B112">
        <v>200</v>
      </c>
      <c r="C112" s="1">
        <v>45215</v>
      </c>
      <c r="D112" s="1">
        <v>45579</v>
      </c>
      <c r="E112" t="s">
        <v>82</v>
      </c>
      <c r="F112" t="str">
        <f t="shared" si="1"/>
        <v>Terminated</v>
      </c>
    </row>
    <row r="113" spans="1:6" x14ac:dyDescent="0.2">
      <c r="A113" s="2">
        <v>112</v>
      </c>
      <c r="B113">
        <v>200</v>
      </c>
      <c r="C113" s="1">
        <v>45229</v>
      </c>
      <c r="D113" s="1">
        <v>45295</v>
      </c>
      <c r="E113" t="s">
        <v>82</v>
      </c>
      <c r="F113" t="str">
        <f t="shared" si="1"/>
        <v>Terminated</v>
      </c>
    </row>
    <row r="114" spans="1:6" x14ac:dyDescent="0.2">
      <c r="A114" s="2">
        <v>113</v>
      </c>
      <c r="B114">
        <v>200</v>
      </c>
      <c r="C114" s="1">
        <v>45239</v>
      </c>
      <c r="D114" s="1">
        <v>45758</v>
      </c>
      <c r="E114" t="s">
        <v>82</v>
      </c>
      <c r="F114" t="str">
        <f t="shared" si="1"/>
        <v>Terminated</v>
      </c>
    </row>
    <row r="115" spans="1:6" x14ac:dyDescent="0.2">
      <c r="A115" s="2">
        <v>114</v>
      </c>
      <c r="B115">
        <v>200</v>
      </c>
      <c r="C115" s="1">
        <v>45247</v>
      </c>
      <c r="D115" s="1">
        <v>45411</v>
      </c>
      <c r="E115" t="s">
        <v>82</v>
      </c>
      <c r="F115" t="str">
        <f t="shared" si="1"/>
        <v>Terminated</v>
      </c>
    </row>
    <row r="116" spans="1:6" x14ac:dyDescent="0.2">
      <c r="A116" s="2">
        <v>115</v>
      </c>
      <c r="B116">
        <v>200</v>
      </c>
      <c r="C116" s="1">
        <v>45257</v>
      </c>
      <c r="D116" s="1">
        <v>45790</v>
      </c>
      <c r="E116" t="s">
        <v>82</v>
      </c>
      <c r="F116" t="str">
        <f t="shared" si="1"/>
        <v>Terminated</v>
      </c>
    </row>
    <row r="117" spans="1:6" x14ac:dyDescent="0.2">
      <c r="A117" s="2">
        <v>116</v>
      </c>
      <c r="B117">
        <v>200</v>
      </c>
      <c r="C117" s="1">
        <v>45265</v>
      </c>
      <c r="D117" s="1">
        <v>45693</v>
      </c>
      <c r="E117" t="s">
        <v>558</v>
      </c>
      <c r="F117" t="str">
        <f t="shared" si="1"/>
        <v>Terminated</v>
      </c>
    </row>
    <row r="118" spans="1:6" x14ac:dyDescent="0.2">
      <c r="A118" s="2">
        <v>117</v>
      </c>
      <c r="B118">
        <v>200</v>
      </c>
      <c r="C118" s="1">
        <v>45294</v>
      </c>
      <c r="D118" s="1">
        <v>45642</v>
      </c>
      <c r="E118" t="s">
        <v>82</v>
      </c>
      <c r="F118" t="str">
        <f t="shared" si="1"/>
        <v>Terminated</v>
      </c>
    </row>
    <row r="119" spans="1:6" x14ac:dyDescent="0.2">
      <c r="A119" s="2">
        <v>118</v>
      </c>
      <c r="B119">
        <v>200</v>
      </c>
      <c r="C119" s="1">
        <v>45296</v>
      </c>
      <c r="D119" s="1">
        <v>45341</v>
      </c>
      <c r="E119" t="s">
        <v>557</v>
      </c>
      <c r="F119" t="str">
        <f t="shared" si="1"/>
        <v>Terminated</v>
      </c>
    </row>
    <row r="120" spans="1:6" x14ac:dyDescent="0.2">
      <c r="A120" s="2">
        <v>119</v>
      </c>
      <c r="B120">
        <v>200</v>
      </c>
      <c r="C120" s="1">
        <v>45320</v>
      </c>
      <c r="D120" s="1"/>
      <c r="E120" t="s">
        <v>82</v>
      </c>
      <c r="F120" t="str">
        <f t="shared" si="1"/>
        <v>Active</v>
      </c>
    </row>
    <row r="121" spans="1:6" x14ac:dyDescent="0.2">
      <c r="A121" s="2">
        <v>120</v>
      </c>
      <c r="B121">
        <v>200</v>
      </c>
      <c r="C121" s="1">
        <v>45324</v>
      </c>
      <c r="D121" s="1">
        <v>46022</v>
      </c>
      <c r="E121" t="s">
        <v>82</v>
      </c>
      <c r="F121" t="str">
        <f t="shared" si="1"/>
        <v>Terminated</v>
      </c>
    </row>
    <row r="122" spans="1:6" x14ac:dyDescent="0.2">
      <c r="A122" s="2">
        <v>121</v>
      </c>
      <c r="B122">
        <v>200</v>
      </c>
      <c r="C122" s="1">
        <v>45349</v>
      </c>
      <c r="D122" s="1"/>
      <c r="E122" t="s">
        <v>82</v>
      </c>
      <c r="F122" t="str">
        <f t="shared" si="1"/>
        <v>Active</v>
      </c>
    </row>
    <row r="123" spans="1:6" x14ac:dyDescent="0.2">
      <c r="A123" s="2">
        <v>122</v>
      </c>
      <c r="B123">
        <v>200</v>
      </c>
      <c r="C123" s="1">
        <v>45355</v>
      </c>
      <c r="D123" s="1"/>
      <c r="E123" t="s">
        <v>82</v>
      </c>
      <c r="F123" t="str">
        <f t="shared" si="1"/>
        <v>Active</v>
      </c>
    </row>
    <row r="124" spans="1:6" x14ac:dyDescent="0.2">
      <c r="A124" s="2">
        <v>123</v>
      </c>
      <c r="B124">
        <v>200</v>
      </c>
      <c r="C124" s="1">
        <v>45355</v>
      </c>
      <c r="D124" s="1">
        <v>46220</v>
      </c>
      <c r="E124" t="s">
        <v>82</v>
      </c>
      <c r="F124" t="str">
        <f t="shared" si="1"/>
        <v>Terminated</v>
      </c>
    </row>
    <row r="125" spans="1:6" x14ac:dyDescent="0.2">
      <c r="A125" s="2">
        <v>124</v>
      </c>
      <c r="B125">
        <v>200</v>
      </c>
      <c r="C125" s="1">
        <v>45357</v>
      </c>
      <c r="D125" s="1">
        <v>45485</v>
      </c>
      <c r="E125" t="s">
        <v>82</v>
      </c>
      <c r="F125" t="str">
        <f t="shared" si="1"/>
        <v>Terminated</v>
      </c>
    </row>
    <row r="126" spans="1:6" x14ac:dyDescent="0.2">
      <c r="A126" s="2">
        <v>125</v>
      </c>
      <c r="B126">
        <v>200</v>
      </c>
      <c r="C126" s="1">
        <v>45363</v>
      </c>
      <c r="D126" s="1">
        <v>45818</v>
      </c>
      <c r="E126" t="s">
        <v>82</v>
      </c>
      <c r="F126" t="str">
        <f t="shared" si="1"/>
        <v>Terminated</v>
      </c>
    </row>
    <row r="127" spans="1:6" x14ac:dyDescent="0.2">
      <c r="A127" s="2">
        <v>126</v>
      </c>
      <c r="B127">
        <v>200</v>
      </c>
      <c r="C127" s="1">
        <v>45372</v>
      </c>
      <c r="D127" s="1">
        <v>45541</v>
      </c>
      <c r="E127" t="s">
        <v>82</v>
      </c>
      <c r="F127" t="str">
        <f t="shared" si="1"/>
        <v>Terminated</v>
      </c>
    </row>
    <row r="128" spans="1:6" x14ac:dyDescent="0.2">
      <c r="A128" s="2">
        <v>127</v>
      </c>
      <c r="B128">
        <v>200</v>
      </c>
      <c r="C128" s="1">
        <v>45376</v>
      </c>
      <c r="D128" s="1">
        <v>45832</v>
      </c>
      <c r="E128" t="s">
        <v>82</v>
      </c>
      <c r="F128" t="str">
        <f t="shared" si="1"/>
        <v>Terminated</v>
      </c>
    </row>
    <row r="129" spans="1:6" x14ac:dyDescent="0.2">
      <c r="A129" s="2">
        <v>128</v>
      </c>
      <c r="B129">
        <v>200</v>
      </c>
      <c r="C129" s="1">
        <v>45380</v>
      </c>
      <c r="D129" s="1">
        <v>45432</v>
      </c>
      <c r="E129" t="s">
        <v>558</v>
      </c>
      <c r="F129" t="str">
        <f t="shared" si="1"/>
        <v>Terminated</v>
      </c>
    </row>
    <row r="130" spans="1:6" x14ac:dyDescent="0.2">
      <c r="A130" s="2">
        <v>129</v>
      </c>
      <c r="B130">
        <v>200</v>
      </c>
      <c r="C130" s="1">
        <v>45386</v>
      </c>
      <c r="D130" s="1"/>
      <c r="E130" t="s">
        <v>82</v>
      </c>
      <c r="F130" t="str">
        <f t="shared" si="1"/>
        <v>Active</v>
      </c>
    </row>
    <row r="131" spans="1:6" x14ac:dyDescent="0.2">
      <c r="A131" s="2">
        <v>130</v>
      </c>
      <c r="B131">
        <v>200</v>
      </c>
      <c r="C131" s="1">
        <v>45390</v>
      </c>
      <c r="D131" s="1">
        <v>45985</v>
      </c>
      <c r="E131" t="s">
        <v>82</v>
      </c>
      <c r="F131" t="str">
        <f t="shared" ref="F131:F194" si="2">IF(D131="","Active","Terminated")</f>
        <v>Terminated</v>
      </c>
    </row>
    <row r="132" spans="1:6" x14ac:dyDescent="0.2">
      <c r="A132" s="2">
        <v>131</v>
      </c>
      <c r="B132">
        <v>200</v>
      </c>
      <c r="C132" s="1">
        <v>45400</v>
      </c>
      <c r="D132" s="1"/>
      <c r="E132" t="s">
        <v>82</v>
      </c>
      <c r="F132" t="str">
        <f t="shared" si="2"/>
        <v>Active</v>
      </c>
    </row>
    <row r="133" spans="1:6" x14ac:dyDescent="0.2">
      <c r="A133" s="2">
        <v>132</v>
      </c>
      <c r="B133">
        <v>200</v>
      </c>
      <c r="C133" s="1">
        <v>45400</v>
      </c>
      <c r="D133" s="1">
        <v>45978</v>
      </c>
      <c r="E133" t="s">
        <v>82</v>
      </c>
      <c r="F133" t="str">
        <f t="shared" si="2"/>
        <v>Terminated</v>
      </c>
    </row>
    <row r="134" spans="1:6" x14ac:dyDescent="0.2">
      <c r="A134" s="2">
        <v>133</v>
      </c>
      <c r="B134">
        <v>200</v>
      </c>
      <c r="C134" s="1">
        <v>45401</v>
      </c>
      <c r="D134" s="1">
        <v>45607</v>
      </c>
      <c r="E134" t="s">
        <v>558</v>
      </c>
      <c r="F134" t="str">
        <f t="shared" si="2"/>
        <v>Terminated</v>
      </c>
    </row>
    <row r="135" spans="1:6" x14ac:dyDescent="0.2">
      <c r="A135" s="2">
        <v>134</v>
      </c>
      <c r="B135">
        <v>200</v>
      </c>
      <c r="C135" s="1">
        <v>45411</v>
      </c>
      <c r="D135" s="1">
        <v>46189</v>
      </c>
      <c r="E135" t="s">
        <v>82</v>
      </c>
      <c r="F135" t="str">
        <f t="shared" si="2"/>
        <v>Terminated</v>
      </c>
    </row>
    <row r="136" spans="1:6" x14ac:dyDescent="0.2">
      <c r="A136" s="2">
        <v>135</v>
      </c>
      <c r="B136">
        <v>200</v>
      </c>
      <c r="C136" s="1">
        <v>45425</v>
      </c>
      <c r="D136" s="1">
        <v>45579</v>
      </c>
      <c r="E136" t="s">
        <v>82</v>
      </c>
      <c r="F136" t="str">
        <f t="shared" si="2"/>
        <v>Terminated</v>
      </c>
    </row>
    <row r="137" spans="1:6" x14ac:dyDescent="0.2">
      <c r="A137" s="2">
        <v>136</v>
      </c>
      <c r="B137">
        <v>200</v>
      </c>
      <c r="C137" s="1">
        <v>45446</v>
      </c>
      <c r="D137" s="1"/>
      <c r="E137" t="s">
        <v>82</v>
      </c>
      <c r="F137" t="str">
        <f t="shared" si="2"/>
        <v>Active</v>
      </c>
    </row>
    <row r="138" spans="1:6" x14ac:dyDescent="0.2">
      <c r="A138" s="2">
        <v>137</v>
      </c>
      <c r="B138">
        <v>200</v>
      </c>
      <c r="C138" s="1">
        <v>45449</v>
      </c>
      <c r="D138" s="1">
        <v>45812</v>
      </c>
      <c r="E138" t="s">
        <v>82</v>
      </c>
      <c r="F138" t="str">
        <f t="shared" si="2"/>
        <v>Terminated</v>
      </c>
    </row>
    <row r="139" spans="1:6" x14ac:dyDescent="0.2">
      <c r="A139" s="2">
        <v>138</v>
      </c>
      <c r="B139">
        <v>200</v>
      </c>
      <c r="C139" s="1">
        <v>45449</v>
      </c>
      <c r="D139" s="1">
        <v>45504</v>
      </c>
      <c r="E139" t="s">
        <v>82</v>
      </c>
      <c r="F139" t="str">
        <f t="shared" si="2"/>
        <v>Terminated</v>
      </c>
    </row>
    <row r="140" spans="1:6" x14ac:dyDescent="0.2">
      <c r="A140" s="2">
        <v>139</v>
      </c>
      <c r="B140">
        <v>200</v>
      </c>
      <c r="C140" s="1">
        <v>45460</v>
      </c>
      <c r="D140" s="1"/>
      <c r="E140" t="s">
        <v>82</v>
      </c>
      <c r="F140" t="str">
        <f t="shared" si="2"/>
        <v>Active</v>
      </c>
    </row>
    <row r="141" spans="1:6" x14ac:dyDescent="0.2">
      <c r="A141" s="2">
        <v>140</v>
      </c>
      <c r="B141">
        <v>200</v>
      </c>
      <c r="C141" s="1">
        <v>45468</v>
      </c>
      <c r="D141" s="1">
        <v>45758</v>
      </c>
      <c r="E141" t="s">
        <v>82</v>
      </c>
      <c r="F141" t="str">
        <f t="shared" si="2"/>
        <v>Terminated</v>
      </c>
    </row>
    <row r="142" spans="1:6" x14ac:dyDescent="0.2">
      <c r="A142" s="2">
        <v>141</v>
      </c>
      <c r="B142">
        <v>200</v>
      </c>
      <c r="C142" s="1">
        <v>45492</v>
      </c>
      <c r="D142" s="1">
        <v>45544</v>
      </c>
      <c r="E142" t="s">
        <v>82</v>
      </c>
      <c r="F142" t="str">
        <f t="shared" si="2"/>
        <v>Terminated</v>
      </c>
    </row>
    <row r="143" spans="1:6" x14ac:dyDescent="0.2">
      <c r="A143" s="2">
        <v>142</v>
      </c>
      <c r="B143">
        <v>200</v>
      </c>
      <c r="C143" s="1">
        <v>45520</v>
      </c>
      <c r="D143" s="1">
        <v>45846</v>
      </c>
      <c r="E143" t="s">
        <v>82</v>
      </c>
      <c r="F143" t="str">
        <f t="shared" si="2"/>
        <v>Terminated</v>
      </c>
    </row>
    <row r="144" spans="1:6" x14ac:dyDescent="0.2">
      <c r="A144" s="2">
        <v>143</v>
      </c>
      <c r="B144">
        <v>200</v>
      </c>
      <c r="C144" s="1">
        <v>45539</v>
      </c>
      <c r="D144" s="1">
        <v>46125</v>
      </c>
      <c r="E144" t="s">
        <v>82</v>
      </c>
      <c r="F144" t="str">
        <f t="shared" si="2"/>
        <v>Terminated</v>
      </c>
    </row>
    <row r="145" spans="1:6" x14ac:dyDescent="0.2">
      <c r="A145" s="2">
        <v>144</v>
      </c>
      <c r="B145">
        <v>200</v>
      </c>
      <c r="C145" s="1">
        <v>45541</v>
      </c>
      <c r="D145" s="1"/>
      <c r="E145" t="s">
        <v>82</v>
      </c>
      <c r="F145" t="str">
        <f t="shared" si="2"/>
        <v>Active</v>
      </c>
    </row>
    <row r="146" spans="1:6" x14ac:dyDescent="0.2">
      <c r="A146" s="2">
        <v>145</v>
      </c>
      <c r="B146">
        <v>200</v>
      </c>
      <c r="C146" s="1">
        <v>45565</v>
      </c>
      <c r="D146" s="1"/>
      <c r="E146" t="s">
        <v>82</v>
      </c>
      <c r="F146" t="str">
        <f t="shared" si="2"/>
        <v>Active</v>
      </c>
    </row>
    <row r="147" spans="1:6" x14ac:dyDescent="0.2">
      <c r="A147" s="2">
        <v>146</v>
      </c>
      <c r="B147">
        <v>200</v>
      </c>
      <c r="C147" s="1">
        <v>45579</v>
      </c>
      <c r="D147" s="1"/>
      <c r="E147" t="s">
        <v>82</v>
      </c>
      <c r="F147" t="str">
        <f t="shared" si="2"/>
        <v>Active</v>
      </c>
    </row>
    <row r="148" spans="1:6" x14ac:dyDescent="0.2">
      <c r="A148" s="2">
        <v>147</v>
      </c>
      <c r="B148">
        <v>200</v>
      </c>
      <c r="C148" s="1">
        <v>45595</v>
      </c>
      <c r="D148" s="1">
        <v>45831</v>
      </c>
      <c r="E148" t="s">
        <v>82</v>
      </c>
      <c r="F148" t="str">
        <f t="shared" si="2"/>
        <v>Terminated</v>
      </c>
    </row>
    <row r="149" spans="1:6" x14ac:dyDescent="0.2">
      <c r="A149" s="2">
        <v>148</v>
      </c>
      <c r="B149">
        <v>200</v>
      </c>
      <c r="C149" s="1">
        <v>45603</v>
      </c>
      <c r="D149" s="1"/>
      <c r="E149" t="s">
        <v>82</v>
      </c>
      <c r="F149" t="str">
        <f t="shared" si="2"/>
        <v>Active</v>
      </c>
    </row>
    <row r="150" spans="1:6" x14ac:dyDescent="0.2">
      <c r="A150" s="2">
        <v>149</v>
      </c>
      <c r="B150">
        <v>200</v>
      </c>
      <c r="C150" s="1">
        <v>45614</v>
      </c>
      <c r="D150" s="1">
        <v>45646</v>
      </c>
      <c r="E150" t="s">
        <v>82</v>
      </c>
      <c r="F150" t="str">
        <f t="shared" si="2"/>
        <v>Terminated</v>
      </c>
    </row>
    <row r="151" spans="1:6" x14ac:dyDescent="0.2">
      <c r="A151" s="2">
        <v>150</v>
      </c>
      <c r="B151">
        <v>200</v>
      </c>
      <c r="C151" s="1">
        <v>45617</v>
      </c>
      <c r="D151" s="1"/>
      <c r="E151" t="s">
        <v>82</v>
      </c>
      <c r="F151" t="str">
        <f t="shared" si="2"/>
        <v>Active</v>
      </c>
    </row>
    <row r="152" spans="1:6" x14ac:dyDescent="0.2">
      <c r="A152" s="2">
        <v>151</v>
      </c>
      <c r="B152">
        <v>200</v>
      </c>
      <c r="C152" s="1">
        <v>45618</v>
      </c>
      <c r="D152" s="1"/>
      <c r="E152" t="s">
        <v>82</v>
      </c>
      <c r="F152" t="str">
        <f t="shared" si="2"/>
        <v>Active</v>
      </c>
    </row>
    <row r="153" spans="1:6" x14ac:dyDescent="0.2">
      <c r="A153" s="2">
        <v>152</v>
      </c>
      <c r="B153">
        <v>200</v>
      </c>
      <c r="C153" s="1">
        <v>45628</v>
      </c>
      <c r="D153" s="1"/>
      <c r="E153" t="s">
        <v>82</v>
      </c>
      <c r="F153" t="str">
        <f t="shared" si="2"/>
        <v>Active</v>
      </c>
    </row>
    <row r="154" spans="1:6" x14ac:dyDescent="0.2">
      <c r="A154" s="2">
        <v>153</v>
      </c>
      <c r="B154">
        <v>200</v>
      </c>
      <c r="C154" s="1">
        <v>45628</v>
      </c>
      <c r="D154" s="1"/>
      <c r="E154" t="s">
        <v>82</v>
      </c>
      <c r="F154" t="str">
        <f t="shared" si="2"/>
        <v>Active</v>
      </c>
    </row>
    <row r="155" spans="1:6" x14ac:dyDescent="0.2">
      <c r="A155" s="2">
        <v>154</v>
      </c>
      <c r="B155">
        <v>200</v>
      </c>
      <c r="C155" s="1">
        <v>45630</v>
      </c>
      <c r="D155" s="1">
        <v>45663</v>
      </c>
      <c r="E155" t="s">
        <v>82</v>
      </c>
      <c r="F155" t="str">
        <f t="shared" si="2"/>
        <v>Terminated</v>
      </c>
    </row>
    <row r="156" spans="1:6" x14ac:dyDescent="0.2">
      <c r="A156" s="2">
        <v>155</v>
      </c>
      <c r="B156">
        <v>200</v>
      </c>
      <c r="C156" s="1">
        <v>45635</v>
      </c>
      <c r="D156" s="1"/>
      <c r="E156" t="s">
        <v>82</v>
      </c>
      <c r="F156" t="str">
        <f t="shared" si="2"/>
        <v>Active</v>
      </c>
    </row>
    <row r="157" spans="1:6" x14ac:dyDescent="0.2">
      <c r="A157" s="2">
        <v>156</v>
      </c>
      <c r="B157">
        <v>200</v>
      </c>
      <c r="C157" s="1">
        <v>45649</v>
      </c>
      <c r="D157" s="1"/>
      <c r="E157" t="s">
        <v>82</v>
      </c>
      <c r="F157" t="str">
        <f t="shared" si="2"/>
        <v>Active</v>
      </c>
    </row>
    <row r="158" spans="1:6" x14ac:dyDescent="0.2">
      <c r="A158" s="2">
        <v>157</v>
      </c>
      <c r="B158">
        <v>200</v>
      </c>
      <c r="C158" s="1">
        <v>45656</v>
      </c>
      <c r="D158" s="1">
        <v>45905</v>
      </c>
      <c r="E158" t="s">
        <v>82</v>
      </c>
      <c r="F158" t="str">
        <f t="shared" si="2"/>
        <v>Terminated</v>
      </c>
    </row>
    <row r="159" spans="1:6" x14ac:dyDescent="0.2">
      <c r="A159" s="2">
        <v>158</v>
      </c>
      <c r="B159">
        <v>200</v>
      </c>
      <c r="C159" s="1">
        <v>45674</v>
      </c>
      <c r="D159" s="1">
        <v>45803</v>
      </c>
      <c r="E159" t="s">
        <v>82</v>
      </c>
      <c r="F159" t="str">
        <f t="shared" si="2"/>
        <v>Terminated</v>
      </c>
    </row>
    <row r="160" spans="1:6" x14ac:dyDescent="0.2">
      <c r="A160" s="2">
        <v>159</v>
      </c>
      <c r="B160">
        <v>200</v>
      </c>
      <c r="C160" s="1">
        <v>45688</v>
      </c>
      <c r="D160" s="1"/>
      <c r="E160" t="s">
        <v>82</v>
      </c>
      <c r="F160" t="str">
        <f t="shared" si="2"/>
        <v>Active</v>
      </c>
    </row>
    <row r="161" spans="1:6" x14ac:dyDescent="0.2">
      <c r="A161" s="2">
        <v>160</v>
      </c>
      <c r="B161">
        <v>200</v>
      </c>
      <c r="C161" s="1">
        <v>45691</v>
      </c>
      <c r="D161" s="1"/>
      <c r="E161" t="s">
        <v>82</v>
      </c>
      <c r="F161" t="str">
        <f t="shared" si="2"/>
        <v>Active</v>
      </c>
    </row>
    <row r="162" spans="1:6" x14ac:dyDescent="0.2">
      <c r="A162" s="2">
        <v>161</v>
      </c>
      <c r="B162">
        <v>200</v>
      </c>
      <c r="C162" s="1">
        <v>45693</v>
      </c>
      <c r="D162" s="1"/>
      <c r="E162" t="s">
        <v>82</v>
      </c>
      <c r="F162" t="str">
        <f t="shared" si="2"/>
        <v>Active</v>
      </c>
    </row>
    <row r="163" spans="1:6" x14ac:dyDescent="0.2">
      <c r="A163" s="2">
        <v>162</v>
      </c>
      <c r="B163">
        <v>200</v>
      </c>
      <c r="C163" s="1">
        <v>45715</v>
      </c>
      <c r="D163" s="1"/>
      <c r="E163" t="s">
        <v>82</v>
      </c>
      <c r="F163" t="str">
        <f t="shared" si="2"/>
        <v>Active</v>
      </c>
    </row>
    <row r="164" spans="1:6" x14ac:dyDescent="0.2">
      <c r="A164" s="2">
        <v>163</v>
      </c>
      <c r="B164">
        <v>200</v>
      </c>
      <c r="C164" s="1">
        <v>45719</v>
      </c>
      <c r="D164" s="1"/>
      <c r="E164" t="s">
        <v>82</v>
      </c>
      <c r="F164" t="str">
        <f t="shared" si="2"/>
        <v>Active</v>
      </c>
    </row>
    <row r="165" spans="1:6" x14ac:dyDescent="0.2">
      <c r="A165" s="2">
        <v>164</v>
      </c>
      <c r="B165">
        <v>200</v>
      </c>
      <c r="C165" s="1">
        <v>45719</v>
      </c>
      <c r="D165" s="1">
        <v>46105</v>
      </c>
      <c r="E165" t="s">
        <v>82</v>
      </c>
      <c r="F165" t="str">
        <f t="shared" si="2"/>
        <v>Terminated</v>
      </c>
    </row>
    <row r="166" spans="1:6" x14ac:dyDescent="0.2">
      <c r="A166" s="2">
        <v>165</v>
      </c>
      <c r="B166">
        <v>200</v>
      </c>
      <c r="C166" s="1">
        <v>45720</v>
      </c>
      <c r="D166" s="1"/>
      <c r="E166" t="s">
        <v>82</v>
      </c>
      <c r="F166" t="str">
        <f t="shared" si="2"/>
        <v>Active</v>
      </c>
    </row>
    <row r="167" spans="1:6" x14ac:dyDescent="0.2">
      <c r="A167" s="2">
        <v>166</v>
      </c>
      <c r="B167">
        <v>200</v>
      </c>
      <c r="C167" s="1">
        <v>45721</v>
      </c>
      <c r="D167" s="1"/>
      <c r="E167" t="s">
        <v>82</v>
      </c>
      <c r="F167" t="str">
        <f t="shared" si="2"/>
        <v>Active</v>
      </c>
    </row>
    <row r="168" spans="1:6" x14ac:dyDescent="0.2">
      <c r="A168" s="2">
        <v>167</v>
      </c>
      <c r="B168">
        <v>200</v>
      </c>
      <c r="C168" s="1">
        <v>45722</v>
      </c>
      <c r="D168" s="1">
        <v>45946</v>
      </c>
      <c r="E168" t="s">
        <v>82</v>
      </c>
      <c r="F168" t="str">
        <f t="shared" si="2"/>
        <v>Terminated</v>
      </c>
    </row>
    <row r="169" spans="1:6" x14ac:dyDescent="0.2">
      <c r="A169" s="2">
        <v>168</v>
      </c>
      <c r="B169">
        <v>200</v>
      </c>
      <c r="C169" s="1">
        <v>45727</v>
      </c>
      <c r="D169" s="1"/>
      <c r="E169" t="s">
        <v>82</v>
      </c>
      <c r="F169" t="str">
        <f t="shared" si="2"/>
        <v>Active</v>
      </c>
    </row>
    <row r="170" spans="1:6" x14ac:dyDescent="0.2">
      <c r="A170" s="2">
        <v>169</v>
      </c>
      <c r="B170">
        <v>200</v>
      </c>
      <c r="C170" s="1">
        <v>45733</v>
      </c>
      <c r="D170" s="1"/>
      <c r="E170" t="s">
        <v>82</v>
      </c>
      <c r="F170" t="str">
        <f t="shared" si="2"/>
        <v>Active</v>
      </c>
    </row>
    <row r="171" spans="1:6" x14ac:dyDescent="0.2">
      <c r="A171" s="2">
        <v>170</v>
      </c>
      <c r="B171">
        <v>200</v>
      </c>
      <c r="C171" s="1">
        <v>45735</v>
      </c>
      <c r="D171" s="1"/>
      <c r="E171" t="s">
        <v>82</v>
      </c>
      <c r="F171" t="str">
        <f t="shared" si="2"/>
        <v>Active</v>
      </c>
    </row>
    <row r="172" spans="1:6" x14ac:dyDescent="0.2">
      <c r="A172" s="2">
        <v>171</v>
      </c>
      <c r="B172">
        <v>200</v>
      </c>
      <c r="C172" s="1">
        <v>45740</v>
      </c>
      <c r="D172" s="1"/>
      <c r="E172" t="s">
        <v>82</v>
      </c>
      <c r="F172" t="str">
        <f t="shared" si="2"/>
        <v>Active</v>
      </c>
    </row>
    <row r="173" spans="1:6" x14ac:dyDescent="0.2">
      <c r="A173" s="2">
        <v>172</v>
      </c>
      <c r="B173">
        <v>200</v>
      </c>
      <c r="C173" s="1">
        <v>45741</v>
      </c>
      <c r="D173" s="1">
        <v>46042</v>
      </c>
      <c r="E173" t="s">
        <v>82</v>
      </c>
      <c r="F173" t="str">
        <f t="shared" si="2"/>
        <v>Terminated</v>
      </c>
    </row>
    <row r="174" spans="1:6" x14ac:dyDescent="0.2">
      <c r="A174" s="2">
        <v>173</v>
      </c>
      <c r="B174">
        <v>200</v>
      </c>
      <c r="C174" s="1">
        <v>45747</v>
      </c>
      <c r="D174" s="1"/>
      <c r="E174" t="s">
        <v>82</v>
      </c>
      <c r="F174" t="str">
        <f t="shared" si="2"/>
        <v>Active</v>
      </c>
    </row>
    <row r="175" spans="1:6" x14ac:dyDescent="0.2">
      <c r="A175" s="2">
        <v>174</v>
      </c>
      <c r="B175">
        <v>200</v>
      </c>
      <c r="C175" s="1">
        <v>45748</v>
      </c>
      <c r="D175" s="1"/>
      <c r="E175" t="s">
        <v>82</v>
      </c>
      <c r="F175" t="str">
        <f t="shared" si="2"/>
        <v>Active</v>
      </c>
    </row>
    <row r="176" spans="1:6" x14ac:dyDescent="0.2">
      <c r="A176" s="2">
        <v>175</v>
      </c>
      <c r="B176">
        <v>200</v>
      </c>
      <c r="C176" s="1">
        <v>45750</v>
      </c>
      <c r="D176" s="1"/>
      <c r="E176" t="s">
        <v>82</v>
      </c>
      <c r="F176" t="str">
        <f t="shared" si="2"/>
        <v>Active</v>
      </c>
    </row>
    <row r="177" spans="1:6" x14ac:dyDescent="0.2">
      <c r="A177" s="2">
        <v>176</v>
      </c>
      <c r="B177">
        <v>200</v>
      </c>
      <c r="C177" s="1">
        <v>45757</v>
      </c>
      <c r="D177" s="1"/>
      <c r="E177" t="s">
        <v>82</v>
      </c>
      <c r="F177" t="str">
        <f t="shared" si="2"/>
        <v>Active</v>
      </c>
    </row>
    <row r="178" spans="1:6" x14ac:dyDescent="0.2">
      <c r="A178" s="2">
        <v>177</v>
      </c>
      <c r="B178">
        <v>200</v>
      </c>
      <c r="C178" s="1">
        <v>45768</v>
      </c>
      <c r="D178" s="1"/>
      <c r="E178" t="s">
        <v>82</v>
      </c>
      <c r="F178" t="str">
        <f t="shared" si="2"/>
        <v>Active</v>
      </c>
    </row>
    <row r="179" spans="1:6" x14ac:dyDescent="0.2">
      <c r="A179" s="2">
        <v>178</v>
      </c>
      <c r="B179">
        <v>200</v>
      </c>
      <c r="C179" s="1">
        <v>45770</v>
      </c>
      <c r="D179" s="1">
        <v>46230</v>
      </c>
      <c r="E179" t="s">
        <v>82</v>
      </c>
      <c r="F179" t="str">
        <f t="shared" si="2"/>
        <v>Terminated</v>
      </c>
    </row>
    <row r="180" spans="1:6" x14ac:dyDescent="0.2">
      <c r="A180" s="2">
        <v>179</v>
      </c>
      <c r="B180">
        <v>200</v>
      </c>
      <c r="C180" s="1">
        <v>45779</v>
      </c>
      <c r="D180" s="1"/>
      <c r="E180" t="s">
        <v>82</v>
      </c>
      <c r="F180" t="str">
        <f t="shared" si="2"/>
        <v>Active</v>
      </c>
    </row>
    <row r="181" spans="1:6" x14ac:dyDescent="0.2">
      <c r="A181" s="2">
        <v>180</v>
      </c>
      <c r="B181">
        <v>200</v>
      </c>
      <c r="C181" s="1">
        <v>45783</v>
      </c>
      <c r="D181" s="1"/>
      <c r="E181" t="s">
        <v>82</v>
      </c>
      <c r="F181" t="str">
        <f t="shared" si="2"/>
        <v>Active</v>
      </c>
    </row>
    <row r="182" spans="1:6" x14ac:dyDescent="0.2">
      <c r="A182" s="2">
        <v>181</v>
      </c>
      <c r="B182">
        <v>200</v>
      </c>
      <c r="C182" s="1">
        <v>45786</v>
      </c>
      <c r="D182" s="1">
        <v>46000</v>
      </c>
      <c r="E182" t="s">
        <v>558</v>
      </c>
      <c r="F182" t="str">
        <f t="shared" si="2"/>
        <v>Terminated</v>
      </c>
    </row>
    <row r="183" spans="1:6" x14ac:dyDescent="0.2">
      <c r="A183" s="2">
        <v>182</v>
      </c>
      <c r="B183">
        <v>200</v>
      </c>
      <c r="C183" s="1">
        <v>45790</v>
      </c>
      <c r="D183" s="1"/>
      <c r="E183" t="s">
        <v>82</v>
      </c>
      <c r="F183" t="str">
        <f t="shared" si="2"/>
        <v>Active</v>
      </c>
    </row>
    <row r="184" spans="1:6" x14ac:dyDescent="0.2">
      <c r="A184" s="2">
        <v>183</v>
      </c>
      <c r="B184">
        <v>200</v>
      </c>
      <c r="C184" s="1">
        <v>45791</v>
      </c>
      <c r="D184" s="1"/>
      <c r="E184" t="s">
        <v>82</v>
      </c>
      <c r="F184" t="str">
        <f t="shared" si="2"/>
        <v>Active</v>
      </c>
    </row>
    <row r="185" spans="1:6" x14ac:dyDescent="0.2">
      <c r="A185" s="2">
        <v>184</v>
      </c>
      <c r="B185">
        <v>200</v>
      </c>
      <c r="C185" s="1">
        <v>45791</v>
      </c>
      <c r="D185" s="1"/>
      <c r="E185" t="s">
        <v>82</v>
      </c>
      <c r="F185" t="str">
        <f t="shared" si="2"/>
        <v>Active</v>
      </c>
    </row>
    <row r="186" spans="1:6" x14ac:dyDescent="0.2">
      <c r="A186" s="2">
        <v>185</v>
      </c>
      <c r="B186">
        <v>200</v>
      </c>
      <c r="C186" s="1">
        <v>45806</v>
      </c>
      <c r="D186" s="1"/>
      <c r="E186" t="s">
        <v>558</v>
      </c>
      <c r="F186" t="str">
        <f t="shared" si="2"/>
        <v>Active</v>
      </c>
    </row>
    <row r="187" spans="1:6" x14ac:dyDescent="0.2">
      <c r="A187" s="2">
        <v>186</v>
      </c>
      <c r="B187">
        <v>200</v>
      </c>
      <c r="C187" s="1">
        <v>45806</v>
      </c>
      <c r="D187" s="1">
        <v>45911</v>
      </c>
      <c r="E187" t="s">
        <v>82</v>
      </c>
      <c r="F187" t="str">
        <f t="shared" si="2"/>
        <v>Terminated</v>
      </c>
    </row>
    <row r="188" spans="1:6" x14ac:dyDescent="0.2">
      <c r="A188" s="2">
        <v>187</v>
      </c>
      <c r="B188">
        <v>200</v>
      </c>
      <c r="C188" s="1">
        <v>45806</v>
      </c>
      <c r="D188" s="1">
        <v>46300</v>
      </c>
      <c r="E188" t="s">
        <v>82</v>
      </c>
      <c r="F188" t="str">
        <f t="shared" si="2"/>
        <v>Terminated</v>
      </c>
    </row>
    <row r="189" spans="1:6" x14ac:dyDescent="0.2">
      <c r="A189" s="2">
        <v>188</v>
      </c>
      <c r="B189">
        <v>200</v>
      </c>
      <c r="C189" s="1">
        <v>45812</v>
      </c>
      <c r="D189" s="1"/>
      <c r="E189" t="s">
        <v>82</v>
      </c>
      <c r="F189" t="str">
        <f t="shared" si="2"/>
        <v>Active</v>
      </c>
    </row>
    <row r="190" spans="1:6" x14ac:dyDescent="0.2">
      <c r="A190" s="2">
        <v>189</v>
      </c>
      <c r="B190">
        <v>200</v>
      </c>
      <c r="C190" s="1">
        <v>45818</v>
      </c>
      <c r="D190" s="1">
        <v>45996</v>
      </c>
      <c r="E190" t="s">
        <v>82</v>
      </c>
      <c r="F190" t="str">
        <f t="shared" si="2"/>
        <v>Terminated</v>
      </c>
    </row>
    <row r="191" spans="1:6" x14ac:dyDescent="0.2">
      <c r="A191" s="2">
        <v>190</v>
      </c>
      <c r="B191">
        <v>200</v>
      </c>
      <c r="C191" s="1">
        <v>45819</v>
      </c>
      <c r="D191" s="1"/>
      <c r="E191" t="s">
        <v>557</v>
      </c>
      <c r="F191" t="str">
        <f t="shared" si="2"/>
        <v>Active</v>
      </c>
    </row>
    <row r="192" spans="1:6" x14ac:dyDescent="0.2">
      <c r="A192" s="2">
        <v>191</v>
      </c>
      <c r="B192">
        <v>200</v>
      </c>
      <c r="C192" s="1">
        <v>45821</v>
      </c>
      <c r="D192" s="1"/>
      <c r="E192" t="s">
        <v>82</v>
      </c>
      <c r="F192" t="str">
        <f t="shared" si="2"/>
        <v>Active</v>
      </c>
    </row>
    <row r="193" spans="1:6" x14ac:dyDescent="0.2">
      <c r="A193" s="2">
        <v>192</v>
      </c>
      <c r="B193">
        <v>200</v>
      </c>
      <c r="C193" s="1">
        <v>45824</v>
      </c>
      <c r="D193" s="1"/>
      <c r="E193" t="s">
        <v>82</v>
      </c>
      <c r="F193" t="str">
        <f t="shared" si="2"/>
        <v>Active</v>
      </c>
    </row>
    <row r="194" spans="1:6" x14ac:dyDescent="0.2">
      <c r="A194" s="2">
        <v>193</v>
      </c>
      <c r="B194">
        <v>200</v>
      </c>
      <c r="C194" s="1">
        <v>45839</v>
      </c>
      <c r="D194" s="1"/>
      <c r="E194" t="s">
        <v>82</v>
      </c>
      <c r="F194" t="str">
        <f t="shared" si="2"/>
        <v>Active</v>
      </c>
    </row>
    <row r="195" spans="1:6" x14ac:dyDescent="0.2">
      <c r="A195" s="2">
        <v>194</v>
      </c>
      <c r="B195">
        <v>200</v>
      </c>
      <c r="C195" s="1">
        <v>45860</v>
      </c>
      <c r="D195" s="1"/>
      <c r="E195" t="s">
        <v>82</v>
      </c>
      <c r="F195" t="str">
        <f t="shared" ref="F195:F258" si="3">IF(D195="","Active","Terminated")</f>
        <v>Active</v>
      </c>
    </row>
    <row r="196" spans="1:6" x14ac:dyDescent="0.2">
      <c r="A196" s="2">
        <v>195</v>
      </c>
      <c r="B196">
        <v>200</v>
      </c>
      <c r="C196" s="1">
        <v>45861</v>
      </c>
      <c r="D196" s="1">
        <v>46188</v>
      </c>
      <c r="E196" t="s">
        <v>82</v>
      </c>
      <c r="F196" t="str">
        <f t="shared" si="3"/>
        <v>Terminated</v>
      </c>
    </row>
    <row r="197" spans="1:6" x14ac:dyDescent="0.2">
      <c r="A197" s="2">
        <v>196</v>
      </c>
      <c r="B197">
        <v>200</v>
      </c>
      <c r="C197" s="1">
        <v>45873</v>
      </c>
      <c r="D197" s="1"/>
      <c r="E197" t="s">
        <v>82</v>
      </c>
      <c r="F197" t="str">
        <f t="shared" si="3"/>
        <v>Active</v>
      </c>
    </row>
    <row r="198" spans="1:6" x14ac:dyDescent="0.2">
      <c r="A198" s="2">
        <v>197</v>
      </c>
      <c r="B198">
        <v>200</v>
      </c>
      <c r="C198" s="1">
        <v>45876</v>
      </c>
      <c r="D198" s="1"/>
      <c r="E198" t="s">
        <v>82</v>
      </c>
      <c r="F198" t="str">
        <f t="shared" si="3"/>
        <v>Active</v>
      </c>
    </row>
    <row r="199" spans="1:6" x14ac:dyDescent="0.2">
      <c r="A199" s="2">
        <v>198</v>
      </c>
      <c r="B199">
        <v>200</v>
      </c>
      <c r="C199" s="1">
        <v>45877</v>
      </c>
      <c r="D199" s="1"/>
      <c r="E199" t="s">
        <v>82</v>
      </c>
      <c r="F199" t="str">
        <f t="shared" si="3"/>
        <v>Active</v>
      </c>
    </row>
    <row r="200" spans="1:6" x14ac:dyDescent="0.2">
      <c r="A200" s="2">
        <v>199</v>
      </c>
      <c r="B200">
        <v>200</v>
      </c>
      <c r="C200" s="1">
        <v>45888</v>
      </c>
      <c r="D200" s="1"/>
      <c r="E200" t="s">
        <v>82</v>
      </c>
      <c r="F200" t="str">
        <f t="shared" si="3"/>
        <v>Active</v>
      </c>
    </row>
    <row r="201" spans="1:6" x14ac:dyDescent="0.2">
      <c r="A201" s="2">
        <v>200</v>
      </c>
      <c r="B201">
        <v>200</v>
      </c>
      <c r="C201" s="1">
        <v>45888</v>
      </c>
      <c r="D201" s="1">
        <v>46028</v>
      </c>
      <c r="E201" t="s">
        <v>82</v>
      </c>
      <c r="F201" t="str">
        <f t="shared" si="3"/>
        <v>Terminated</v>
      </c>
    </row>
    <row r="202" spans="1:6" x14ac:dyDescent="0.2">
      <c r="A202" s="2">
        <v>201</v>
      </c>
      <c r="B202">
        <v>200</v>
      </c>
      <c r="C202" s="1">
        <v>45889</v>
      </c>
      <c r="D202" s="1"/>
      <c r="E202" t="s">
        <v>82</v>
      </c>
      <c r="F202" t="str">
        <f t="shared" si="3"/>
        <v>Active</v>
      </c>
    </row>
    <row r="203" spans="1:6" x14ac:dyDescent="0.2">
      <c r="A203" s="2">
        <v>202</v>
      </c>
      <c r="B203">
        <v>200</v>
      </c>
      <c r="C203" s="1">
        <v>45904</v>
      </c>
      <c r="D203" s="1"/>
      <c r="E203" t="s">
        <v>557</v>
      </c>
      <c r="F203" t="str">
        <f t="shared" si="3"/>
        <v>Active</v>
      </c>
    </row>
    <row r="204" spans="1:6" x14ac:dyDescent="0.2">
      <c r="A204" s="2">
        <v>203</v>
      </c>
      <c r="B204">
        <v>200</v>
      </c>
      <c r="C204" s="1">
        <v>45909</v>
      </c>
      <c r="D204" s="1"/>
      <c r="E204" t="s">
        <v>82</v>
      </c>
      <c r="F204" t="str">
        <f t="shared" si="3"/>
        <v>Active</v>
      </c>
    </row>
    <row r="205" spans="1:6" x14ac:dyDescent="0.2">
      <c r="A205" s="2">
        <v>204</v>
      </c>
      <c r="B205">
        <v>200</v>
      </c>
      <c r="C205" s="1">
        <v>45912</v>
      </c>
      <c r="D205" s="1">
        <v>46001</v>
      </c>
      <c r="E205" t="s">
        <v>82</v>
      </c>
      <c r="F205" t="str">
        <f t="shared" si="3"/>
        <v>Terminated</v>
      </c>
    </row>
    <row r="206" spans="1:6" x14ac:dyDescent="0.2">
      <c r="A206" s="2">
        <v>205</v>
      </c>
      <c r="B206">
        <v>200</v>
      </c>
      <c r="C206" s="1">
        <v>45912</v>
      </c>
      <c r="D206" s="1"/>
      <c r="E206" t="s">
        <v>82</v>
      </c>
      <c r="F206" t="str">
        <f t="shared" si="3"/>
        <v>Active</v>
      </c>
    </row>
    <row r="207" spans="1:6" x14ac:dyDescent="0.2">
      <c r="A207" s="2">
        <v>206</v>
      </c>
      <c r="B207">
        <v>200</v>
      </c>
      <c r="C207" s="1">
        <v>45931</v>
      </c>
      <c r="D207" s="1"/>
      <c r="E207" t="s">
        <v>82</v>
      </c>
      <c r="F207" t="str">
        <f t="shared" si="3"/>
        <v>Active</v>
      </c>
    </row>
    <row r="208" spans="1:6" x14ac:dyDescent="0.2">
      <c r="A208" s="2">
        <v>207</v>
      </c>
      <c r="B208">
        <v>200</v>
      </c>
      <c r="C208" s="1">
        <v>45943</v>
      </c>
      <c r="D208" s="1"/>
      <c r="E208" t="s">
        <v>82</v>
      </c>
      <c r="F208" t="str">
        <f t="shared" si="3"/>
        <v>Active</v>
      </c>
    </row>
    <row r="209" spans="1:6" x14ac:dyDescent="0.2">
      <c r="A209" s="2">
        <v>208</v>
      </c>
      <c r="B209">
        <v>200</v>
      </c>
      <c r="C209" s="1">
        <v>45944</v>
      </c>
      <c r="D209" s="1"/>
      <c r="E209" t="s">
        <v>82</v>
      </c>
      <c r="F209" t="str">
        <f t="shared" si="3"/>
        <v>Active</v>
      </c>
    </row>
    <row r="210" spans="1:6" x14ac:dyDescent="0.2">
      <c r="A210" s="2">
        <v>209</v>
      </c>
      <c r="B210">
        <v>200</v>
      </c>
      <c r="C210" s="1">
        <v>45959</v>
      </c>
      <c r="D210" s="1"/>
      <c r="E210" t="s">
        <v>82</v>
      </c>
      <c r="F210" t="str">
        <f t="shared" si="3"/>
        <v>Active</v>
      </c>
    </row>
    <row r="211" spans="1:6" x14ac:dyDescent="0.2">
      <c r="A211" s="2">
        <v>210</v>
      </c>
      <c r="B211">
        <v>200</v>
      </c>
      <c r="C211" s="1">
        <v>45959</v>
      </c>
      <c r="D211" s="1"/>
      <c r="E211" t="s">
        <v>558</v>
      </c>
      <c r="F211" t="str">
        <f t="shared" si="3"/>
        <v>Active</v>
      </c>
    </row>
    <row r="212" spans="1:6" x14ac:dyDescent="0.2">
      <c r="A212" s="2">
        <v>211</v>
      </c>
      <c r="B212">
        <v>200</v>
      </c>
      <c r="C212" s="1">
        <v>45964</v>
      </c>
      <c r="D212" s="1"/>
      <c r="E212" t="s">
        <v>82</v>
      </c>
      <c r="F212" t="str">
        <f t="shared" si="3"/>
        <v>Active</v>
      </c>
    </row>
    <row r="213" spans="1:6" x14ac:dyDescent="0.2">
      <c r="A213" s="2">
        <v>212</v>
      </c>
      <c r="B213">
        <v>200</v>
      </c>
      <c r="C213" s="1">
        <v>45973</v>
      </c>
      <c r="D213" s="1"/>
      <c r="E213" t="s">
        <v>82</v>
      </c>
      <c r="F213" t="str">
        <f t="shared" si="3"/>
        <v>Active</v>
      </c>
    </row>
    <row r="214" spans="1:6" x14ac:dyDescent="0.2">
      <c r="A214" s="2">
        <v>213</v>
      </c>
      <c r="B214">
        <v>200</v>
      </c>
      <c r="C214" s="1">
        <v>45978</v>
      </c>
      <c r="D214" s="1"/>
      <c r="E214" t="s">
        <v>82</v>
      </c>
      <c r="F214" t="str">
        <f t="shared" si="3"/>
        <v>Active</v>
      </c>
    </row>
    <row r="215" spans="1:6" x14ac:dyDescent="0.2">
      <c r="A215" s="2">
        <v>214</v>
      </c>
      <c r="B215">
        <v>200</v>
      </c>
      <c r="C215" s="1">
        <v>45980</v>
      </c>
      <c r="D215" s="1"/>
      <c r="E215" t="s">
        <v>82</v>
      </c>
      <c r="F215" t="str">
        <f t="shared" si="3"/>
        <v>Active</v>
      </c>
    </row>
    <row r="216" spans="1:6" x14ac:dyDescent="0.2">
      <c r="A216" s="2">
        <v>215</v>
      </c>
      <c r="B216">
        <v>200</v>
      </c>
      <c r="C216" s="1">
        <v>45981</v>
      </c>
      <c r="D216" s="1"/>
      <c r="E216" t="s">
        <v>82</v>
      </c>
      <c r="F216" t="str">
        <f t="shared" si="3"/>
        <v>Active</v>
      </c>
    </row>
    <row r="217" spans="1:6" x14ac:dyDescent="0.2">
      <c r="A217" s="2">
        <v>216</v>
      </c>
      <c r="B217">
        <v>200</v>
      </c>
      <c r="C217" s="1">
        <v>45987</v>
      </c>
      <c r="D217" s="1"/>
      <c r="E217" t="s">
        <v>557</v>
      </c>
      <c r="F217" t="str">
        <f t="shared" si="3"/>
        <v>Active</v>
      </c>
    </row>
    <row r="218" spans="1:6" x14ac:dyDescent="0.2">
      <c r="A218" s="2">
        <v>217</v>
      </c>
      <c r="B218">
        <v>200</v>
      </c>
      <c r="C218" s="1">
        <v>45989</v>
      </c>
      <c r="D218" s="1"/>
      <c r="E218" t="s">
        <v>82</v>
      </c>
      <c r="F218" t="str">
        <f t="shared" si="3"/>
        <v>Active</v>
      </c>
    </row>
    <row r="219" spans="1:6" x14ac:dyDescent="0.2">
      <c r="A219" s="2">
        <v>218</v>
      </c>
      <c r="B219">
        <v>200</v>
      </c>
      <c r="C219" s="1">
        <v>45993</v>
      </c>
      <c r="D219" s="1"/>
      <c r="E219" t="s">
        <v>82</v>
      </c>
      <c r="F219" t="str">
        <f t="shared" si="3"/>
        <v>Active</v>
      </c>
    </row>
    <row r="220" spans="1:6" x14ac:dyDescent="0.2">
      <c r="A220" s="2">
        <v>219</v>
      </c>
      <c r="B220">
        <v>200</v>
      </c>
      <c r="C220" s="1">
        <v>45999</v>
      </c>
      <c r="D220" s="1"/>
      <c r="E220" t="s">
        <v>82</v>
      </c>
      <c r="F220" t="str">
        <f t="shared" si="3"/>
        <v>Active</v>
      </c>
    </row>
    <row r="221" spans="1:6" x14ac:dyDescent="0.2">
      <c r="A221" s="2">
        <v>220</v>
      </c>
      <c r="B221">
        <v>200</v>
      </c>
      <c r="C221" s="1">
        <v>45999</v>
      </c>
      <c r="D221" s="1"/>
      <c r="E221" t="s">
        <v>82</v>
      </c>
      <c r="F221" t="str">
        <f t="shared" si="3"/>
        <v>Active</v>
      </c>
    </row>
    <row r="222" spans="1:6" x14ac:dyDescent="0.2">
      <c r="A222" s="2">
        <v>221</v>
      </c>
      <c r="B222">
        <v>200</v>
      </c>
      <c r="C222" s="1">
        <v>45999</v>
      </c>
      <c r="D222" s="1"/>
      <c r="E222" t="s">
        <v>82</v>
      </c>
      <c r="F222" t="str">
        <f t="shared" si="3"/>
        <v>Active</v>
      </c>
    </row>
    <row r="223" spans="1:6" x14ac:dyDescent="0.2">
      <c r="A223" s="2">
        <v>222</v>
      </c>
      <c r="B223">
        <v>200</v>
      </c>
      <c r="C223" s="1">
        <v>46001</v>
      </c>
      <c r="D223" s="1"/>
      <c r="E223" t="s">
        <v>82</v>
      </c>
      <c r="F223" t="str">
        <f t="shared" si="3"/>
        <v>Active</v>
      </c>
    </row>
    <row r="224" spans="1:6" x14ac:dyDescent="0.2">
      <c r="A224" s="2">
        <v>223</v>
      </c>
      <c r="B224">
        <v>200</v>
      </c>
      <c r="C224" s="1">
        <v>46009</v>
      </c>
      <c r="D224" s="1"/>
      <c r="E224" t="s">
        <v>558</v>
      </c>
      <c r="F224" t="str">
        <f t="shared" si="3"/>
        <v>Active</v>
      </c>
    </row>
    <row r="225" spans="1:6" x14ac:dyDescent="0.2">
      <c r="A225" s="2">
        <v>224</v>
      </c>
      <c r="B225">
        <v>200</v>
      </c>
      <c r="C225" s="1">
        <v>46013</v>
      </c>
      <c r="D225" s="1"/>
      <c r="E225" t="s">
        <v>82</v>
      </c>
      <c r="F225" t="str">
        <f t="shared" si="3"/>
        <v>Active</v>
      </c>
    </row>
    <row r="226" spans="1:6" x14ac:dyDescent="0.2">
      <c r="A226" s="2">
        <v>225</v>
      </c>
      <c r="B226">
        <v>200</v>
      </c>
      <c r="C226" s="1">
        <v>46016</v>
      </c>
      <c r="D226" s="1"/>
      <c r="E226" t="s">
        <v>82</v>
      </c>
      <c r="F226" t="str">
        <f t="shared" si="3"/>
        <v>Active</v>
      </c>
    </row>
    <row r="227" spans="1:6" x14ac:dyDescent="0.2">
      <c r="A227" s="2">
        <v>226</v>
      </c>
      <c r="B227">
        <v>200</v>
      </c>
      <c r="C227" s="1">
        <v>46022</v>
      </c>
      <c r="D227" s="1"/>
      <c r="E227" t="s">
        <v>82</v>
      </c>
      <c r="F227" t="str">
        <f t="shared" si="3"/>
        <v>Active</v>
      </c>
    </row>
    <row r="228" spans="1:6" x14ac:dyDescent="0.2">
      <c r="A228" s="2">
        <v>227</v>
      </c>
      <c r="B228">
        <v>200</v>
      </c>
      <c r="C228" s="1">
        <v>46022</v>
      </c>
      <c r="D228" s="1"/>
      <c r="E228" t="s">
        <v>82</v>
      </c>
      <c r="F228" t="str">
        <f t="shared" si="3"/>
        <v>Active</v>
      </c>
    </row>
    <row r="229" spans="1:6" x14ac:dyDescent="0.2">
      <c r="A229" s="2">
        <v>228</v>
      </c>
      <c r="B229">
        <v>200</v>
      </c>
      <c r="C229" s="1">
        <v>46024</v>
      </c>
      <c r="D229" s="1">
        <v>46230</v>
      </c>
      <c r="E229" t="s">
        <v>558</v>
      </c>
      <c r="F229" t="str">
        <f t="shared" si="3"/>
        <v>Terminated</v>
      </c>
    </row>
    <row r="230" spans="1:6" x14ac:dyDescent="0.2">
      <c r="A230" s="2">
        <v>229</v>
      </c>
      <c r="B230">
        <v>200</v>
      </c>
      <c r="C230" s="1">
        <v>46027</v>
      </c>
      <c r="D230" s="1"/>
      <c r="E230" t="s">
        <v>82</v>
      </c>
      <c r="F230" t="str">
        <f t="shared" si="3"/>
        <v>Active</v>
      </c>
    </row>
    <row r="231" spans="1:6" x14ac:dyDescent="0.2">
      <c r="A231" s="2">
        <v>230</v>
      </c>
      <c r="B231">
        <v>200</v>
      </c>
      <c r="C231" s="1">
        <v>46027</v>
      </c>
      <c r="D231" s="1"/>
      <c r="E231" t="s">
        <v>82</v>
      </c>
      <c r="F231" t="str">
        <f t="shared" si="3"/>
        <v>Active</v>
      </c>
    </row>
    <row r="232" spans="1:6" x14ac:dyDescent="0.2">
      <c r="A232" s="2">
        <v>231</v>
      </c>
      <c r="B232">
        <v>200</v>
      </c>
      <c r="C232" s="1">
        <v>46031</v>
      </c>
      <c r="D232" s="1"/>
      <c r="E232" t="s">
        <v>82</v>
      </c>
      <c r="F232" t="str">
        <f t="shared" si="3"/>
        <v>Active</v>
      </c>
    </row>
    <row r="233" spans="1:6" x14ac:dyDescent="0.2">
      <c r="A233" s="2">
        <v>232</v>
      </c>
      <c r="B233">
        <v>200</v>
      </c>
      <c r="C233" s="1">
        <v>46031</v>
      </c>
      <c r="D233" s="1"/>
      <c r="E233" t="s">
        <v>82</v>
      </c>
      <c r="F233" t="str">
        <f t="shared" si="3"/>
        <v>Active</v>
      </c>
    </row>
    <row r="234" spans="1:6" x14ac:dyDescent="0.2">
      <c r="A234" s="2">
        <v>233</v>
      </c>
      <c r="B234">
        <v>200</v>
      </c>
      <c r="C234" s="1">
        <v>46031</v>
      </c>
      <c r="D234" s="1">
        <v>46197</v>
      </c>
      <c r="E234" t="s">
        <v>82</v>
      </c>
      <c r="F234" t="str">
        <f t="shared" si="3"/>
        <v>Terminated</v>
      </c>
    </row>
    <row r="235" spans="1:6" x14ac:dyDescent="0.2">
      <c r="A235" s="2">
        <v>234</v>
      </c>
      <c r="B235">
        <v>200</v>
      </c>
      <c r="C235" s="1">
        <v>46031</v>
      </c>
      <c r="D235" s="1"/>
      <c r="E235" t="s">
        <v>82</v>
      </c>
      <c r="F235" t="str">
        <f t="shared" si="3"/>
        <v>Active</v>
      </c>
    </row>
    <row r="236" spans="1:6" x14ac:dyDescent="0.2">
      <c r="A236" s="2">
        <v>235</v>
      </c>
      <c r="B236">
        <v>200</v>
      </c>
      <c r="C236" s="1">
        <v>46034</v>
      </c>
      <c r="D236" s="1"/>
      <c r="E236" t="s">
        <v>82</v>
      </c>
      <c r="F236" t="str">
        <f t="shared" si="3"/>
        <v>Active</v>
      </c>
    </row>
    <row r="237" spans="1:6" x14ac:dyDescent="0.2">
      <c r="A237" s="2">
        <v>236</v>
      </c>
      <c r="B237">
        <v>200</v>
      </c>
      <c r="C237" s="1">
        <v>46034</v>
      </c>
      <c r="D237" s="1">
        <v>46287</v>
      </c>
      <c r="E237" t="s">
        <v>82</v>
      </c>
      <c r="F237" t="str">
        <f t="shared" si="3"/>
        <v>Terminated</v>
      </c>
    </row>
    <row r="238" spans="1:6" x14ac:dyDescent="0.2">
      <c r="A238" s="2">
        <v>237</v>
      </c>
      <c r="B238">
        <v>200</v>
      </c>
      <c r="C238" s="1">
        <v>46035</v>
      </c>
      <c r="D238" s="1"/>
      <c r="E238" t="s">
        <v>82</v>
      </c>
      <c r="F238" t="str">
        <f t="shared" si="3"/>
        <v>Active</v>
      </c>
    </row>
    <row r="239" spans="1:6" x14ac:dyDescent="0.2">
      <c r="A239" s="2">
        <v>238</v>
      </c>
      <c r="B239">
        <v>200</v>
      </c>
      <c r="C239" s="1">
        <v>46037</v>
      </c>
      <c r="D239" s="1"/>
      <c r="E239" t="s">
        <v>82</v>
      </c>
      <c r="F239" t="str">
        <f t="shared" si="3"/>
        <v>Active</v>
      </c>
    </row>
    <row r="240" spans="1:6" x14ac:dyDescent="0.2">
      <c r="A240" s="2">
        <v>239</v>
      </c>
      <c r="B240">
        <v>200</v>
      </c>
      <c r="C240" s="1">
        <v>46038</v>
      </c>
      <c r="D240" s="1"/>
      <c r="E240" t="s">
        <v>82</v>
      </c>
      <c r="F240" t="str">
        <f t="shared" si="3"/>
        <v>Active</v>
      </c>
    </row>
    <row r="241" spans="1:6" x14ac:dyDescent="0.2">
      <c r="A241" s="2">
        <v>240</v>
      </c>
      <c r="B241">
        <v>200</v>
      </c>
      <c r="C241" s="1">
        <v>46042</v>
      </c>
      <c r="D241" s="1"/>
      <c r="E241" t="s">
        <v>82</v>
      </c>
      <c r="F241" t="str">
        <f t="shared" si="3"/>
        <v>Active</v>
      </c>
    </row>
    <row r="242" spans="1:6" x14ac:dyDescent="0.2">
      <c r="A242" s="2">
        <v>241</v>
      </c>
      <c r="B242">
        <v>200</v>
      </c>
      <c r="C242" s="1">
        <v>46043</v>
      </c>
      <c r="D242" s="1">
        <v>46148</v>
      </c>
      <c r="E242" t="s">
        <v>82</v>
      </c>
      <c r="F242" t="str">
        <f t="shared" si="3"/>
        <v>Terminated</v>
      </c>
    </row>
    <row r="243" spans="1:6" x14ac:dyDescent="0.2">
      <c r="A243" s="2">
        <v>242</v>
      </c>
      <c r="B243">
        <v>200</v>
      </c>
      <c r="C243" s="1">
        <v>46044</v>
      </c>
      <c r="D243" s="1"/>
      <c r="E243" t="s">
        <v>82</v>
      </c>
      <c r="F243" t="str">
        <f t="shared" si="3"/>
        <v>Active</v>
      </c>
    </row>
    <row r="244" spans="1:6" x14ac:dyDescent="0.2">
      <c r="A244" s="2">
        <v>243</v>
      </c>
      <c r="B244">
        <v>200</v>
      </c>
      <c r="C244" s="1">
        <v>46045</v>
      </c>
      <c r="D244" s="1"/>
      <c r="E244" t="s">
        <v>82</v>
      </c>
      <c r="F244" t="str">
        <f t="shared" si="3"/>
        <v>Active</v>
      </c>
    </row>
    <row r="245" spans="1:6" x14ac:dyDescent="0.2">
      <c r="A245" s="2">
        <v>244</v>
      </c>
      <c r="B245">
        <v>200</v>
      </c>
      <c r="C245" s="1">
        <v>46048</v>
      </c>
      <c r="D245" s="1"/>
      <c r="E245" t="s">
        <v>82</v>
      </c>
      <c r="F245" t="str">
        <f t="shared" si="3"/>
        <v>Active</v>
      </c>
    </row>
    <row r="246" spans="1:6" x14ac:dyDescent="0.2">
      <c r="A246" s="2">
        <v>245</v>
      </c>
      <c r="B246">
        <v>200</v>
      </c>
      <c r="C246" s="1">
        <v>46048</v>
      </c>
      <c r="D246" s="1"/>
      <c r="E246" t="s">
        <v>82</v>
      </c>
      <c r="F246" t="str">
        <f t="shared" si="3"/>
        <v>Active</v>
      </c>
    </row>
    <row r="247" spans="1:6" x14ac:dyDescent="0.2">
      <c r="A247" s="2">
        <v>246</v>
      </c>
      <c r="B247">
        <v>200</v>
      </c>
      <c r="C247" s="1">
        <v>46048</v>
      </c>
      <c r="D247" s="1"/>
      <c r="E247" t="s">
        <v>82</v>
      </c>
      <c r="F247" t="str">
        <f t="shared" si="3"/>
        <v>Active</v>
      </c>
    </row>
    <row r="248" spans="1:6" x14ac:dyDescent="0.2">
      <c r="A248" s="2">
        <v>247</v>
      </c>
      <c r="B248">
        <v>200</v>
      </c>
      <c r="C248" s="1">
        <v>46051</v>
      </c>
      <c r="D248" s="1"/>
      <c r="E248" t="s">
        <v>82</v>
      </c>
      <c r="F248" t="str">
        <f t="shared" si="3"/>
        <v>Active</v>
      </c>
    </row>
    <row r="249" spans="1:6" x14ac:dyDescent="0.2">
      <c r="A249" s="2">
        <v>248</v>
      </c>
      <c r="B249">
        <v>200</v>
      </c>
      <c r="C249" s="1">
        <v>46055</v>
      </c>
      <c r="D249" s="1"/>
      <c r="E249" t="s">
        <v>82</v>
      </c>
      <c r="F249" t="str">
        <f t="shared" si="3"/>
        <v>Active</v>
      </c>
    </row>
    <row r="250" spans="1:6" x14ac:dyDescent="0.2">
      <c r="A250" s="2">
        <v>249</v>
      </c>
      <c r="B250">
        <v>200</v>
      </c>
      <c r="C250" s="1">
        <v>46055</v>
      </c>
      <c r="D250" s="1"/>
      <c r="E250" t="s">
        <v>82</v>
      </c>
      <c r="F250" t="str">
        <f t="shared" si="3"/>
        <v>Active</v>
      </c>
    </row>
    <row r="251" spans="1:6" x14ac:dyDescent="0.2">
      <c r="A251" s="2">
        <v>250</v>
      </c>
      <c r="B251">
        <v>200</v>
      </c>
      <c r="C251" s="1">
        <v>46062</v>
      </c>
      <c r="D251" s="1"/>
      <c r="E251" t="s">
        <v>82</v>
      </c>
      <c r="F251" t="str">
        <f t="shared" si="3"/>
        <v>Active</v>
      </c>
    </row>
    <row r="252" spans="1:6" x14ac:dyDescent="0.2">
      <c r="A252" s="2">
        <v>251</v>
      </c>
      <c r="B252">
        <v>200</v>
      </c>
      <c r="C252" s="1">
        <v>46063</v>
      </c>
      <c r="D252" s="1"/>
      <c r="E252" t="s">
        <v>82</v>
      </c>
      <c r="F252" t="str">
        <f t="shared" si="3"/>
        <v>Active</v>
      </c>
    </row>
    <row r="253" spans="1:6" x14ac:dyDescent="0.2">
      <c r="A253" s="2">
        <v>252</v>
      </c>
      <c r="B253">
        <v>200</v>
      </c>
      <c r="C253" s="1">
        <v>46064</v>
      </c>
      <c r="D253" s="1"/>
      <c r="E253" t="s">
        <v>82</v>
      </c>
      <c r="F253" t="str">
        <f t="shared" si="3"/>
        <v>Active</v>
      </c>
    </row>
    <row r="254" spans="1:6" x14ac:dyDescent="0.2">
      <c r="A254" s="2">
        <v>253</v>
      </c>
      <c r="B254">
        <v>200</v>
      </c>
      <c r="C254" s="1">
        <v>46065</v>
      </c>
      <c r="D254" s="1"/>
      <c r="E254" t="s">
        <v>82</v>
      </c>
      <c r="F254" t="str">
        <f t="shared" si="3"/>
        <v>Active</v>
      </c>
    </row>
    <row r="255" spans="1:6" x14ac:dyDescent="0.2">
      <c r="A255" s="2">
        <v>254</v>
      </c>
      <c r="B255">
        <v>200</v>
      </c>
      <c r="C255" s="1">
        <v>46066</v>
      </c>
      <c r="D255" s="1"/>
      <c r="E255" t="s">
        <v>82</v>
      </c>
      <c r="F255" t="str">
        <f t="shared" si="3"/>
        <v>Active</v>
      </c>
    </row>
    <row r="256" spans="1:6" x14ac:dyDescent="0.2">
      <c r="A256" s="2">
        <v>255</v>
      </c>
      <c r="B256">
        <v>200</v>
      </c>
      <c r="C256" s="1">
        <v>46069</v>
      </c>
      <c r="D256" s="1"/>
      <c r="E256" t="s">
        <v>82</v>
      </c>
      <c r="F256" t="str">
        <f t="shared" si="3"/>
        <v>Active</v>
      </c>
    </row>
    <row r="257" spans="1:6" x14ac:dyDescent="0.2">
      <c r="A257" s="2">
        <v>256</v>
      </c>
      <c r="B257">
        <v>200</v>
      </c>
      <c r="C257" s="1">
        <v>46069</v>
      </c>
      <c r="D257" s="1"/>
      <c r="E257" t="s">
        <v>558</v>
      </c>
      <c r="F257" t="str">
        <f t="shared" si="3"/>
        <v>Active</v>
      </c>
    </row>
    <row r="258" spans="1:6" x14ac:dyDescent="0.2">
      <c r="A258" s="2">
        <v>257</v>
      </c>
      <c r="B258">
        <v>200</v>
      </c>
      <c r="C258" s="1">
        <v>46070</v>
      </c>
      <c r="D258" s="1"/>
      <c r="E258" t="s">
        <v>82</v>
      </c>
      <c r="F258" t="str">
        <f t="shared" si="3"/>
        <v>Active</v>
      </c>
    </row>
    <row r="259" spans="1:6" x14ac:dyDescent="0.2">
      <c r="A259" s="2">
        <v>258</v>
      </c>
      <c r="B259">
        <v>200</v>
      </c>
      <c r="C259" s="1">
        <v>46076</v>
      </c>
      <c r="D259" s="1"/>
      <c r="E259" t="s">
        <v>82</v>
      </c>
      <c r="F259" t="str">
        <f t="shared" ref="F259:F322" si="4">IF(D259="","Active","Terminated")</f>
        <v>Active</v>
      </c>
    </row>
    <row r="260" spans="1:6" x14ac:dyDescent="0.2">
      <c r="A260" s="2">
        <v>259</v>
      </c>
      <c r="B260">
        <v>200</v>
      </c>
      <c r="C260" s="1">
        <v>46078</v>
      </c>
      <c r="D260" s="1">
        <v>46129</v>
      </c>
      <c r="E260" t="s">
        <v>82</v>
      </c>
      <c r="F260" t="str">
        <f t="shared" si="4"/>
        <v>Terminated</v>
      </c>
    </row>
    <row r="261" spans="1:6" x14ac:dyDescent="0.2">
      <c r="A261" s="2">
        <v>260</v>
      </c>
      <c r="B261">
        <v>200</v>
      </c>
      <c r="C261" s="1">
        <v>46080</v>
      </c>
      <c r="D261" s="1"/>
      <c r="E261" t="s">
        <v>82</v>
      </c>
      <c r="F261" t="str">
        <f t="shared" si="4"/>
        <v>Active</v>
      </c>
    </row>
    <row r="262" spans="1:6" x14ac:dyDescent="0.2">
      <c r="A262" s="2">
        <v>261</v>
      </c>
      <c r="B262">
        <v>200</v>
      </c>
      <c r="C262" s="1">
        <v>46083</v>
      </c>
      <c r="D262" s="1"/>
      <c r="E262" t="s">
        <v>82</v>
      </c>
      <c r="F262" t="str">
        <f t="shared" si="4"/>
        <v>Active</v>
      </c>
    </row>
    <row r="263" spans="1:6" x14ac:dyDescent="0.2">
      <c r="A263" s="2">
        <v>262</v>
      </c>
      <c r="B263">
        <v>200</v>
      </c>
      <c r="C263" s="1">
        <v>46083</v>
      </c>
      <c r="D263" s="1"/>
      <c r="E263" t="s">
        <v>82</v>
      </c>
      <c r="F263" t="str">
        <f t="shared" si="4"/>
        <v>Active</v>
      </c>
    </row>
    <row r="264" spans="1:6" x14ac:dyDescent="0.2">
      <c r="A264" s="2">
        <v>263</v>
      </c>
      <c r="B264">
        <v>200</v>
      </c>
      <c r="C264" s="1">
        <v>46090</v>
      </c>
      <c r="D264" s="1"/>
      <c r="E264" t="s">
        <v>82</v>
      </c>
      <c r="F264" t="str">
        <f t="shared" si="4"/>
        <v>Active</v>
      </c>
    </row>
    <row r="265" spans="1:6" x14ac:dyDescent="0.2">
      <c r="A265" s="2">
        <v>264</v>
      </c>
      <c r="B265">
        <v>200</v>
      </c>
      <c r="C265" s="1">
        <v>46090</v>
      </c>
      <c r="D265" s="1"/>
      <c r="E265" t="s">
        <v>82</v>
      </c>
      <c r="F265" t="str">
        <f t="shared" si="4"/>
        <v>Active</v>
      </c>
    </row>
    <row r="266" spans="1:6" x14ac:dyDescent="0.2">
      <c r="A266" s="2">
        <v>265</v>
      </c>
      <c r="B266">
        <v>200</v>
      </c>
      <c r="C266" s="1">
        <v>46090</v>
      </c>
      <c r="D266" s="1"/>
      <c r="E266" t="s">
        <v>82</v>
      </c>
      <c r="F266" t="str">
        <f t="shared" si="4"/>
        <v>Active</v>
      </c>
    </row>
    <row r="267" spans="1:6" x14ac:dyDescent="0.2">
      <c r="A267" s="2">
        <v>266</v>
      </c>
      <c r="B267">
        <v>200</v>
      </c>
      <c r="C267" s="1">
        <v>46093</v>
      </c>
      <c r="D267" s="1"/>
      <c r="E267" t="s">
        <v>82</v>
      </c>
      <c r="F267" t="str">
        <f t="shared" si="4"/>
        <v>Active</v>
      </c>
    </row>
    <row r="268" spans="1:6" x14ac:dyDescent="0.2">
      <c r="A268" s="2">
        <v>267</v>
      </c>
      <c r="B268">
        <v>200</v>
      </c>
      <c r="C268" s="1">
        <v>46099</v>
      </c>
      <c r="D268" s="1"/>
      <c r="E268" t="s">
        <v>82</v>
      </c>
      <c r="F268" t="str">
        <f t="shared" si="4"/>
        <v>Active</v>
      </c>
    </row>
    <row r="269" spans="1:6" x14ac:dyDescent="0.2">
      <c r="A269" s="2">
        <v>268</v>
      </c>
      <c r="B269">
        <v>200</v>
      </c>
      <c r="C269" s="1">
        <v>46101</v>
      </c>
      <c r="D269" s="1"/>
      <c r="E269" t="s">
        <v>82</v>
      </c>
      <c r="F269" t="str">
        <f t="shared" si="4"/>
        <v>Active</v>
      </c>
    </row>
    <row r="270" spans="1:6" x14ac:dyDescent="0.2">
      <c r="A270" s="2">
        <v>269</v>
      </c>
      <c r="B270">
        <v>200</v>
      </c>
      <c r="C270" s="1">
        <v>46104</v>
      </c>
      <c r="D270" s="1"/>
      <c r="E270" t="s">
        <v>558</v>
      </c>
      <c r="F270" t="str">
        <f t="shared" si="4"/>
        <v>Active</v>
      </c>
    </row>
    <row r="271" spans="1:6" x14ac:dyDescent="0.2">
      <c r="A271" s="2">
        <v>270</v>
      </c>
      <c r="B271">
        <v>200</v>
      </c>
      <c r="C271" s="1">
        <v>46104</v>
      </c>
      <c r="D271" s="1"/>
      <c r="E271" t="s">
        <v>82</v>
      </c>
      <c r="F271" t="str">
        <f t="shared" si="4"/>
        <v>Active</v>
      </c>
    </row>
    <row r="272" spans="1:6" x14ac:dyDescent="0.2">
      <c r="A272" s="2">
        <v>271</v>
      </c>
      <c r="B272">
        <v>200</v>
      </c>
      <c r="C272" s="1">
        <v>46104</v>
      </c>
      <c r="D272" s="1"/>
      <c r="E272" t="s">
        <v>82</v>
      </c>
      <c r="F272" t="str">
        <f t="shared" si="4"/>
        <v>Active</v>
      </c>
    </row>
    <row r="273" spans="1:6" x14ac:dyDescent="0.2">
      <c r="A273" s="2">
        <v>272</v>
      </c>
      <c r="B273">
        <v>200</v>
      </c>
      <c r="C273" s="1">
        <v>46106</v>
      </c>
      <c r="D273" s="1"/>
      <c r="E273" t="s">
        <v>82</v>
      </c>
      <c r="F273" t="str">
        <f t="shared" si="4"/>
        <v>Active</v>
      </c>
    </row>
    <row r="274" spans="1:6" x14ac:dyDescent="0.2">
      <c r="A274" s="2">
        <v>273</v>
      </c>
      <c r="B274">
        <v>200</v>
      </c>
      <c r="C274" s="1">
        <v>46108</v>
      </c>
      <c r="D274" s="1"/>
      <c r="E274" t="s">
        <v>82</v>
      </c>
      <c r="F274" t="str">
        <f t="shared" si="4"/>
        <v>Active</v>
      </c>
    </row>
    <row r="275" spans="1:6" x14ac:dyDescent="0.2">
      <c r="A275" s="2">
        <v>274</v>
      </c>
      <c r="B275">
        <v>200</v>
      </c>
      <c r="C275" s="1">
        <v>46111</v>
      </c>
      <c r="D275" s="1"/>
      <c r="E275" t="s">
        <v>82</v>
      </c>
      <c r="F275" t="str">
        <f t="shared" si="4"/>
        <v>Active</v>
      </c>
    </row>
    <row r="276" spans="1:6" x14ac:dyDescent="0.2">
      <c r="A276" s="2">
        <v>275</v>
      </c>
      <c r="B276">
        <v>200</v>
      </c>
      <c r="C276" s="1">
        <v>46111</v>
      </c>
      <c r="D276" s="1"/>
      <c r="E276" t="s">
        <v>82</v>
      </c>
      <c r="F276" t="str">
        <f t="shared" si="4"/>
        <v>Active</v>
      </c>
    </row>
    <row r="277" spans="1:6" x14ac:dyDescent="0.2">
      <c r="A277" s="2">
        <v>276</v>
      </c>
      <c r="B277">
        <v>200</v>
      </c>
      <c r="C277" s="1">
        <v>46111</v>
      </c>
      <c r="D277" s="1"/>
      <c r="E277" t="s">
        <v>82</v>
      </c>
      <c r="F277" t="str">
        <f t="shared" si="4"/>
        <v>Active</v>
      </c>
    </row>
    <row r="278" spans="1:6" x14ac:dyDescent="0.2">
      <c r="A278" s="2">
        <v>277</v>
      </c>
      <c r="B278">
        <v>200</v>
      </c>
      <c r="C278" s="1">
        <v>46114</v>
      </c>
      <c r="D278" s="1"/>
      <c r="E278" t="s">
        <v>82</v>
      </c>
      <c r="F278" t="str">
        <f t="shared" si="4"/>
        <v>Active</v>
      </c>
    </row>
    <row r="279" spans="1:6" x14ac:dyDescent="0.2">
      <c r="A279" s="2">
        <v>278</v>
      </c>
      <c r="B279">
        <v>200</v>
      </c>
      <c r="C279" s="1">
        <v>46115</v>
      </c>
      <c r="D279" s="1"/>
      <c r="E279" t="s">
        <v>82</v>
      </c>
      <c r="F279" t="str">
        <f t="shared" si="4"/>
        <v>Active</v>
      </c>
    </row>
    <row r="280" spans="1:6" x14ac:dyDescent="0.2">
      <c r="A280" s="2">
        <v>279</v>
      </c>
      <c r="B280">
        <v>200</v>
      </c>
      <c r="C280" s="1">
        <v>46118</v>
      </c>
      <c r="D280" s="1"/>
      <c r="E280" t="s">
        <v>82</v>
      </c>
      <c r="F280" t="str">
        <f t="shared" si="4"/>
        <v>Active</v>
      </c>
    </row>
    <row r="281" spans="1:6" x14ac:dyDescent="0.2">
      <c r="A281" s="2">
        <v>280</v>
      </c>
      <c r="B281">
        <v>200</v>
      </c>
      <c r="C281" s="1">
        <v>46119</v>
      </c>
      <c r="D281" s="1"/>
      <c r="E281" t="s">
        <v>82</v>
      </c>
      <c r="F281" t="str">
        <f t="shared" si="4"/>
        <v>Active</v>
      </c>
    </row>
    <row r="282" spans="1:6" x14ac:dyDescent="0.2">
      <c r="A282" s="2">
        <v>281</v>
      </c>
      <c r="B282">
        <v>200</v>
      </c>
      <c r="C282" s="1">
        <v>46121</v>
      </c>
      <c r="D282" s="1"/>
      <c r="E282" t="s">
        <v>82</v>
      </c>
      <c r="F282" t="str">
        <f t="shared" si="4"/>
        <v>Active</v>
      </c>
    </row>
    <row r="283" spans="1:6" x14ac:dyDescent="0.2">
      <c r="A283" s="2">
        <v>282</v>
      </c>
      <c r="B283">
        <v>200</v>
      </c>
      <c r="C283" s="1">
        <v>46121</v>
      </c>
      <c r="D283" s="1"/>
      <c r="E283" t="s">
        <v>82</v>
      </c>
      <c r="F283" t="str">
        <f t="shared" si="4"/>
        <v>Active</v>
      </c>
    </row>
    <row r="284" spans="1:6" x14ac:dyDescent="0.2">
      <c r="A284" s="2">
        <v>283</v>
      </c>
      <c r="B284">
        <v>200</v>
      </c>
      <c r="C284" s="1">
        <v>46122</v>
      </c>
      <c r="D284" s="1"/>
      <c r="E284" t="s">
        <v>82</v>
      </c>
      <c r="F284" t="str">
        <f t="shared" si="4"/>
        <v>Active</v>
      </c>
    </row>
    <row r="285" spans="1:6" x14ac:dyDescent="0.2">
      <c r="A285" s="2">
        <v>284</v>
      </c>
      <c r="B285">
        <v>200</v>
      </c>
      <c r="C285" s="1">
        <v>46122</v>
      </c>
      <c r="D285" s="1"/>
      <c r="E285" t="s">
        <v>557</v>
      </c>
      <c r="F285" t="str">
        <f t="shared" si="4"/>
        <v>Active</v>
      </c>
    </row>
    <row r="286" spans="1:6" x14ac:dyDescent="0.2">
      <c r="A286" s="2">
        <v>285</v>
      </c>
      <c r="B286">
        <v>200</v>
      </c>
      <c r="C286" s="1">
        <v>46125</v>
      </c>
      <c r="D286" s="1"/>
      <c r="E286" t="s">
        <v>82</v>
      </c>
      <c r="F286" t="str">
        <f t="shared" si="4"/>
        <v>Active</v>
      </c>
    </row>
    <row r="287" spans="1:6" x14ac:dyDescent="0.2">
      <c r="A287" s="2">
        <v>286</v>
      </c>
      <c r="B287">
        <v>200</v>
      </c>
      <c r="C287" s="1">
        <v>46125</v>
      </c>
      <c r="D287" s="1"/>
      <c r="E287" t="s">
        <v>82</v>
      </c>
      <c r="F287" t="str">
        <f t="shared" si="4"/>
        <v>Active</v>
      </c>
    </row>
    <row r="288" spans="1:6" x14ac:dyDescent="0.2">
      <c r="A288" s="2">
        <v>287</v>
      </c>
      <c r="B288">
        <v>200</v>
      </c>
      <c r="C288" s="1">
        <v>46125</v>
      </c>
      <c r="D288" s="1"/>
      <c r="E288" t="s">
        <v>82</v>
      </c>
      <c r="F288" t="str">
        <f t="shared" si="4"/>
        <v>Active</v>
      </c>
    </row>
    <row r="289" spans="1:6" x14ac:dyDescent="0.2">
      <c r="A289" s="2">
        <v>288</v>
      </c>
      <c r="B289">
        <v>200</v>
      </c>
      <c r="C289" s="1">
        <v>46127</v>
      </c>
      <c r="D289" s="1"/>
      <c r="E289" t="s">
        <v>82</v>
      </c>
      <c r="F289" t="str">
        <f t="shared" si="4"/>
        <v>Active</v>
      </c>
    </row>
    <row r="290" spans="1:6" x14ac:dyDescent="0.2">
      <c r="A290" s="2">
        <v>289</v>
      </c>
      <c r="B290">
        <v>200</v>
      </c>
      <c r="C290" s="1">
        <v>46132</v>
      </c>
      <c r="D290" s="1"/>
      <c r="E290" t="s">
        <v>82</v>
      </c>
      <c r="F290" t="str">
        <f t="shared" si="4"/>
        <v>Active</v>
      </c>
    </row>
    <row r="291" spans="1:6" x14ac:dyDescent="0.2">
      <c r="A291" s="2">
        <v>290</v>
      </c>
      <c r="B291">
        <v>200</v>
      </c>
      <c r="C291" s="1">
        <v>46132</v>
      </c>
      <c r="D291" s="1"/>
      <c r="E291" t="s">
        <v>82</v>
      </c>
      <c r="F291" t="str">
        <f t="shared" si="4"/>
        <v>Active</v>
      </c>
    </row>
    <row r="292" spans="1:6" x14ac:dyDescent="0.2">
      <c r="A292" s="2">
        <v>291</v>
      </c>
      <c r="B292">
        <v>200</v>
      </c>
      <c r="C292" s="1">
        <v>46134</v>
      </c>
      <c r="D292" s="1"/>
      <c r="E292" t="s">
        <v>82</v>
      </c>
      <c r="F292" t="str">
        <f t="shared" si="4"/>
        <v>Active</v>
      </c>
    </row>
    <row r="293" spans="1:6" x14ac:dyDescent="0.2">
      <c r="A293" s="2">
        <v>292</v>
      </c>
      <c r="B293">
        <v>200</v>
      </c>
      <c r="C293" s="1">
        <v>46134</v>
      </c>
      <c r="D293" s="1"/>
      <c r="E293" t="s">
        <v>82</v>
      </c>
      <c r="F293" t="str">
        <f t="shared" si="4"/>
        <v>Active</v>
      </c>
    </row>
    <row r="294" spans="1:6" x14ac:dyDescent="0.2">
      <c r="A294" s="2">
        <v>293</v>
      </c>
      <c r="B294">
        <v>200</v>
      </c>
      <c r="C294" s="1">
        <v>46135</v>
      </c>
      <c r="D294" s="1"/>
      <c r="E294" t="s">
        <v>82</v>
      </c>
      <c r="F294" t="str">
        <f t="shared" si="4"/>
        <v>Active</v>
      </c>
    </row>
    <row r="295" spans="1:6" x14ac:dyDescent="0.2">
      <c r="A295" s="2">
        <v>294</v>
      </c>
      <c r="B295">
        <v>200</v>
      </c>
      <c r="C295" s="1">
        <v>46136</v>
      </c>
      <c r="D295" s="1"/>
      <c r="E295" t="s">
        <v>82</v>
      </c>
      <c r="F295" t="str">
        <f t="shared" si="4"/>
        <v>Active</v>
      </c>
    </row>
    <row r="296" spans="1:6" x14ac:dyDescent="0.2">
      <c r="A296" s="2">
        <v>295</v>
      </c>
      <c r="B296">
        <v>200</v>
      </c>
      <c r="C296" s="1">
        <v>46139</v>
      </c>
      <c r="D296" s="1"/>
      <c r="E296" t="s">
        <v>82</v>
      </c>
      <c r="F296" t="str">
        <f t="shared" si="4"/>
        <v>Active</v>
      </c>
    </row>
    <row r="297" spans="1:6" x14ac:dyDescent="0.2">
      <c r="A297" s="2">
        <v>296</v>
      </c>
      <c r="B297">
        <v>200</v>
      </c>
      <c r="C297" s="1">
        <v>46139</v>
      </c>
      <c r="D297" s="1"/>
      <c r="E297" t="s">
        <v>82</v>
      </c>
      <c r="F297" t="str">
        <f t="shared" si="4"/>
        <v>Active</v>
      </c>
    </row>
    <row r="298" spans="1:6" x14ac:dyDescent="0.2">
      <c r="A298" s="2">
        <v>297</v>
      </c>
      <c r="B298">
        <v>200</v>
      </c>
      <c r="C298" s="1">
        <v>46146</v>
      </c>
      <c r="D298" s="1"/>
      <c r="E298" t="s">
        <v>82</v>
      </c>
      <c r="F298" t="str">
        <f t="shared" si="4"/>
        <v>Active</v>
      </c>
    </row>
    <row r="299" spans="1:6" x14ac:dyDescent="0.2">
      <c r="A299" s="2">
        <v>298</v>
      </c>
      <c r="B299">
        <v>200</v>
      </c>
      <c r="C299" s="1">
        <v>46147</v>
      </c>
      <c r="D299" s="1"/>
      <c r="E299" t="s">
        <v>82</v>
      </c>
      <c r="F299" t="str">
        <f t="shared" si="4"/>
        <v>Active</v>
      </c>
    </row>
    <row r="300" spans="1:6" x14ac:dyDescent="0.2">
      <c r="A300" s="2">
        <v>299</v>
      </c>
      <c r="B300">
        <v>200</v>
      </c>
      <c r="C300" s="1">
        <v>46150</v>
      </c>
      <c r="D300" s="1"/>
      <c r="E300" t="s">
        <v>82</v>
      </c>
      <c r="F300" t="str">
        <f t="shared" si="4"/>
        <v>Active</v>
      </c>
    </row>
    <row r="301" spans="1:6" x14ac:dyDescent="0.2">
      <c r="A301" s="2">
        <v>300</v>
      </c>
      <c r="B301">
        <v>200</v>
      </c>
      <c r="C301" s="1">
        <v>46150</v>
      </c>
      <c r="D301" s="1"/>
      <c r="E301" t="s">
        <v>82</v>
      </c>
      <c r="F301" t="str">
        <f t="shared" si="4"/>
        <v>Active</v>
      </c>
    </row>
    <row r="302" spans="1:6" x14ac:dyDescent="0.2">
      <c r="A302" s="2">
        <v>301</v>
      </c>
      <c r="B302">
        <v>200</v>
      </c>
      <c r="C302" s="1">
        <v>46153</v>
      </c>
      <c r="D302" s="1"/>
      <c r="E302" t="s">
        <v>82</v>
      </c>
      <c r="F302" t="str">
        <f t="shared" si="4"/>
        <v>Active</v>
      </c>
    </row>
    <row r="303" spans="1:6" x14ac:dyDescent="0.2">
      <c r="A303" s="2">
        <v>302</v>
      </c>
      <c r="B303">
        <v>200</v>
      </c>
      <c r="C303" s="1">
        <v>46153</v>
      </c>
      <c r="D303" s="1"/>
      <c r="E303" t="s">
        <v>557</v>
      </c>
      <c r="F303" t="str">
        <f t="shared" si="4"/>
        <v>Active</v>
      </c>
    </row>
    <row r="304" spans="1:6" x14ac:dyDescent="0.2">
      <c r="A304" s="2">
        <v>303</v>
      </c>
      <c r="B304">
        <v>200</v>
      </c>
      <c r="C304" s="1">
        <v>46153</v>
      </c>
      <c r="D304" s="1"/>
      <c r="E304" t="s">
        <v>82</v>
      </c>
      <c r="F304" t="str">
        <f t="shared" si="4"/>
        <v>Active</v>
      </c>
    </row>
    <row r="305" spans="1:6" x14ac:dyDescent="0.2">
      <c r="A305" s="2">
        <v>304</v>
      </c>
      <c r="B305">
        <v>200</v>
      </c>
      <c r="C305" s="1">
        <v>46153</v>
      </c>
      <c r="D305" s="1"/>
      <c r="E305" t="s">
        <v>82</v>
      </c>
      <c r="F305" t="str">
        <f t="shared" si="4"/>
        <v>Active</v>
      </c>
    </row>
    <row r="306" spans="1:6" x14ac:dyDescent="0.2">
      <c r="A306" s="2">
        <v>305</v>
      </c>
      <c r="B306">
        <v>200</v>
      </c>
      <c r="C306" s="1">
        <v>46153</v>
      </c>
      <c r="D306" s="1"/>
      <c r="E306" t="s">
        <v>82</v>
      </c>
      <c r="F306" t="str">
        <f t="shared" si="4"/>
        <v>Active</v>
      </c>
    </row>
    <row r="307" spans="1:6" x14ac:dyDescent="0.2">
      <c r="A307" s="2">
        <v>306</v>
      </c>
      <c r="B307">
        <v>200</v>
      </c>
      <c r="C307" s="1">
        <v>46153</v>
      </c>
      <c r="D307" s="1"/>
      <c r="E307" t="s">
        <v>82</v>
      </c>
      <c r="F307" t="str">
        <f t="shared" si="4"/>
        <v>Active</v>
      </c>
    </row>
    <row r="308" spans="1:6" x14ac:dyDescent="0.2">
      <c r="A308" s="2">
        <v>307</v>
      </c>
      <c r="B308">
        <v>200</v>
      </c>
      <c r="C308" s="1">
        <v>46154</v>
      </c>
      <c r="D308" s="1"/>
      <c r="E308" t="s">
        <v>82</v>
      </c>
      <c r="F308" t="str">
        <f t="shared" si="4"/>
        <v>Active</v>
      </c>
    </row>
    <row r="309" spans="1:6" x14ac:dyDescent="0.2">
      <c r="A309" s="2">
        <v>308</v>
      </c>
      <c r="B309">
        <v>200</v>
      </c>
      <c r="C309" s="1">
        <v>46156</v>
      </c>
      <c r="D309" s="1"/>
      <c r="E309" t="s">
        <v>82</v>
      </c>
      <c r="F309" t="str">
        <f t="shared" si="4"/>
        <v>Active</v>
      </c>
    </row>
    <row r="310" spans="1:6" x14ac:dyDescent="0.2">
      <c r="A310" s="2">
        <v>309</v>
      </c>
      <c r="B310">
        <v>200</v>
      </c>
      <c r="C310" s="1">
        <v>46160</v>
      </c>
      <c r="D310" s="1"/>
      <c r="E310" t="s">
        <v>82</v>
      </c>
      <c r="F310" t="str">
        <f t="shared" si="4"/>
        <v>Active</v>
      </c>
    </row>
    <row r="311" spans="1:6" x14ac:dyDescent="0.2">
      <c r="A311" s="2">
        <v>310</v>
      </c>
      <c r="B311">
        <v>200</v>
      </c>
      <c r="C311" s="1">
        <v>46160</v>
      </c>
      <c r="D311" s="1"/>
      <c r="E311" t="s">
        <v>82</v>
      </c>
      <c r="F311" t="str">
        <f t="shared" si="4"/>
        <v>Active</v>
      </c>
    </row>
    <row r="312" spans="1:6" x14ac:dyDescent="0.2">
      <c r="A312" s="2">
        <v>311</v>
      </c>
      <c r="B312">
        <v>200</v>
      </c>
      <c r="C312" s="1">
        <v>46162</v>
      </c>
      <c r="D312" s="1"/>
      <c r="E312" t="s">
        <v>82</v>
      </c>
      <c r="F312" t="str">
        <f t="shared" si="4"/>
        <v>Active</v>
      </c>
    </row>
    <row r="313" spans="1:6" x14ac:dyDescent="0.2">
      <c r="A313" s="2">
        <v>312</v>
      </c>
      <c r="B313">
        <v>200</v>
      </c>
      <c r="C313" s="1">
        <v>46163</v>
      </c>
      <c r="D313" s="1"/>
      <c r="E313" t="s">
        <v>82</v>
      </c>
      <c r="F313" t="str">
        <f t="shared" si="4"/>
        <v>Active</v>
      </c>
    </row>
    <row r="314" spans="1:6" x14ac:dyDescent="0.2">
      <c r="A314" s="2">
        <v>313</v>
      </c>
      <c r="B314">
        <v>200</v>
      </c>
      <c r="C314" s="1">
        <v>46164</v>
      </c>
      <c r="D314" s="1"/>
      <c r="E314" t="s">
        <v>82</v>
      </c>
      <c r="F314" t="str">
        <f t="shared" si="4"/>
        <v>Active</v>
      </c>
    </row>
    <row r="315" spans="1:6" x14ac:dyDescent="0.2">
      <c r="A315" s="2">
        <v>314</v>
      </c>
      <c r="B315">
        <v>200</v>
      </c>
      <c r="C315" s="1">
        <v>46167</v>
      </c>
      <c r="D315" s="1"/>
      <c r="E315" t="s">
        <v>82</v>
      </c>
      <c r="F315" t="str">
        <f t="shared" si="4"/>
        <v>Active</v>
      </c>
    </row>
    <row r="316" spans="1:6" x14ac:dyDescent="0.2">
      <c r="A316" s="2">
        <v>315</v>
      </c>
      <c r="B316">
        <v>200</v>
      </c>
      <c r="C316" s="1">
        <v>46167</v>
      </c>
      <c r="D316" s="1"/>
      <c r="E316" t="s">
        <v>82</v>
      </c>
      <c r="F316" t="str">
        <f t="shared" si="4"/>
        <v>Active</v>
      </c>
    </row>
    <row r="317" spans="1:6" x14ac:dyDescent="0.2">
      <c r="A317" s="2">
        <v>316</v>
      </c>
      <c r="B317">
        <v>200</v>
      </c>
      <c r="C317" s="1">
        <v>46169</v>
      </c>
      <c r="D317" s="1"/>
      <c r="E317" t="s">
        <v>82</v>
      </c>
      <c r="F317" t="str">
        <f t="shared" si="4"/>
        <v>Active</v>
      </c>
    </row>
    <row r="318" spans="1:6" x14ac:dyDescent="0.2">
      <c r="A318" s="2">
        <v>317</v>
      </c>
      <c r="B318">
        <v>200</v>
      </c>
      <c r="C318" s="1">
        <v>46170</v>
      </c>
      <c r="D318" s="1"/>
      <c r="E318" t="s">
        <v>82</v>
      </c>
      <c r="F318" t="str">
        <f t="shared" si="4"/>
        <v>Active</v>
      </c>
    </row>
    <row r="319" spans="1:6" x14ac:dyDescent="0.2">
      <c r="A319" s="2">
        <v>318</v>
      </c>
      <c r="B319">
        <v>200</v>
      </c>
      <c r="C319" s="1">
        <v>46174</v>
      </c>
      <c r="D319" s="1"/>
      <c r="E319" t="s">
        <v>82</v>
      </c>
      <c r="F319" t="str">
        <f t="shared" si="4"/>
        <v>Active</v>
      </c>
    </row>
    <row r="320" spans="1:6" x14ac:dyDescent="0.2">
      <c r="A320" s="2">
        <v>319</v>
      </c>
      <c r="B320">
        <v>200</v>
      </c>
      <c r="C320" s="1">
        <v>46174</v>
      </c>
      <c r="D320" s="1"/>
      <c r="E320" t="s">
        <v>82</v>
      </c>
      <c r="F320" t="str">
        <f t="shared" si="4"/>
        <v>Active</v>
      </c>
    </row>
    <row r="321" spans="1:6" x14ac:dyDescent="0.2">
      <c r="A321" s="2">
        <v>320</v>
      </c>
      <c r="B321">
        <v>200</v>
      </c>
      <c r="C321" s="1">
        <v>46174</v>
      </c>
      <c r="D321" s="1"/>
      <c r="E321" t="s">
        <v>557</v>
      </c>
      <c r="F321" t="str">
        <f t="shared" si="4"/>
        <v>Active</v>
      </c>
    </row>
    <row r="322" spans="1:6" x14ac:dyDescent="0.2">
      <c r="A322" s="2">
        <v>321</v>
      </c>
      <c r="B322">
        <v>200</v>
      </c>
      <c r="C322" s="1">
        <v>46174</v>
      </c>
      <c r="D322" s="1"/>
      <c r="E322" t="s">
        <v>82</v>
      </c>
      <c r="F322" t="str">
        <f t="shared" si="4"/>
        <v>Active</v>
      </c>
    </row>
    <row r="323" spans="1:6" x14ac:dyDescent="0.2">
      <c r="A323" s="2">
        <v>322</v>
      </c>
      <c r="B323">
        <v>200</v>
      </c>
      <c r="C323" s="1">
        <v>46175</v>
      </c>
      <c r="D323" s="1"/>
      <c r="E323" t="s">
        <v>82</v>
      </c>
      <c r="F323" t="str">
        <f t="shared" ref="F323:F386" si="5">IF(D323="","Active","Terminated")</f>
        <v>Active</v>
      </c>
    </row>
    <row r="324" spans="1:6" x14ac:dyDescent="0.2">
      <c r="A324" s="2">
        <v>323</v>
      </c>
      <c r="B324">
        <v>200</v>
      </c>
      <c r="C324" s="1">
        <v>46175</v>
      </c>
      <c r="D324" s="1"/>
      <c r="E324" t="s">
        <v>82</v>
      </c>
      <c r="F324" t="str">
        <f t="shared" si="5"/>
        <v>Active</v>
      </c>
    </row>
    <row r="325" spans="1:6" x14ac:dyDescent="0.2">
      <c r="A325" s="2">
        <v>324</v>
      </c>
      <c r="B325">
        <v>200</v>
      </c>
      <c r="C325" s="1">
        <v>46181</v>
      </c>
      <c r="D325" s="1"/>
      <c r="E325" t="s">
        <v>558</v>
      </c>
      <c r="F325" t="str">
        <f t="shared" si="5"/>
        <v>Active</v>
      </c>
    </row>
    <row r="326" spans="1:6" x14ac:dyDescent="0.2">
      <c r="A326" s="2">
        <v>325</v>
      </c>
      <c r="B326">
        <v>200</v>
      </c>
      <c r="C326" s="1">
        <v>46184</v>
      </c>
      <c r="D326" s="1"/>
      <c r="E326" t="s">
        <v>82</v>
      </c>
      <c r="F326" t="str">
        <f t="shared" si="5"/>
        <v>Active</v>
      </c>
    </row>
    <row r="327" spans="1:6" x14ac:dyDescent="0.2">
      <c r="A327" s="2">
        <v>326</v>
      </c>
      <c r="B327">
        <v>200</v>
      </c>
      <c r="C327" s="1">
        <v>46188</v>
      </c>
      <c r="D327" s="1"/>
      <c r="E327" t="s">
        <v>557</v>
      </c>
      <c r="F327" t="str">
        <f t="shared" si="5"/>
        <v>Active</v>
      </c>
    </row>
    <row r="328" spans="1:6" x14ac:dyDescent="0.2">
      <c r="A328" s="2">
        <v>327</v>
      </c>
      <c r="B328">
        <v>200</v>
      </c>
      <c r="C328" s="1">
        <v>46188</v>
      </c>
      <c r="D328" s="1"/>
      <c r="E328" t="s">
        <v>82</v>
      </c>
      <c r="F328" t="str">
        <f t="shared" si="5"/>
        <v>Active</v>
      </c>
    </row>
    <row r="329" spans="1:6" x14ac:dyDescent="0.2">
      <c r="A329" s="2">
        <v>328</v>
      </c>
      <c r="B329">
        <v>200</v>
      </c>
      <c r="C329" s="1">
        <v>46189</v>
      </c>
      <c r="D329" s="1"/>
      <c r="E329" t="s">
        <v>82</v>
      </c>
      <c r="F329" t="str">
        <f t="shared" si="5"/>
        <v>Active</v>
      </c>
    </row>
    <row r="330" spans="1:6" x14ac:dyDescent="0.2">
      <c r="A330" s="2">
        <v>329</v>
      </c>
      <c r="B330">
        <v>200</v>
      </c>
      <c r="C330" s="1">
        <v>46189</v>
      </c>
      <c r="D330" s="1"/>
      <c r="E330" t="s">
        <v>82</v>
      </c>
      <c r="F330" t="str">
        <f t="shared" si="5"/>
        <v>Active</v>
      </c>
    </row>
    <row r="331" spans="1:6" x14ac:dyDescent="0.2">
      <c r="A331" s="2">
        <v>330</v>
      </c>
      <c r="B331">
        <v>200</v>
      </c>
      <c r="C331" s="1">
        <v>46189</v>
      </c>
      <c r="D331" s="1"/>
      <c r="E331" t="s">
        <v>82</v>
      </c>
      <c r="F331" t="str">
        <f t="shared" si="5"/>
        <v>Active</v>
      </c>
    </row>
    <row r="332" spans="1:6" x14ac:dyDescent="0.2">
      <c r="A332" s="2">
        <v>331</v>
      </c>
      <c r="B332">
        <v>200</v>
      </c>
      <c r="C332" s="1">
        <v>46192</v>
      </c>
      <c r="D332" s="1"/>
      <c r="E332" t="s">
        <v>82</v>
      </c>
      <c r="F332" t="str">
        <f t="shared" si="5"/>
        <v>Active</v>
      </c>
    </row>
    <row r="333" spans="1:6" x14ac:dyDescent="0.2">
      <c r="A333" s="2">
        <v>332</v>
      </c>
      <c r="B333">
        <v>200</v>
      </c>
      <c r="C333" s="1">
        <v>46195</v>
      </c>
      <c r="D333" s="1"/>
      <c r="E333" t="s">
        <v>82</v>
      </c>
      <c r="F333" t="str">
        <f t="shared" si="5"/>
        <v>Active</v>
      </c>
    </row>
    <row r="334" spans="1:6" x14ac:dyDescent="0.2">
      <c r="A334" s="2">
        <v>333</v>
      </c>
      <c r="B334">
        <v>200</v>
      </c>
      <c r="C334" s="1">
        <v>46195</v>
      </c>
      <c r="D334" s="1"/>
      <c r="E334" t="s">
        <v>82</v>
      </c>
      <c r="F334" t="str">
        <f t="shared" si="5"/>
        <v>Active</v>
      </c>
    </row>
    <row r="335" spans="1:6" x14ac:dyDescent="0.2">
      <c r="A335" s="2">
        <v>334</v>
      </c>
      <c r="B335">
        <v>200</v>
      </c>
      <c r="C335" s="1">
        <v>46195</v>
      </c>
      <c r="D335" s="1"/>
      <c r="E335" t="s">
        <v>82</v>
      </c>
      <c r="F335" t="str">
        <f t="shared" si="5"/>
        <v>Active</v>
      </c>
    </row>
    <row r="336" spans="1:6" x14ac:dyDescent="0.2">
      <c r="A336" s="2">
        <v>335</v>
      </c>
      <c r="B336">
        <v>200</v>
      </c>
      <c r="C336" s="1">
        <v>46195</v>
      </c>
      <c r="D336" s="1"/>
      <c r="E336" t="s">
        <v>82</v>
      </c>
      <c r="F336" t="str">
        <f t="shared" si="5"/>
        <v>Active</v>
      </c>
    </row>
    <row r="337" spans="1:6" x14ac:dyDescent="0.2">
      <c r="A337" s="2">
        <v>336</v>
      </c>
      <c r="B337">
        <v>200</v>
      </c>
      <c r="C337" s="1">
        <v>46196</v>
      </c>
      <c r="D337" s="1"/>
      <c r="E337" t="s">
        <v>82</v>
      </c>
      <c r="F337" t="str">
        <f t="shared" si="5"/>
        <v>Active</v>
      </c>
    </row>
    <row r="338" spans="1:6" x14ac:dyDescent="0.2">
      <c r="A338" s="2">
        <v>337</v>
      </c>
      <c r="B338">
        <v>200</v>
      </c>
      <c r="C338" s="1">
        <v>46198</v>
      </c>
      <c r="D338" s="1"/>
      <c r="E338" t="s">
        <v>558</v>
      </c>
      <c r="F338" t="str">
        <f t="shared" si="5"/>
        <v>Active</v>
      </c>
    </row>
    <row r="339" spans="1:6" x14ac:dyDescent="0.2">
      <c r="A339" s="2">
        <v>338</v>
      </c>
      <c r="B339">
        <v>200</v>
      </c>
      <c r="C339" s="1">
        <v>46198</v>
      </c>
      <c r="D339" s="1"/>
      <c r="E339" t="s">
        <v>557</v>
      </c>
      <c r="F339" t="str">
        <f t="shared" si="5"/>
        <v>Active</v>
      </c>
    </row>
    <row r="340" spans="1:6" x14ac:dyDescent="0.2">
      <c r="A340" s="2">
        <v>339</v>
      </c>
      <c r="B340">
        <v>200</v>
      </c>
      <c r="C340" s="1">
        <v>46198</v>
      </c>
      <c r="D340" s="1"/>
      <c r="E340" t="s">
        <v>82</v>
      </c>
      <c r="F340" t="str">
        <f t="shared" si="5"/>
        <v>Active</v>
      </c>
    </row>
    <row r="341" spans="1:6" x14ac:dyDescent="0.2">
      <c r="A341" s="2">
        <v>340</v>
      </c>
      <c r="B341">
        <v>200</v>
      </c>
      <c r="C341" s="1">
        <v>46202</v>
      </c>
      <c r="D341" s="1"/>
      <c r="E341" t="s">
        <v>82</v>
      </c>
      <c r="F341" t="str">
        <f t="shared" si="5"/>
        <v>Active</v>
      </c>
    </row>
    <row r="342" spans="1:6" x14ac:dyDescent="0.2">
      <c r="A342" s="2">
        <v>341</v>
      </c>
      <c r="B342">
        <v>200</v>
      </c>
      <c r="C342" s="1">
        <v>46205</v>
      </c>
      <c r="D342" s="1"/>
      <c r="E342" t="s">
        <v>82</v>
      </c>
      <c r="F342" t="str">
        <f t="shared" si="5"/>
        <v>Active</v>
      </c>
    </row>
    <row r="343" spans="1:6" x14ac:dyDescent="0.2">
      <c r="A343" s="2">
        <v>342</v>
      </c>
      <c r="B343">
        <v>200</v>
      </c>
      <c r="C343" s="1">
        <v>46210</v>
      </c>
      <c r="D343" s="1"/>
      <c r="E343" t="s">
        <v>558</v>
      </c>
      <c r="F343" t="str">
        <f t="shared" si="5"/>
        <v>Active</v>
      </c>
    </row>
    <row r="344" spans="1:6" x14ac:dyDescent="0.2">
      <c r="A344" s="2">
        <v>343</v>
      </c>
      <c r="B344">
        <v>200</v>
      </c>
      <c r="C344" s="1">
        <v>46211</v>
      </c>
      <c r="D344" s="1"/>
      <c r="E344" t="s">
        <v>82</v>
      </c>
      <c r="F344" t="str">
        <f t="shared" si="5"/>
        <v>Active</v>
      </c>
    </row>
    <row r="345" spans="1:6" x14ac:dyDescent="0.2">
      <c r="A345" s="2">
        <v>344</v>
      </c>
      <c r="B345">
        <v>200</v>
      </c>
      <c r="C345" s="1">
        <v>46211</v>
      </c>
      <c r="D345" s="1"/>
      <c r="E345" t="s">
        <v>82</v>
      </c>
      <c r="F345" t="str">
        <f t="shared" si="5"/>
        <v>Active</v>
      </c>
    </row>
    <row r="346" spans="1:6" x14ac:dyDescent="0.2">
      <c r="A346" s="2">
        <v>345</v>
      </c>
      <c r="B346">
        <v>200</v>
      </c>
      <c r="C346" s="1">
        <v>46213</v>
      </c>
      <c r="D346" s="1"/>
      <c r="E346" t="s">
        <v>82</v>
      </c>
      <c r="F346" t="str">
        <f t="shared" si="5"/>
        <v>Active</v>
      </c>
    </row>
    <row r="347" spans="1:6" x14ac:dyDescent="0.2">
      <c r="A347" s="2">
        <v>346</v>
      </c>
      <c r="B347">
        <v>200</v>
      </c>
      <c r="C347" s="1">
        <v>46217</v>
      </c>
      <c r="D347" s="1"/>
      <c r="E347" t="s">
        <v>82</v>
      </c>
      <c r="F347" t="str">
        <f t="shared" si="5"/>
        <v>Active</v>
      </c>
    </row>
    <row r="348" spans="1:6" x14ac:dyDescent="0.2">
      <c r="A348" s="2">
        <v>347</v>
      </c>
      <c r="B348">
        <v>200</v>
      </c>
      <c r="C348" s="1">
        <v>46217</v>
      </c>
      <c r="D348" s="1"/>
      <c r="E348" t="s">
        <v>82</v>
      </c>
      <c r="F348" t="str">
        <f t="shared" si="5"/>
        <v>Active</v>
      </c>
    </row>
    <row r="349" spans="1:6" x14ac:dyDescent="0.2">
      <c r="A349" s="2">
        <v>348</v>
      </c>
      <c r="B349">
        <v>200</v>
      </c>
      <c r="C349" s="1">
        <v>46223</v>
      </c>
      <c r="D349" s="1"/>
      <c r="E349" t="s">
        <v>82</v>
      </c>
      <c r="F349" t="str">
        <f t="shared" si="5"/>
        <v>Active</v>
      </c>
    </row>
    <row r="350" spans="1:6" x14ac:dyDescent="0.2">
      <c r="A350" s="2">
        <v>349</v>
      </c>
      <c r="B350">
        <v>200</v>
      </c>
      <c r="C350" s="1">
        <v>46223</v>
      </c>
      <c r="D350" s="1"/>
      <c r="E350" t="s">
        <v>82</v>
      </c>
      <c r="F350" t="str">
        <f t="shared" si="5"/>
        <v>Active</v>
      </c>
    </row>
    <row r="351" spans="1:6" x14ac:dyDescent="0.2">
      <c r="A351" s="2">
        <v>350</v>
      </c>
      <c r="B351">
        <v>200</v>
      </c>
      <c r="C351" s="1">
        <v>46223</v>
      </c>
      <c r="D351" s="1"/>
      <c r="E351" t="s">
        <v>82</v>
      </c>
      <c r="F351" t="str">
        <f t="shared" si="5"/>
        <v>Active</v>
      </c>
    </row>
    <row r="352" spans="1:6" x14ac:dyDescent="0.2">
      <c r="A352" s="2">
        <v>351</v>
      </c>
      <c r="B352">
        <v>200</v>
      </c>
      <c r="C352" s="1">
        <v>46225</v>
      </c>
      <c r="D352" s="1"/>
      <c r="E352" t="s">
        <v>82</v>
      </c>
      <c r="F352" t="str">
        <f t="shared" si="5"/>
        <v>Active</v>
      </c>
    </row>
    <row r="353" spans="1:6" x14ac:dyDescent="0.2">
      <c r="A353" s="2">
        <v>352</v>
      </c>
      <c r="B353">
        <v>200</v>
      </c>
      <c r="C353" s="1">
        <v>46225</v>
      </c>
      <c r="D353" s="1"/>
      <c r="E353" t="s">
        <v>82</v>
      </c>
      <c r="F353" t="str">
        <f t="shared" si="5"/>
        <v>Active</v>
      </c>
    </row>
    <row r="354" spans="1:6" x14ac:dyDescent="0.2">
      <c r="A354" s="2">
        <v>353</v>
      </c>
      <c r="B354">
        <v>200</v>
      </c>
      <c r="C354" s="1">
        <v>46225</v>
      </c>
      <c r="D354" s="1"/>
      <c r="E354" t="s">
        <v>82</v>
      </c>
      <c r="F354" t="str">
        <f t="shared" si="5"/>
        <v>Active</v>
      </c>
    </row>
    <row r="355" spans="1:6" x14ac:dyDescent="0.2">
      <c r="A355" s="2">
        <v>354</v>
      </c>
      <c r="B355">
        <v>200</v>
      </c>
      <c r="C355" s="1">
        <v>46225</v>
      </c>
      <c r="D355" s="1"/>
      <c r="E355" t="s">
        <v>82</v>
      </c>
      <c r="F355" t="str">
        <f t="shared" si="5"/>
        <v>Active</v>
      </c>
    </row>
    <row r="356" spans="1:6" x14ac:dyDescent="0.2">
      <c r="A356" s="2">
        <v>355</v>
      </c>
      <c r="B356">
        <v>200</v>
      </c>
      <c r="C356" s="1">
        <v>46226</v>
      </c>
      <c r="D356" s="1"/>
      <c r="E356" t="s">
        <v>82</v>
      </c>
      <c r="F356" t="str">
        <f t="shared" si="5"/>
        <v>Active</v>
      </c>
    </row>
    <row r="357" spans="1:6" x14ac:dyDescent="0.2">
      <c r="A357" s="2">
        <v>356</v>
      </c>
      <c r="B357">
        <v>200</v>
      </c>
      <c r="C357" s="1">
        <v>46227</v>
      </c>
      <c r="D357" s="1"/>
      <c r="E357" t="s">
        <v>82</v>
      </c>
      <c r="F357" t="str">
        <f t="shared" si="5"/>
        <v>Active</v>
      </c>
    </row>
    <row r="358" spans="1:6" x14ac:dyDescent="0.2">
      <c r="A358" s="2">
        <v>357</v>
      </c>
      <c r="B358">
        <v>200</v>
      </c>
      <c r="C358" s="1">
        <v>46230</v>
      </c>
      <c r="D358" s="1"/>
      <c r="E358" t="s">
        <v>557</v>
      </c>
      <c r="F358" t="str">
        <f t="shared" si="5"/>
        <v>Active</v>
      </c>
    </row>
    <row r="359" spans="1:6" x14ac:dyDescent="0.2">
      <c r="A359" s="2">
        <v>358</v>
      </c>
      <c r="B359">
        <v>200</v>
      </c>
      <c r="C359" s="1">
        <v>46230</v>
      </c>
      <c r="D359" s="1"/>
      <c r="E359" t="s">
        <v>82</v>
      </c>
      <c r="F359" t="str">
        <f t="shared" si="5"/>
        <v>Active</v>
      </c>
    </row>
    <row r="360" spans="1:6" x14ac:dyDescent="0.2">
      <c r="A360" s="2">
        <v>359</v>
      </c>
      <c r="B360">
        <v>200</v>
      </c>
      <c r="C360" s="1">
        <v>46230</v>
      </c>
      <c r="D360" s="1"/>
      <c r="E360" t="s">
        <v>82</v>
      </c>
      <c r="F360" t="str">
        <f t="shared" si="5"/>
        <v>Active</v>
      </c>
    </row>
    <row r="361" spans="1:6" x14ac:dyDescent="0.2">
      <c r="A361" s="2">
        <v>360</v>
      </c>
      <c r="B361">
        <v>200</v>
      </c>
      <c r="C361" s="1">
        <v>46231</v>
      </c>
      <c r="D361" s="1"/>
      <c r="E361" t="s">
        <v>82</v>
      </c>
      <c r="F361" t="str">
        <f t="shared" si="5"/>
        <v>Active</v>
      </c>
    </row>
    <row r="362" spans="1:6" x14ac:dyDescent="0.2">
      <c r="A362" s="2">
        <v>361</v>
      </c>
      <c r="B362">
        <v>200</v>
      </c>
      <c r="C362" s="1">
        <v>46232</v>
      </c>
      <c r="D362" s="1"/>
      <c r="E362" t="s">
        <v>82</v>
      </c>
      <c r="F362" t="str">
        <f t="shared" si="5"/>
        <v>Active</v>
      </c>
    </row>
    <row r="363" spans="1:6" x14ac:dyDescent="0.2">
      <c r="A363" s="2">
        <v>362</v>
      </c>
      <c r="B363">
        <v>200</v>
      </c>
      <c r="C363" s="1">
        <v>46234</v>
      </c>
      <c r="D363" s="1"/>
      <c r="E363" t="s">
        <v>82</v>
      </c>
      <c r="F363" t="str">
        <f t="shared" si="5"/>
        <v>Active</v>
      </c>
    </row>
    <row r="364" spans="1:6" x14ac:dyDescent="0.2">
      <c r="A364" s="2">
        <v>363</v>
      </c>
      <c r="B364">
        <v>200</v>
      </c>
      <c r="C364" s="1">
        <v>46237</v>
      </c>
      <c r="D364" s="1"/>
      <c r="E364" t="s">
        <v>82</v>
      </c>
      <c r="F364" t="str">
        <f t="shared" si="5"/>
        <v>Active</v>
      </c>
    </row>
    <row r="365" spans="1:6" x14ac:dyDescent="0.2">
      <c r="A365" s="2">
        <v>364</v>
      </c>
      <c r="B365">
        <v>200</v>
      </c>
      <c r="C365" s="1">
        <v>46237</v>
      </c>
      <c r="D365" s="1"/>
      <c r="E365" t="s">
        <v>82</v>
      </c>
      <c r="F365" t="str">
        <f t="shared" si="5"/>
        <v>Active</v>
      </c>
    </row>
    <row r="366" spans="1:6" x14ac:dyDescent="0.2">
      <c r="A366" s="2">
        <v>365</v>
      </c>
      <c r="B366">
        <v>200</v>
      </c>
      <c r="C366" s="1">
        <v>46239</v>
      </c>
      <c r="D366" s="1"/>
      <c r="E366" t="s">
        <v>82</v>
      </c>
      <c r="F366" t="str">
        <f t="shared" si="5"/>
        <v>Active</v>
      </c>
    </row>
    <row r="367" spans="1:6" x14ac:dyDescent="0.2">
      <c r="A367" s="2">
        <v>366</v>
      </c>
      <c r="B367">
        <v>200</v>
      </c>
      <c r="C367" s="1">
        <v>46239</v>
      </c>
      <c r="D367" s="1"/>
      <c r="E367" t="s">
        <v>82</v>
      </c>
      <c r="F367" t="str">
        <f t="shared" si="5"/>
        <v>Active</v>
      </c>
    </row>
    <row r="368" spans="1:6" x14ac:dyDescent="0.2">
      <c r="A368" s="2">
        <v>367</v>
      </c>
      <c r="B368">
        <v>200</v>
      </c>
      <c r="C368" s="1">
        <v>46239</v>
      </c>
      <c r="D368" s="1"/>
      <c r="E368" t="s">
        <v>557</v>
      </c>
      <c r="F368" t="str">
        <f t="shared" si="5"/>
        <v>Active</v>
      </c>
    </row>
    <row r="369" spans="1:6" x14ac:dyDescent="0.2">
      <c r="A369" s="2">
        <v>368</v>
      </c>
      <c r="B369">
        <v>200</v>
      </c>
      <c r="C369" s="1">
        <v>46240</v>
      </c>
      <c r="D369" s="1"/>
      <c r="E369" t="s">
        <v>82</v>
      </c>
      <c r="F369" t="str">
        <f t="shared" si="5"/>
        <v>Active</v>
      </c>
    </row>
    <row r="370" spans="1:6" x14ac:dyDescent="0.2">
      <c r="A370" s="2">
        <v>369</v>
      </c>
      <c r="B370">
        <v>200</v>
      </c>
      <c r="C370" s="1">
        <v>46244</v>
      </c>
      <c r="D370" s="1"/>
      <c r="E370" t="s">
        <v>82</v>
      </c>
      <c r="F370" t="str">
        <f t="shared" si="5"/>
        <v>Active</v>
      </c>
    </row>
    <row r="371" spans="1:6" x14ac:dyDescent="0.2">
      <c r="A371" s="2">
        <v>370</v>
      </c>
      <c r="B371">
        <v>200</v>
      </c>
      <c r="C371" s="1">
        <v>46244</v>
      </c>
      <c r="D371" s="1"/>
      <c r="E371" t="s">
        <v>82</v>
      </c>
      <c r="F371" t="str">
        <f t="shared" si="5"/>
        <v>Active</v>
      </c>
    </row>
    <row r="372" spans="1:6" x14ac:dyDescent="0.2">
      <c r="A372" s="2">
        <v>371</v>
      </c>
      <c r="B372">
        <v>200</v>
      </c>
      <c r="C372" s="1">
        <v>46244</v>
      </c>
      <c r="D372" s="1"/>
      <c r="E372" t="s">
        <v>82</v>
      </c>
      <c r="F372" t="str">
        <f t="shared" si="5"/>
        <v>Active</v>
      </c>
    </row>
    <row r="373" spans="1:6" x14ac:dyDescent="0.2">
      <c r="A373" s="2">
        <v>372</v>
      </c>
      <c r="B373">
        <v>200</v>
      </c>
      <c r="C373" s="1">
        <v>46247</v>
      </c>
      <c r="D373" s="1"/>
      <c r="E373" t="s">
        <v>82</v>
      </c>
      <c r="F373" t="str">
        <f t="shared" si="5"/>
        <v>Active</v>
      </c>
    </row>
    <row r="374" spans="1:6" x14ac:dyDescent="0.2">
      <c r="A374" s="2">
        <v>373</v>
      </c>
      <c r="B374">
        <v>200</v>
      </c>
      <c r="C374" s="1">
        <v>46247</v>
      </c>
      <c r="D374" s="1"/>
      <c r="E374" t="s">
        <v>82</v>
      </c>
      <c r="F374" t="str">
        <f t="shared" si="5"/>
        <v>Active</v>
      </c>
    </row>
    <row r="375" spans="1:6" x14ac:dyDescent="0.2">
      <c r="A375" s="2">
        <v>374</v>
      </c>
      <c r="B375">
        <v>200</v>
      </c>
      <c r="C375" s="1">
        <v>46248</v>
      </c>
      <c r="D375" s="1"/>
      <c r="E375" t="s">
        <v>82</v>
      </c>
      <c r="F375" t="str">
        <f t="shared" si="5"/>
        <v>Active</v>
      </c>
    </row>
    <row r="376" spans="1:6" x14ac:dyDescent="0.2">
      <c r="A376" s="2">
        <v>375</v>
      </c>
      <c r="B376">
        <v>200</v>
      </c>
      <c r="C376" s="1">
        <v>46248</v>
      </c>
      <c r="D376" s="1"/>
      <c r="E376" t="s">
        <v>82</v>
      </c>
      <c r="F376" t="str">
        <f t="shared" si="5"/>
        <v>Active</v>
      </c>
    </row>
    <row r="377" spans="1:6" x14ac:dyDescent="0.2">
      <c r="A377" s="2">
        <v>376</v>
      </c>
      <c r="B377">
        <v>200</v>
      </c>
      <c r="C377" s="1">
        <v>46251</v>
      </c>
      <c r="D377" s="1"/>
      <c r="E377" t="s">
        <v>82</v>
      </c>
      <c r="F377" t="str">
        <f t="shared" si="5"/>
        <v>Active</v>
      </c>
    </row>
    <row r="378" spans="1:6" x14ac:dyDescent="0.2">
      <c r="A378" s="2">
        <v>377</v>
      </c>
      <c r="B378">
        <v>200</v>
      </c>
      <c r="C378" s="1">
        <v>46251</v>
      </c>
      <c r="D378" s="1"/>
      <c r="E378" t="s">
        <v>558</v>
      </c>
      <c r="F378" t="str">
        <f t="shared" si="5"/>
        <v>Active</v>
      </c>
    </row>
    <row r="379" spans="1:6" x14ac:dyDescent="0.2">
      <c r="A379" s="2">
        <v>378</v>
      </c>
      <c r="B379">
        <v>200</v>
      </c>
      <c r="C379" s="1">
        <v>46252</v>
      </c>
      <c r="D379" s="1"/>
      <c r="E379" t="s">
        <v>82</v>
      </c>
      <c r="F379" t="str">
        <f t="shared" si="5"/>
        <v>Active</v>
      </c>
    </row>
    <row r="380" spans="1:6" x14ac:dyDescent="0.2">
      <c r="A380" s="2">
        <v>379</v>
      </c>
      <c r="B380">
        <v>200</v>
      </c>
      <c r="C380" s="1">
        <v>46252</v>
      </c>
      <c r="D380" s="1"/>
      <c r="E380" t="s">
        <v>82</v>
      </c>
      <c r="F380" t="str">
        <f t="shared" si="5"/>
        <v>Active</v>
      </c>
    </row>
    <row r="381" spans="1:6" x14ac:dyDescent="0.2">
      <c r="A381" s="2">
        <v>380</v>
      </c>
      <c r="B381">
        <v>200</v>
      </c>
      <c r="C381" s="1">
        <v>46252</v>
      </c>
      <c r="D381" s="1"/>
      <c r="E381" t="s">
        <v>82</v>
      </c>
      <c r="F381" t="str">
        <f t="shared" si="5"/>
        <v>Active</v>
      </c>
    </row>
    <row r="382" spans="1:6" x14ac:dyDescent="0.2">
      <c r="A382" s="2">
        <v>381</v>
      </c>
      <c r="B382">
        <v>200</v>
      </c>
      <c r="C382" s="1">
        <v>46253</v>
      </c>
      <c r="D382" s="1"/>
      <c r="E382" t="s">
        <v>82</v>
      </c>
      <c r="F382" t="str">
        <f t="shared" si="5"/>
        <v>Active</v>
      </c>
    </row>
    <row r="383" spans="1:6" x14ac:dyDescent="0.2">
      <c r="A383" s="2">
        <v>382</v>
      </c>
      <c r="B383">
        <v>200</v>
      </c>
      <c r="C383" s="1">
        <v>46253</v>
      </c>
      <c r="D383" s="1"/>
      <c r="E383" t="s">
        <v>82</v>
      </c>
      <c r="F383" t="str">
        <f t="shared" si="5"/>
        <v>Active</v>
      </c>
    </row>
    <row r="384" spans="1:6" x14ac:dyDescent="0.2">
      <c r="A384" s="2">
        <v>383</v>
      </c>
      <c r="B384">
        <v>200</v>
      </c>
      <c r="C384" s="1">
        <v>46253</v>
      </c>
      <c r="D384" s="1"/>
      <c r="E384" t="s">
        <v>82</v>
      </c>
      <c r="F384" t="str">
        <f t="shared" si="5"/>
        <v>Active</v>
      </c>
    </row>
    <row r="385" spans="1:6" x14ac:dyDescent="0.2">
      <c r="A385" s="2">
        <v>384</v>
      </c>
      <c r="B385">
        <v>200</v>
      </c>
      <c r="C385" s="1">
        <v>46253</v>
      </c>
      <c r="D385" s="1"/>
      <c r="E385" t="s">
        <v>558</v>
      </c>
      <c r="F385" t="str">
        <f t="shared" si="5"/>
        <v>Active</v>
      </c>
    </row>
    <row r="386" spans="1:6" x14ac:dyDescent="0.2">
      <c r="A386" s="2">
        <v>385</v>
      </c>
      <c r="B386">
        <v>200</v>
      </c>
      <c r="C386" s="1">
        <v>46254</v>
      </c>
      <c r="D386" s="1"/>
      <c r="E386" t="s">
        <v>558</v>
      </c>
      <c r="F386" t="str">
        <f t="shared" si="5"/>
        <v>Active</v>
      </c>
    </row>
    <row r="387" spans="1:6" x14ac:dyDescent="0.2">
      <c r="A387" s="2">
        <v>386</v>
      </c>
      <c r="B387">
        <v>200</v>
      </c>
      <c r="C387" s="1">
        <v>46254</v>
      </c>
      <c r="D387" s="1"/>
      <c r="E387" t="s">
        <v>82</v>
      </c>
      <c r="F387" t="str">
        <f t="shared" ref="F387:F450" si="6">IF(D387="","Active","Terminated")</f>
        <v>Active</v>
      </c>
    </row>
    <row r="388" spans="1:6" x14ac:dyDescent="0.2">
      <c r="A388" s="2">
        <v>387</v>
      </c>
      <c r="B388">
        <v>200</v>
      </c>
      <c r="C388" s="1">
        <v>46255</v>
      </c>
      <c r="D388" s="1"/>
      <c r="E388" t="s">
        <v>82</v>
      </c>
      <c r="F388" t="str">
        <f t="shared" si="6"/>
        <v>Active</v>
      </c>
    </row>
    <row r="389" spans="1:6" x14ac:dyDescent="0.2">
      <c r="A389" s="2">
        <v>388</v>
      </c>
      <c r="B389">
        <v>200</v>
      </c>
      <c r="C389" s="1">
        <v>46258</v>
      </c>
      <c r="D389" s="1"/>
      <c r="E389" t="s">
        <v>82</v>
      </c>
      <c r="F389" t="str">
        <f t="shared" si="6"/>
        <v>Active</v>
      </c>
    </row>
    <row r="390" spans="1:6" x14ac:dyDescent="0.2">
      <c r="A390" s="2">
        <v>389</v>
      </c>
      <c r="B390">
        <v>200</v>
      </c>
      <c r="C390" s="1">
        <v>46258</v>
      </c>
      <c r="D390" s="1"/>
      <c r="E390" t="s">
        <v>82</v>
      </c>
      <c r="F390" t="str">
        <f t="shared" si="6"/>
        <v>Active</v>
      </c>
    </row>
    <row r="391" spans="1:6" x14ac:dyDescent="0.2">
      <c r="A391" s="2">
        <v>390</v>
      </c>
      <c r="B391">
        <v>200</v>
      </c>
      <c r="C391" s="1">
        <v>46258</v>
      </c>
      <c r="D391" s="1">
        <v>46293</v>
      </c>
      <c r="E391" t="s">
        <v>82</v>
      </c>
      <c r="F391" t="str">
        <f t="shared" si="6"/>
        <v>Terminated</v>
      </c>
    </row>
    <row r="392" spans="1:6" x14ac:dyDescent="0.2">
      <c r="A392" s="2">
        <v>391</v>
      </c>
      <c r="B392">
        <v>200</v>
      </c>
      <c r="C392" s="1">
        <v>46258</v>
      </c>
      <c r="D392" s="1"/>
      <c r="E392" t="s">
        <v>82</v>
      </c>
      <c r="F392" t="str">
        <f t="shared" si="6"/>
        <v>Active</v>
      </c>
    </row>
    <row r="393" spans="1:6" x14ac:dyDescent="0.2">
      <c r="A393" s="2">
        <v>392</v>
      </c>
      <c r="B393">
        <v>200</v>
      </c>
      <c r="C393" s="1">
        <v>46258</v>
      </c>
      <c r="D393" s="1"/>
      <c r="E393" t="s">
        <v>82</v>
      </c>
      <c r="F393" t="str">
        <f t="shared" si="6"/>
        <v>Active</v>
      </c>
    </row>
    <row r="394" spans="1:6" x14ac:dyDescent="0.2">
      <c r="A394" s="2">
        <v>393</v>
      </c>
      <c r="B394">
        <v>200</v>
      </c>
      <c r="C394" s="1">
        <v>46258</v>
      </c>
      <c r="D394" s="1"/>
      <c r="E394" t="s">
        <v>82</v>
      </c>
      <c r="F394" t="str">
        <f t="shared" si="6"/>
        <v>Active</v>
      </c>
    </row>
    <row r="395" spans="1:6" x14ac:dyDescent="0.2">
      <c r="A395" s="2">
        <v>394</v>
      </c>
      <c r="B395">
        <v>200</v>
      </c>
      <c r="C395" s="1">
        <v>46258</v>
      </c>
      <c r="D395" s="1"/>
      <c r="E395" t="s">
        <v>82</v>
      </c>
      <c r="F395" t="str">
        <f t="shared" si="6"/>
        <v>Active</v>
      </c>
    </row>
    <row r="396" spans="1:6" x14ac:dyDescent="0.2">
      <c r="A396" s="2">
        <v>395</v>
      </c>
      <c r="B396">
        <v>200</v>
      </c>
      <c r="C396" s="1">
        <v>46258</v>
      </c>
      <c r="D396" s="1"/>
      <c r="E396" t="s">
        <v>82</v>
      </c>
      <c r="F396" t="str">
        <f t="shared" si="6"/>
        <v>Active</v>
      </c>
    </row>
    <row r="397" spans="1:6" x14ac:dyDescent="0.2">
      <c r="A397" s="2">
        <v>396</v>
      </c>
      <c r="B397">
        <v>200</v>
      </c>
      <c r="C397" s="1">
        <v>46259</v>
      </c>
      <c r="D397" s="1"/>
      <c r="E397" t="s">
        <v>82</v>
      </c>
      <c r="F397" t="str">
        <f t="shared" si="6"/>
        <v>Active</v>
      </c>
    </row>
    <row r="398" spans="1:6" x14ac:dyDescent="0.2">
      <c r="A398" s="2">
        <v>397</v>
      </c>
      <c r="B398">
        <v>200</v>
      </c>
      <c r="C398" s="1">
        <v>46259</v>
      </c>
      <c r="D398" s="1"/>
      <c r="E398" t="s">
        <v>82</v>
      </c>
      <c r="F398" t="str">
        <f t="shared" si="6"/>
        <v>Active</v>
      </c>
    </row>
    <row r="399" spans="1:6" x14ac:dyDescent="0.2">
      <c r="A399" s="2">
        <v>398</v>
      </c>
      <c r="B399">
        <v>200</v>
      </c>
      <c r="C399" s="1">
        <v>46261</v>
      </c>
      <c r="D399" s="1"/>
      <c r="E399" t="s">
        <v>82</v>
      </c>
      <c r="F399" t="str">
        <f t="shared" si="6"/>
        <v>Active</v>
      </c>
    </row>
    <row r="400" spans="1:6" x14ac:dyDescent="0.2">
      <c r="A400" s="2">
        <v>399</v>
      </c>
      <c r="B400">
        <v>200</v>
      </c>
      <c r="C400" s="1">
        <v>46262</v>
      </c>
      <c r="D400" s="1"/>
      <c r="E400" t="s">
        <v>82</v>
      </c>
      <c r="F400" t="str">
        <f t="shared" si="6"/>
        <v>Active</v>
      </c>
    </row>
    <row r="401" spans="1:6" x14ac:dyDescent="0.2">
      <c r="A401" s="2">
        <v>400</v>
      </c>
      <c r="B401">
        <v>200</v>
      </c>
      <c r="C401" s="1">
        <v>46262</v>
      </c>
      <c r="D401" s="1"/>
      <c r="E401" t="s">
        <v>82</v>
      </c>
      <c r="F401" t="str">
        <f t="shared" si="6"/>
        <v>Active</v>
      </c>
    </row>
    <row r="402" spans="1:6" x14ac:dyDescent="0.2">
      <c r="A402" s="2">
        <v>401</v>
      </c>
      <c r="B402">
        <v>200</v>
      </c>
      <c r="C402" s="1">
        <v>46262</v>
      </c>
      <c r="D402" s="1"/>
      <c r="E402" t="s">
        <v>82</v>
      </c>
      <c r="F402" t="str">
        <f t="shared" si="6"/>
        <v>Active</v>
      </c>
    </row>
    <row r="403" spans="1:6" x14ac:dyDescent="0.2">
      <c r="A403" s="2">
        <v>402</v>
      </c>
      <c r="B403">
        <v>200</v>
      </c>
      <c r="C403" s="1">
        <v>46262</v>
      </c>
      <c r="D403" s="1"/>
      <c r="E403" t="s">
        <v>82</v>
      </c>
      <c r="F403" t="str">
        <f t="shared" si="6"/>
        <v>Active</v>
      </c>
    </row>
    <row r="404" spans="1:6" x14ac:dyDescent="0.2">
      <c r="A404" s="2">
        <v>403</v>
      </c>
      <c r="B404">
        <v>200</v>
      </c>
      <c r="C404" s="1">
        <v>46262</v>
      </c>
      <c r="D404" s="1"/>
      <c r="E404" t="s">
        <v>82</v>
      </c>
      <c r="F404" t="str">
        <f t="shared" si="6"/>
        <v>Active</v>
      </c>
    </row>
    <row r="405" spans="1:6" x14ac:dyDescent="0.2">
      <c r="A405" s="2">
        <v>404</v>
      </c>
      <c r="B405">
        <v>200</v>
      </c>
      <c r="C405" s="1">
        <v>46265</v>
      </c>
      <c r="D405" s="1"/>
      <c r="E405" t="s">
        <v>82</v>
      </c>
      <c r="F405" t="str">
        <f t="shared" si="6"/>
        <v>Active</v>
      </c>
    </row>
    <row r="406" spans="1:6" x14ac:dyDescent="0.2">
      <c r="A406" s="2">
        <v>405</v>
      </c>
      <c r="B406">
        <v>200</v>
      </c>
      <c r="C406" s="1">
        <v>46265</v>
      </c>
      <c r="D406" s="1"/>
      <c r="E406" t="s">
        <v>82</v>
      </c>
      <c r="F406" t="str">
        <f t="shared" si="6"/>
        <v>Active</v>
      </c>
    </row>
    <row r="407" spans="1:6" x14ac:dyDescent="0.2">
      <c r="A407" s="2">
        <v>406</v>
      </c>
      <c r="B407">
        <v>200</v>
      </c>
      <c r="C407" s="1">
        <v>46265</v>
      </c>
      <c r="D407" s="1"/>
      <c r="E407" t="s">
        <v>82</v>
      </c>
      <c r="F407" t="str">
        <f t="shared" si="6"/>
        <v>Active</v>
      </c>
    </row>
    <row r="408" spans="1:6" x14ac:dyDescent="0.2">
      <c r="A408" s="2">
        <v>407</v>
      </c>
      <c r="B408">
        <v>200</v>
      </c>
      <c r="C408" s="1">
        <v>46265</v>
      </c>
      <c r="D408" s="1"/>
      <c r="E408" t="s">
        <v>82</v>
      </c>
      <c r="F408" t="str">
        <f t="shared" si="6"/>
        <v>Active</v>
      </c>
    </row>
    <row r="409" spans="1:6" x14ac:dyDescent="0.2">
      <c r="A409" s="2">
        <v>408</v>
      </c>
      <c r="B409">
        <v>200</v>
      </c>
      <c r="C409" s="1">
        <v>46266</v>
      </c>
      <c r="D409" s="1"/>
      <c r="E409" t="s">
        <v>558</v>
      </c>
      <c r="F409" t="str">
        <f t="shared" si="6"/>
        <v>Active</v>
      </c>
    </row>
    <row r="410" spans="1:6" x14ac:dyDescent="0.2">
      <c r="A410" s="2">
        <v>409</v>
      </c>
      <c r="B410">
        <v>200</v>
      </c>
      <c r="C410" s="1">
        <v>46266</v>
      </c>
      <c r="D410" s="1"/>
      <c r="E410" t="s">
        <v>82</v>
      </c>
      <c r="F410" t="str">
        <f t="shared" si="6"/>
        <v>Active</v>
      </c>
    </row>
    <row r="411" spans="1:6" x14ac:dyDescent="0.2">
      <c r="A411" s="2">
        <v>410</v>
      </c>
      <c r="B411">
        <v>200</v>
      </c>
      <c r="C411" s="1">
        <v>46266</v>
      </c>
      <c r="D411" s="1"/>
      <c r="E411" t="s">
        <v>82</v>
      </c>
      <c r="F411" t="str">
        <f t="shared" si="6"/>
        <v>Active</v>
      </c>
    </row>
    <row r="412" spans="1:6" x14ac:dyDescent="0.2">
      <c r="A412" s="2">
        <v>411</v>
      </c>
      <c r="B412">
        <v>200</v>
      </c>
      <c r="C412" s="1">
        <v>46266</v>
      </c>
      <c r="D412" s="1"/>
      <c r="E412" t="s">
        <v>82</v>
      </c>
      <c r="F412" t="str">
        <f t="shared" si="6"/>
        <v>Active</v>
      </c>
    </row>
    <row r="413" spans="1:6" x14ac:dyDescent="0.2">
      <c r="A413" s="2">
        <v>412</v>
      </c>
      <c r="B413">
        <v>200</v>
      </c>
      <c r="C413" s="1">
        <v>46266</v>
      </c>
      <c r="D413" s="1"/>
      <c r="E413" t="s">
        <v>82</v>
      </c>
      <c r="F413" t="str">
        <f t="shared" si="6"/>
        <v>Active</v>
      </c>
    </row>
    <row r="414" spans="1:6" x14ac:dyDescent="0.2">
      <c r="A414" s="2">
        <v>413</v>
      </c>
      <c r="B414">
        <v>200</v>
      </c>
      <c r="C414" s="1">
        <v>46267</v>
      </c>
      <c r="D414" s="1"/>
      <c r="E414" t="s">
        <v>557</v>
      </c>
      <c r="F414" t="str">
        <f t="shared" si="6"/>
        <v>Active</v>
      </c>
    </row>
    <row r="415" spans="1:6" x14ac:dyDescent="0.2">
      <c r="A415" s="2">
        <v>414</v>
      </c>
      <c r="B415">
        <v>200</v>
      </c>
      <c r="C415" s="1">
        <v>46267</v>
      </c>
      <c r="D415" s="1"/>
      <c r="E415" t="s">
        <v>82</v>
      </c>
      <c r="F415" t="str">
        <f t="shared" si="6"/>
        <v>Active</v>
      </c>
    </row>
    <row r="416" spans="1:6" x14ac:dyDescent="0.2">
      <c r="A416" s="2">
        <v>415</v>
      </c>
      <c r="B416">
        <v>200</v>
      </c>
      <c r="C416" s="1">
        <v>46268</v>
      </c>
      <c r="D416" s="1"/>
      <c r="E416" t="s">
        <v>82</v>
      </c>
      <c r="F416" t="str">
        <f t="shared" si="6"/>
        <v>Active</v>
      </c>
    </row>
    <row r="417" spans="1:6" x14ac:dyDescent="0.2">
      <c r="A417" s="2">
        <v>416</v>
      </c>
      <c r="B417">
        <v>200</v>
      </c>
      <c r="C417" s="1">
        <v>46268</v>
      </c>
      <c r="D417" s="1"/>
      <c r="E417" t="s">
        <v>82</v>
      </c>
      <c r="F417" t="str">
        <f t="shared" si="6"/>
        <v>Active</v>
      </c>
    </row>
    <row r="418" spans="1:6" x14ac:dyDescent="0.2">
      <c r="A418" s="2">
        <v>417</v>
      </c>
      <c r="B418">
        <v>200</v>
      </c>
      <c r="C418" s="1">
        <v>46268</v>
      </c>
      <c r="D418" s="1"/>
      <c r="E418" t="s">
        <v>82</v>
      </c>
      <c r="F418" t="str">
        <f t="shared" si="6"/>
        <v>Active</v>
      </c>
    </row>
    <row r="419" spans="1:6" x14ac:dyDescent="0.2">
      <c r="A419" s="2">
        <v>418</v>
      </c>
      <c r="B419">
        <v>200</v>
      </c>
      <c r="C419" s="1">
        <v>46269</v>
      </c>
      <c r="D419" s="1"/>
      <c r="E419" t="s">
        <v>82</v>
      </c>
      <c r="F419" t="str">
        <f t="shared" si="6"/>
        <v>Active</v>
      </c>
    </row>
    <row r="420" spans="1:6" x14ac:dyDescent="0.2">
      <c r="A420" s="2">
        <v>419</v>
      </c>
      <c r="B420">
        <v>200</v>
      </c>
      <c r="C420" s="1">
        <v>46269</v>
      </c>
      <c r="D420" s="1"/>
      <c r="E420" t="s">
        <v>82</v>
      </c>
      <c r="F420" t="str">
        <f t="shared" si="6"/>
        <v>Active</v>
      </c>
    </row>
    <row r="421" spans="1:6" x14ac:dyDescent="0.2">
      <c r="A421" s="2">
        <v>420</v>
      </c>
      <c r="B421">
        <v>200</v>
      </c>
      <c r="C421" s="1">
        <v>46269</v>
      </c>
      <c r="D421" s="1"/>
      <c r="E421" t="s">
        <v>82</v>
      </c>
      <c r="F421" t="str">
        <f t="shared" si="6"/>
        <v>Active</v>
      </c>
    </row>
    <row r="422" spans="1:6" x14ac:dyDescent="0.2">
      <c r="A422" s="2">
        <v>421</v>
      </c>
      <c r="B422">
        <v>200</v>
      </c>
      <c r="C422" s="1">
        <v>46269</v>
      </c>
      <c r="D422" s="1"/>
      <c r="E422" t="s">
        <v>558</v>
      </c>
      <c r="F422" t="str">
        <f t="shared" si="6"/>
        <v>Active</v>
      </c>
    </row>
    <row r="423" spans="1:6" x14ac:dyDescent="0.2">
      <c r="A423" s="2">
        <v>422</v>
      </c>
      <c r="B423">
        <v>200</v>
      </c>
      <c r="C423" s="1">
        <v>46269</v>
      </c>
      <c r="D423" s="1"/>
      <c r="E423" t="s">
        <v>82</v>
      </c>
      <c r="F423" t="str">
        <f t="shared" si="6"/>
        <v>Active</v>
      </c>
    </row>
    <row r="424" spans="1:6" x14ac:dyDescent="0.2">
      <c r="A424" s="2">
        <v>423</v>
      </c>
      <c r="B424">
        <v>200</v>
      </c>
      <c r="C424" s="1">
        <v>46272</v>
      </c>
      <c r="D424" s="1"/>
      <c r="E424" t="s">
        <v>82</v>
      </c>
      <c r="F424" t="str">
        <f t="shared" si="6"/>
        <v>Active</v>
      </c>
    </row>
    <row r="425" spans="1:6" x14ac:dyDescent="0.2">
      <c r="A425" s="2">
        <v>424</v>
      </c>
      <c r="B425">
        <v>200</v>
      </c>
      <c r="C425" s="1">
        <v>46272</v>
      </c>
      <c r="D425" s="1"/>
      <c r="E425" t="s">
        <v>558</v>
      </c>
      <c r="F425" t="str">
        <f t="shared" si="6"/>
        <v>Active</v>
      </c>
    </row>
    <row r="426" spans="1:6" x14ac:dyDescent="0.2">
      <c r="A426" s="2">
        <v>425</v>
      </c>
      <c r="B426">
        <v>200</v>
      </c>
      <c r="C426" s="1">
        <v>46272</v>
      </c>
      <c r="D426" s="1"/>
      <c r="E426" t="s">
        <v>82</v>
      </c>
      <c r="F426" t="str">
        <f t="shared" si="6"/>
        <v>Active</v>
      </c>
    </row>
    <row r="427" spans="1:6" x14ac:dyDescent="0.2">
      <c r="A427" s="2">
        <v>426</v>
      </c>
      <c r="B427">
        <v>200</v>
      </c>
      <c r="C427" s="1">
        <v>46272</v>
      </c>
      <c r="D427" s="1"/>
      <c r="E427" t="s">
        <v>82</v>
      </c>
      <c r="F427" t="str">
        <f t="shared" si="6"/>
        <v>Active</v>
      </c>
    </row>
    <row r="428" spans="1:6" x14ac:dyDescent="0.2">
      <c r="A428" s="2">
        <v>427</v>
      </c>
      <c r="B428">
        <v>200</v>
      </c>
      <c r="C428" s="1">
        <v>46272</v>
      </c>
      <c r="D428" s="1"/>
      <c r="E428" t="s">
        <v>82</v>
      </c>
      <c r="F428" t="str">
        <f t="shared" si="6"/>
        <v>Active</v>
      </c>
    </row>
    <row r="429" spans="1:6" x14ac:dyDescent="0.2">
      <c r="A429" s="2">
        <v>428</v>
      </c>
      <c r="B429">
        <v>200</v>
      </c>
      <c r="C429" s="1">
        <v>46272</v>
      </c>
      <c r="D429" s="1"/>
      <c r="E429" t="s">
        <v>82</v>
      </c>
      <c r="F429" t="str">
        <f t="shared" si="6"/>
        <v>Active</v>
      </c>
    </row>
    <row r="430" spans="1:6" x14ac:dyDescent="0.2">
      <c r="A430" s="2">
        <v>429</v>
      </c>
      <c r="B430">
        <v>200</v>
      </c>
      <c r="C430" s="1">
        <v>46272</v>
      </c>
      <c r="D430" s="1"/>
      <c r="E430" t="s">
        <v>82</v>
      </c>
      <c r="F430" t="str">
        <f t="shared" si="6"/>
        <v>Active</v>
      </c>
    </row>
    <row r="431" spans="1:6" x14ac:dyDescent="0.2">
      <c r="A431" s="2">
        <v>430</v>
      </c>
      <c r="B431">
        <v>200</v>
      </c>
      <c r="C431" s="1">
        <v>46272</v>
      </c>
      <c r="D431" s="1"/>
      <c r="E431" t="s">
        <v>82</v>
      </c>
      <c r="F431" t="str">
        <f t="shared" si="6"/>
        <v>Active</v>
      </c>
    </row>
    <row r="432" spans="1:6" x14ac:dyDescent="0.2">
      <c r="A432" s="2">
        <v>431</v>
      </c>
      <c r="B432">
        <v>200</v>
      </c>
      <c r="C432" s="1">
        <v>46272</v>
      </c>
      <c r="D432" s="1"/>
      <c r="E432" t="s">
        <v>82</v>
      </c>
      <c r="F432" t="str">
        <f t="shared" si="6"/>
        <v>Active</v>
      </c>
    </row>
    <row r="433" spans="1:6" x14ac:dyDescent="0.2">
      <c r="A433" s="2">
        <v>432</v>
      </c>
      <c r="B433">
        <v>200</v>
      </c>
      <c r="C433" s="1">
        <v>46273</v>
      </c>
      <c r="D433" s="1"/>
      <c r="E433" t="s">
        <v>82</v>
      </c>
      <c r="F433" t="str">
        <f t="shared" si="6"/>
        <v>Active</v>
      </c>
    </row>
    <row r="434" spans="1:6" x14ac:dyDescent="0.2">
      <c r="A434" s="2">
        <v>433</v>
      </c>
      <c r="B434">
        <v>200</v>
      </c>
      <c r="C434" s="1">
        <v>46273</v>
      </c>
      <c r="D434" s="1"/>
      <c r="E434" t="s">
        <v>82</v>
      </c>
      <c r="F434" t="str">
        <f t="shared" si="6"/>
        <v>Active</v>
      </c>
    </row>
    <row r="435" spans="1:6" x14ac:dyDescent="0.2">
      <c r="A435" s="2">
        <v>434</v>
      </c>
      <c r="B435">
        <v>200</v>
      </c>
      <c r="C435" s="1">
        <v>46273</v>
      </c>
      <c r="D435" s="1"/>
      <c r="E435" t="s">
        <v>82</v>
      </c>
      <c r="F435" t="str">
        <f t="shared" si="6"/>
        <v>Active</v>
      </c>
    </row>
    <row r="436" spans="1:6" x14ac:dyDescent="0.2">
      <c r="A436" s="2">
        <v>435</v>
      </c>
      <c r="B436">
        <v>200</v>
      </c>
      <c r="C436" s="1">
        <v>46274</v>
      </c>
      <c r="D436" s="1"/>
      <c r="E436" t="s">
        <v>82</v>
      </c>
      <c r="F436" t="str">
        <f t="shared" si="6"/>
        <v>Active</v>
      </c>
    </row>
    <row r="437" spans="1:6" x14ac:dyDescent="0.2">
      <c r="A437" s="2">
        <v>436</v>
      </c>
      <c r="B437">
        <v>200</v>
      </c>
      <c r="C437" s="1">
        <v>46275</v>
      </c>
      <c r="D437" s="1"/>
      <c r="E437" t="s">
        <v>82</v>
      </c>
      <c r="F437" t="str">
        <f t="shared" si="6"/>
        <v>Active</v>
      </c>
    </row>
    <row r="438" spans="1:6" x14ac:dyDescent="0.2">
      <c r="A438" s="2">
        <v>437</v>
      </c>
      <c r="B438">
        <v>200</v>
      </c>
      <c r="C438" s="1">
        <v>46275</v>
      </c>
      <c r="D438" s="1"/>
      <c r="E438" t="s">
        <v>82</v>
      </c>
      <c r="F438" t="str">
        <f t="shared" si="6"/>
        <v>Active</v>
      </c>
    </row>
    <row r="439" spans="1:6" x14ac:dyDescent="0.2">
      <c r="A439" s="2">
        <v>438</v>
      </c>
      <c r="B439">
        <v>200</v>
      </c>
      <c r="C439" s="1">
        <v>46276</v>
      </c>
      <c r="D439" s="1"/>
      <c r="E439" t="s">
        <v>82</v>
      </c>
      <c r="F439" t="str">
        <f t="shared" si="6"/>
        <v>Active</v>
      </c>
    </row>
    <row r="440" spans="1:6" x14ac:dyDescent="0.2">
      <c r="A440" s="2">
        <v>439</v>
      </c>
      <c r="B440">
        <v>200</v>
      </c>
      <c r="C440" s="1">
        <v>46276</v>
      </c>
      <c r="D440" s="1"/>
      <c r="E440" t="s">
        <v>82</v>
      </c>
      <c r="F440" t="str">
        <f t="shared" si="6"/>
        <v>Active</v>
      </c>
    </row>
    <row r="441" spans="1:6" x14ac:dyDescent="0.2">
      <c r="A441" s="2">
        <v>440</v>
      </c>
      <c r="B441">
        <v>200</v>
      </c>
      <c r="C441" s="1">
        <v>46276</v>
      </c>
      <c r="D441" s="1"/>
      <c r="E441" t="s">
        <v>558</v>
      </c>
      <c r="F441" t="str">
        <f t="shared" si="6"/>
        <v>Active</v>
      </c>
    </row>
    <row r="442" spans="1:6" x14ac:dyDescent="0.2">
      <c r="A442" s="2">
        <v>441</v>
      </c>
      <c r="B442">
        <v>200</v>
      </c>
      <c r="C442" s="1">
        <v>46276</v>
      </c>
      <c r="D442" s="1"/>
      <c r="E442" t="s">
        <v>557</v>
      </c>
      <c r="F442" t="str">
        <f t="shared" si="6"/>
        <v>Active</v>
      </c>
    </row>
    <row r="443" spans="1:6" x14ac:dyDescent="0.2">
      <c r="A443" s="2">
        <v>442</v>
      </c>
      <c r="B443">
        <v>200</v>
      </c>
      <c r="C443" s="1">
        <v>46279</v>
      </c>
      <c r="D443" s="1"/>
      <c r="E443" t="s">
        <v>82</v>
      </c>
      <c r="F443" t="str">
        <f t="shared" si="6"/>
        <v>Active</v>
      </c>
    </row>
    <row r="444" spans="1:6" x14ac:dyDescent="0.2">
      <c r="A444" s="2">
        <v>443</v>
      </c>
      <c r="B444">
        <v>200</v>
      </c>
      <c r="C444" s="1">
        <v>46279</v>
      </c>
      <c r="D444" s="1"/>
      <c r="E444" t="s">
        <v>558</v>
      </c>
      <c r="F444" t="str">
        <f t="shared" si="6"/>
        <v>Active</v>
      </c>
    </row>
    <row r="445" spans="1:6" x14ac:dyDescent="0.2">
      <c r="A445" s="2">
        <v>444</v>
      </c>
      <c r="B445">
        <v>200</v>
      </c>
      <c r="C445" s="1">
        <v>46279</v>
      </c>
      <c r="D445" s="1"/>
      <c r="E445" t="s">
        <v>82</v>
      </c>
      <c r="F445" t="str">
        <f t="shared" si="6"/>
        <v>Active</v>
      </c>
    </row>
    <row r="446" spans="1:6" x14ac:dyDescent="0.2">
      <c r="A446" s="2">
        <v>445</v>
      </c>
      <c r="B446">
        <v>200</v>
      </c>
      <c r="C446" s="1">
        <v>46279</v>
      </c>
      <c r="D446" s="1"/>
      <c r="E446" t="s">
        <v>82</v>
      </c>
      <c r="F446" t="str">
        <f t="shared" si="6"/>
        <v>Active</v>
      </c>
    </row>
    <row r="447" spans="1:6" x14ac:dyDescent="0.2">
      <c r="A447" s="2">
        <v>446</v>
      </c>
      <c r="B447">
        <v>200</v>
      </c>
      <c r="C447" s="1">
        <v>46279</v>
      </c>
      <c r="D447" s="1"/>
      <c r="E447" t="s">
        <v>82</v>
      </c>
      <c r="F447" t="str">
        <f t="shared" si="6"/>
        <v>Active</v>
      </c>
    </row>
    <row r="448" spans="1:6" x14ac:dyDescent="0.2">
      <c r="A448" s="2">
        <v>447</v>
      </c>
      <c r="B448">
        <v>200</v>
      </c>
      <c r="C448" s="1">
        <v>46279</v>
      </c>
      <c r="D448" s="1"/>
      <c r="E448" t="s">
        <v>82</v>
      </c>
      <c r="F448" t="str">
        <f t="shared" si="6"/>
        <v>Active</v>
      </c>
    </row>
    <row r="449" spans="1:6" x14ac:dyDescent="0.2">
      <c r="A449" s="2">
        <v>448</v>
      </c>
      <c r="B449">
        <v>200</v>
      </c>
      <c r="C449" s="1">
        <v>46279</v>
      </c>
      <c r="D449" s="1"/>
      <c r="E449" t="s">
        <v>82</v>
      </c>
      <c r="F449" t="str">
        <f t="shared" si="6"/>
        <v>Active</v>
      </c>
    </row>
    <row r="450" spans="1:6" x14ac:dyDescent="0.2">
      <c r="A450" s="2">
        <v>449</v>
      </c>
      <c r="B450">
        <v>200</v>
      </c>
      <c r="C450" s="1">
        <v>46279</v>
      </c>
      <c r="D450" s="1"/>
      <c r="E450" t="s">
        <v>82</v>
      </c>
      <c r="F450" t="str">
        <f t="shared" si="6"/>
        <v>Active</v>
      </c>
    </row>
    <row r="451" spans="1:6" x14ac:dyDescent="0.2">
      <c r="A451" s="2">
        <v>450</v>
      </c>
      <c r="B451">
        <v>200</v>
      </c>
      <c r="C451" s="1">
        <v>46279</v>
      </c>
      <c r="D451" s="1"/>
      <c r="E451" t="s">
        <v>82</v>
      </c>
      <c r="F451" t="str">
        <f t="shared" ref="F451:F514" si="7">IF(D451="","Active","Terminated")</f>
        <v>Active</v>
      </c>
    </row>
    <row r="452" spans="1:6" x14ac:dyDescent="0.2">
      <c r="A452" s="2">
        <v>451</v>
      </c>
      <c r="B452">
        <v>200</v>
      </c>
      <c r="C452" s="1">
        <v>46280</v>
      </c>
      <c r="D452" s="1"/>
      <c r="E452" t="s">
        <v>82</v>
      </c>
      <c r="F452" t="str">
        <f t="shared" si="7"/>
        <v>Active</v>
      </c>
    </row>
    <row r="453" spans="1:6" x14ac:dyDescent="0.2">
      <c r="A453" s="2">
        <v>452</v>
      </c>
      <c r="B453">
        <v>200</v>
      </c>
      <c r="C453" s="1">
        <v>46280</v>
      </c>
      <c r="D453" s="1"/>
      <c r="E453" t="s">
        <v>557</v>
      </c>
      <c r="F453" t="str">
        <f t="shared" si="7"/>
        <v>Active</v>
      </c>
    </row>
    <row r="454" spans="1:6" x14ac:dyDescent="0.2">
      <c r="A454" s="2">
        <v>453</v>
      </c>
      <c r="B454">
        <v>200</v>
      </c>
      <c r="C454" s="1">
        <v>46280</v>
      </c>
      <c r="D454" s="1"/>
      <c r="E454" t="s">
        <v>557</v>
      </c>
      <c r="F454" t="str">
        <f t="shared" si="7"/>
        <v>Active</v>
      </c>
    </row>
    <row r="455" spans="1:6" x14ac:dyDescent="0.2">
      <c r="A455" s="2">
        <v>454</v>
      </c>
      <c r="B455">
        <v>200</v>
      </c>
      <c r="C455" s="1">
        <v>46281</v>
      </c>
      <c r="D455" s="1"/>
      <c r="E455" t="s">
        <v>82</v>
      </c>
      <c r="F455" t="str">
        <f t="shared" si="7"/>
        <v>Active</v>
      </c>
    </row>
    <row r="456" spans="1:6" x14ac:dyDescent="0.2">
      <c r="A456" s="2">
        <v>455</v>
      </c>
      <c r="B456">
        <v>200</v>
      </c>
      <c r="C456" s="1">
        <v>46281</v>
      </c>
      <c r="D456" s="1"/>
      <c r="E456" t="s">
        <v>82</v>
      </c>
      <c r="F456" t="str">
        <f t="shared" si="7"/>
        <v>Active</v>
      </c>
    </row>
    <row r="457" spans="1:6" x14ac:dyDescent="0.2">
      <c r="A457" s="2">
        <v>456</v>
      </c>
      <c r="B457">
        <v>200</v>
      </c>
      <c r="C457" s="1">
        <v>46281</v>
      </c>
      <c r="D457" s="1"/>
      <c r="E457" t="s">
        <v>557</v>
      </c>
      <c r="F457" t="str">
        <f t="shared" si="7"/>
        <v>Active</v>
      </c>
    </row>
    <row r="458" spans="1:6" x14ac:dyDescent="0.2">
      <c r="A458" s="2">
        <v>457</v>
      </c>
      <c r="B458">
        <v>200</v>
      </c>
      <c r="C458" s="1">
        <v>46281</v>
      </c>
      <c r="D458" s="1"/>
      <c r="E458" t="s">
        <v>82</v>
      </c>
      <c r="F458" t="str">
        <f t="shared" si="7"/>
        <v>Active</v>
      </c>
    </row>
    <row r="459" spans="1:6" x14ac:dyDescent="0.2">
      <c r="A459" s="2">
        <v>458</v>
      </c>
      <c r="B459">
        <v>200</v>
      </c>
      <c r="C459" s="1">
        <v>46281</v>
      </c>
      <c r="D459" s="1"/>
      <c r="E459" t="s">
        <v>82</v>
      </c>
      <c r="F459" t="str">
        <f t="shared" si="7"/>
        <v>Active</v>
      </c>
    </row>
    <row r="460" spans="1:6" x14ac:dyDescent="0.2">
      <c r="A460" s="2">
        <v>459</v>
      </c>
      <c r="B460">
        <v>200</v>
      </c>
      <c r="C460" s="1">
        <v>46281</v>
      </c>
      <c r="D460" s="1"/>
      <c r="E460" t="s">
        <v>82</v>
      </c>
      <c r="F460" t="str">
        <f t="shared" si="7"/>
        <v>Active</v>
      </c>
    </row>
    <row r="461" spans="1:6" x14ac:dyDescent="0.2">
      <c r="A461" s="2">
        <v>460</v>
      </c>
      <c r="B461">
        <v>200</v>
      </c>
      <c r="C461" s="1">
        <v>46281</v>
      </c>
      <c r="D461" s="1"/>
      <c r="E461" t="s">
        <v>82</v>
      </c>
      <c r="F461" t="str">
        <f t="shared" si="7"/>
        <v>Active</v>
      </c>
    </row>
    <row r="462" spans="1:6" x14ac:dyDescent="0.2">
      <c r="A462" s="2">
        <v>461</v>
      </c>
      <c r="B462">
        <v>200</v>
      </c>
      <c r="C462" s="1">
        <v>46281</v>
      </c>
      <c r="D462" s="1"/>
      <c r="E462" t="s">
        <v>82</v>
      </c>
      <c r="F462" t="str">
        <f t="shared" si="7"/>
        <v>Active</v>
      </c>
    </row>
    <row r="463" spans="1:6" x14ac:dyDescent="0.2">
      <c r="A463" s="2">
        <v>462</v>
      </c>
      <c r="B463">
        <v>200</v>
      </c>
      <c r="C463" s="1">
        <v>46282</v>
      </c>
      <c r="D463" s="1"/>
      <c r="E463" t="s">
        <v>82</v>
      </c>
      <c r="F463" t="str">
        <f t="shared" si="7"/>
        <v>Active</v>
      </c>
    </row>
    <row r="464" spans="1:6" x14ac:dyDescent="0.2">
      <c r="A464" s="2">
        <v>463</v>
      </c>
      <c r="B464">
        <v>200</v>
      </c>
      <c r="C464" s="1">
        <v>46282</v>
      </c>
      <c r="D464" s="1"/>
      <c r="E464" t="s">
        <v>82</v>
      </c>
      <c r="F464" t="str">
        <f t="shared" si="7"/>
        <v>Active</v>
      </c>
    </row>
    <row r="465" spans="1:6" x14ac:dyDescent="0.2">
      <c r="A465" s="2">
        <v>464</v>
      </c>
      <c r="B465">
        <v>200</v>
      </c>
      <c r="C465" s="1">
        <v>46282</v>
      </c>
      <c r="D465" s="1"/>
      <c r="E465" t="s">
        <v>82</v>
      </c>
      <c r="F465" t="str">
        <f t="shared" si="7"/>
        <v>Active</v>
      </c>
    </row>
    <row r="466" spans="1:6" x14ac:dyDescent="0.2">
      <c r="A466" s="2">
        <v>465</v>
      </c>
      <c r="B466">
        <v>200</v>
      </c>
      <c r="C466" s="1">
        <v>46283</v>
      </c>
      <c r="D466" s="1"/>
      <c r="E466" t="s">
        <v>82</v>
      </c>
      <c r="F466" t="str">
        <f t="shared" si="7"/>
        <v>Active</v>
      </c>
    </row>
    <row r="467" spans="1:6" x14ac:dyDescent="0.2">
      <c r="A467" s="2">
        <v>466</v>
      </c>
      <c r="B467">
        <v>200</v>
      </c>
      <c r="C467" s="1">
        <v>46283</v>
      </c>
      <c r="D467" s="1"/>
      <c r="E467" t="s">
        <v>82</v>
      </c>
      <c r="F467" t="str">
        <f t="shared" si="7"/>
        <v>Active</v>
      </c>
    </row>
    <row r="468" spans="1:6" x14ac:dyDescent="0.2">
      <c r="A468" s="2">
        <v>467</v>
      </c>
      <c r="B468">
        <v>200</v>
      </c>
      <c r="C468" s="1">
        <v>46283</v>
      </c>
      <c r="D468" s="1"/>
      <c r="E468" t="s">
        <v>82</v>
      </c>
      <c r="F468" t="str">
        <f t="shared" si="7"/>
        <v>Active</v>
      </c>
    </row>
    <row r="469" spans="1:6" x14ac:dyDescent="0.2">
      <c r="A469" s="2">
        <v>468</v>
      </c>
      <c r="B469">
        <v>200</v>
      </c>
      <c r="C469" s="1">
        <v>46283</v>
      </c>
      <c r="D469" s="1"/>
      <c r="E469" t="s">
        <v>82</v>
      </c>
      <c r="F469" t="str">
        <f t="shared" si="7"/>
        <v>Active</v>
      </c>
    </row>
    <row r="470" spans="1:6" x14ac:dyDescent="0.2">
      <c r="A470" s="2">
        <v>469</v>
      </c>
      <c r="B470">
        <v>200</v>
      </c>
      <c r="C470" s="1">
        <v>46283</v>
      </c>
      <c r="D470" s="1"/>
      <c r="E470" t="s">
        <v>558</v>
      </c>
      <c r="F470" t="str">
        <f t="shared" si="7"/>
        <v>Active</v>
      </c>
    </row>
    <row r="471" spans="1:6" x14ac:dyDescent="0.2">
      <c r="A471" s="2">
        <v>470</v>
      </c>
      <c r="B471">
        <v>200</v>
      </c>
      <c r="C471" s="1">
        <v>46286</v>
      </c>
      <c r="D471" s="1"/>
      <c r="E471" t="s">
        <v>82</v>
      </c>
      <c r="F471" t="str">
        <f t="shared" si="7"/>
        <v>Active</v>
      </c>
    </row>
    <row r="472" spans="1:6" x14ac:dyDescent="0.2">
      <c r="A472" s="2">
        <v>471</v>
      </c>
      <c r="B472">
        <v>200</v>
      </c>
      <c r="C472" s="1">
        <v>46286</v>
      </c>
      <c r="D472" s="1"/>
      <c r="E472" t="s">
        <v>82</v>
      </c>
      <c r="F472" t="str">
        <f t="shared" si="7"/>
        <v>Active</v>
      </c>
    </row>
    <row r="473" spans="1:6" x14ac:dyDescent="0.2">
      <c r="A473" s="2">
        <v>472</v>
      </c>
      <c r="B473">
        <v>200</v>
      </c>
      <c r="C473" s="1">
        <v>46286</v>
      </c>
      <c r="D473" s="1"/>
      <c r="E473" t="s">
        <v>82</v>
      </c>
      <c r="F473" t="str">
        <f t="shared" si="7"/>
        <v>Active</v>
      </c>
    </row>
    <row r="474" spans="1:6" x14ac:dyDescent="0.2">
      <c r="A474" s="2">
        <v>473</v>
      </c>
      <c r="B474">
        <v>200</v>
      </c>
      <c r="C474" s="1">
        <v>46286</v>
      </c>
      <c r="D474" s="1"/>
      <c r="E474" t="s">
        <v>82</v>
      </c>
      <c r="F474" t="str">
        <f t="shared" si="7"/>
        <v>Active</v>
      </c>
    </row>
    <row r="475" spans="1:6" x14ac:dyDescent="0.2">
      <c r="A475" s="2">
        <v>474</v>
      </c>
      <c r="B475">
        <v>200</v>
      </c>
      <c r="C475" s="1">
        <v>46286</v>
      </c>
      <c r="D475" s="1"/>
      <c r="E475" t="s">
        <v>82</v>
      </c>
      <c r="F475" t="str">
        <f t="shared" si="7"/>
        <v>Active</v>
      </c>
    </row>
    <row r="476" spans="1:6" x14ac:dyDescent="0.2">
      <c r="A476" s="2">
        <v>475</v>
      </c>
      <c r="B476">
        <v>200</v>
      </c>
      <c r="C476" s="1">
        <v>46286</v>
      </c>
      <c r="D476" s="1"/>
      <c r="E476" t="s">
        <v>82</v>
      </c>
      <c r="F476" t="str">
        <f t="shared" si="7"/>
        <v>Active</v>
      </c>
    </row>
    <row r="477" spans="1:6" x14ac:dyDescent="0.2">
      <c r="A477" s="2">
        <v>476</v>
      </c>
      <c r="B477">
        <v>200</v>
      </c>
      <c r="C477" s="1">
        <v>46286</v>
      </c>
      <c r="D477" s="1"/>
      <c r="E477" t="s">
        <v>558</v>
      </c>
      <c r="F477" t="str">
        <f t="shared" si="7"/>
        <v>Active</v>
      </c>
    </row>
    <row r="478" spans="1:6" x14ac:dyDescent="0.2">
      <c r="A478" s="2">
        <v>477</v>
      </c>
      <c r="B478">
        <v>200</v>
      </c>
      <c r="C478" s="1">
        <v>46286</v>
      </c>
      <c r="D478" s="1"/>
      <c r="E478" t="s">
        <v>82</v>
      </c>
      <c r="F478" t="str">
        <f t="shared" si="7"/>
        <v>Active</v>
      </c>
    </row>
    <row r="479" spans="1:6" x14ac:dyDescent="0.2">
      <c r="A479" s="2">
        <v>478</v>
      </c>
      <c r="B479">
        <v>200</v>
      </c>
      <c r="C479" s="1">
        <v>46286</v>
      </c>
      <c r="D479" s="1"/>
      <c r="E479" t="s">
        <v>82</v>
      </c>
      <c r="F479" t="str">
        <f t="shared" si="7"/>
        <v>Active</v>
      </c>
    </row>
    <row r="480" spans="1:6" x14ac:dyDescent="0.2">
      <c r="A480" s="2">
        <v>479</v>
      </c>
      <c r="B480">
        <v>200</v>
      </c>
      <c r="C480" s="1">
        <v>46286</v>
      </c>
      <c r="D480" s="1"/>
      <c r="E480" t="s">
        <v>82</v>
      </c>
      <c r="F480" t="str">
        <f t="shared" si="7"/>
        <v>Active</v>
      </c>
    </row>
    <row r="481" spans="1:6" x14ac:dyDescent="0.2">
      <c r="A481" s="2">
        <v>480</v>
      </c>
      <c r="B481">
        <v>200</v>
      </c>
      <c r="C481" s="1">
        <v>46286</v>
      </c>
      <c r="D481" s="1"/>
      <c r="E481" t="s">
        <v>82</v>
      </c>
      <c r="F481" t="str">
        <f t="shared" si="7"/>
        <v>Active</v>
      </c>
    </row>
    <row r="482" spans="1:6" x14ac:dyDescent="0.2">
      <c r="A482" s="2">
        <v>481</v>
      </c>
      <c r="B482">
        <v>200</v>
      </c>
      <c r="C482" s="1">
        <v>46289</v>
      </c>
      <c r="D482" s="1"/>
      <c r="E482" t="s">
        <v>82</v>
      </c>
      <c r="F482" t="str">
        <f t="shared" si="7"/>
        <v>Active</v>
      </c>
    </row>
    <row r="483" spans="1:6" x14ac:dyDescent="0.2">
      <c r="A483" s="2">
        <v>482</v>
      </c>
      <c r="B483">
        <v>200</v>
      </c>
      <c r="C483" s="1">
        <v>46289</v>
      </c>
      <c r="D483" s="1"/>
      <c r="E483" t="s">
        <v>82</v>
      </c>
      <c r="F483" t="str">
        <f t="shared" si="7"/>
        <v>Active</v>
      </c>
    </row>
    <row r="484" spans="1:6" x14ac:dyDescent="0.2">
      <c r="A484" s="2">
        <v>483</v>
      </c>
      <c r="B484">
        <v>200</v>
      </c>
      <c r="C484" s="1">
        <v>46289</v>
      </c>
      <c r="D484" s="1"/>
      <c r="E484" t="s">
        <v>82</v>
      </c>
      <c r="F484" t="str">
        <f t="shared" si="7"/>
        <v>Active</v>
      </c>
    </row>
    <row r="485" spans="1:6" x14ac:dyDescent="0.2">
      <c r="A485" s="2">
        <v>484</v>
      </c>
      <c r="B485">
        <v>200</v>
      </c>
      <c r="C485" s="1">
        <v>46289</v>
      </c>
      <c r="D485" s="1"/>
      <c r="E485" t="s">
        <v>557</v>
      </c>
      <c r="F485" t="str">
        <f t="shared" si="7"/>
        <v>Active</v>
      </c>
    </row>
    <row r="486" spans="1:6" x14ac:dyDescent="0.2">
      <c r="A486" s="2">
        <v>485</v>
      </c>
      <c r="B486">
        <v>200</v>
      </c>
      <c r="C486" s="1">
        <v>46289</v>
      </c>
      <c r="D486" s="1"/>
      <c r="E486" t="s">
        <v>82</v>
      </c>
      <c r="F486" t="str">
        <f t="shared" si="7"/>
        <v>Active</v>
      </c>
    </row>
    <row r="487" spans="1:6" x14ac:dyDescent="0.2">
      <c r="A487" s="2">
        <v>486</v>
      </c>
      <c r="B487">
        <v>200</v>
      </c>
      <c r="C487" s="1">
        <v>46290</v>
      </c>
      <c r="D487" s="1"/>
      <c r="E487" t="s">
        <v>82</v>
      </c>
      <c r="F487" t="str">
        <f t="shared" si="7"/>
        <v>Active</v>
      </c>
    </row>
    <row r="488" spans="1:6" x14ac:dyDescent="0.2">
      <c r="A488" s="2">
        <v>487</v>
      </c>
      <c r="B488">
        <v>200</v>
      </c>
      <c r="C488" s="1">
        <v>46293</v>
      </c>
      <c r="D488" s="1"/>
      <c r="E488" t="s">
        <v>82</v>
      </c>
      <c r="F488" t="str">
        <f t="shared" si="7"/>
        <v>Active</v>
      </c>
    </row>
    <row r="489" spans="1:6" x14ac:dyDescent="0.2">
      <c r="A489" s="2">
        <v>488</v>
      </c>
      <c r="B489">
        <v>200</v>
      </c>
      <c r="C489" s="1">
        <v>46293</v>
      </c>
      <c r="D489" s="1"/>
      <c r="E489" t="s">
        <v>82</v>
      </c>
      <c r="F489" t="str">
        <f t="shared" si="7"/>
        <v>Active</v>
      </c>
    </row>
    <row r="490" spans="1:6" x14ac:dyDescent="0.2">
      <c r="A490" s="2">
        <v>489</v>
      </c>
      <c r="B490">
        <v>200</v>
      </c>
      <c r="C490" s="1">
        <v>46293</v>
      </c>
      <c r="D490" s="1"/>
      <c r="E490" t="s">
        <v>82</v>
      </c>
      <c r="F490" t="str">
        <f t="shared" si="7"/>
        <v>Active</v>
      </c>
    </row>
    <row r="491" spans="1:6" x14ac:dyDescent="0.2">
      <c r="A491" s="2">
        <v>490</v>
      </c>
      <c r="B491">
        <v>200</v>
      </c>
      <c r="C491" s="1">
        <v>46293</v>
      </c>
      <c r="D491" s="1"/>
      <c r="E491" t="s">
        <v>82</v>
      </c>
      <c r="F491" t="str">
        <f t="shared" si="7"/>
        <v>Active</v>
      </c>
    </row>
    <row r="492" spans="1:6" x14ac:dyDescent="0.2">
      <c r="A492" s="2">
        <v>491</v>
      </c>
      <c r="B492">
        <v>200</v>
      </c>
      <c r="C492" s="1">
        <v>46293</v>
      </c>
      <c r="D492" s="1"/>
      <c r="E492" t="s">
        <v>557</v>
      </c>
      <c r="F492" t="str">
        <f t="shared" si="7"/>
        <v>Active</v>
      </c>
    </row>
    <row r="493" spans="1:6" x14ac:dyDescent="0.2">
      <c r="A493" s="2">
        <v>492</v>
      </c>
      <c r="B493">
        <v>200</v>
      </c>
      <c r="C493" s="1">
        <v>46293</v>
      </c>
      <c r="D493" s="1"/>
      <c r="E493" t="s">
        <v>82</v>
      </c>
      <c r="F493" t="str">
        <f t="shared" si="7"/>
        <v>Active</v>
      </c>
    </row>
    <row r="494" spans="1:6" x14ac:dyDescent="0.2">
      <c r="A494" s="2">
        <v>493</v>
      </c>
      <c r="B494">
        <v>200</v>
      </c>
      <c r="C494" s="1">
        <v>46293</v>
      </c>
      <c r="D494" s="1"/>
      <c r="E494" t="s">
        <v>82</v>
      </c>
      <c r="F494" t="str">
        <f t="shared" si="7"/>
        <v>Active</v>
      </c>
    </row>
    <row r="495" spans="1:6" x14ac:dyDescent="0.2">
      <c r="A495" s="2">
        <v>494</v>
      </c>
      <c r="B495">
        <v>200</v>
      </c>
      <c r="C495" s="1">
        <v>46293</v>
      </c>
      <c r="D495" s="1"/>
      <c r="E495" t="s">
        <v>82</v>
      </c>
      <c r="F495" t="str">
        <f t="shared" si="7"/>
        <v>Active</v>
      </c>
    </row>
    <row r="496" spans="1:6" x14ac:dyDescent="0.2">
      <c r="A496" s="2">
        <v>495</v>
      </c>
      <c r="B496">
        <v>200</v>
      </c>
      <c r="C496" s="1">
        <v>46293</v>
      </c>
      <c r="D496" s="1"/>
      <c r="E496" t="s">
        <v>558</v>
      </c>
      <c r="F496" t="str">
        <f t="shared" si="7"/>
        <v>Active</v>
      </c>
    </row>
    <row r="497" spans="1:6" x14ac:dyDescent="0.2">
      <c r="A497" s="2">
        <v>496</v>
      </c>
      <c r="B497">
        <v>200</v>
      </c>
      <c r="C497" s="1">
        <v>46293</v>
      </c>
      <c r="D497" s="1"/>
      <c r="E497" t="s">
        <v>82</v>
      </c>
      <c r="F497" t="str">
        <f t="shared" si="7"/>
        <v>Active</v>
      </c>
    </row>
    <row r="498" spans="1:6" x14ac:dyDescent="0.2">
      <c r="A498" s="2">
        <v>497</v>
      </c>
      <c r="B498">
        <v>200</v>
      </c>
      <c r="C498" s="1">
        <v>46293</v>
      </c>
      <c r="D498" s="1"/>
      <c r="E498" t="s">
        <v>82</v>
      </c>
      <c r="F498" t="str">
        <f t="shared" si="7"/>
        <v>Active</v>
      </c>
    </row>
    <row r="499" spans="1:6" x14ac:dyDescent="0.2">
      <c r="A499" s="2">
        <v>498</v>
      </c>
      <c r="B499">
        <v>200</v>
      </c>
      <c r="C499" s="1">
        <v>46293</v>
      </c>
      <c r="D499" s="1"/>
      <c r="E499" t="s">
        <v>82</v>
      </c>
      <c r="F499" t="str">
        <f t="shared" si="7"/>
        <v>Active</v>
      </c>
    </row>
    <row r="500" spans="1:6" x14ac:dyDescent="0.2">
      <c r="A500" s="2">
        <v>499</v>
      </c>
      <c r="B500">
        <v>200</v>
      </c>
      <c r="C500" s="1">
        <v>46293</v>
      </c>
      <c r="D500" s="1"/>
      <c r="E500" t="s">
        <v>82</v>
      </c>
      <c r="F500" t="str">
        <f t="shared" si="7"/>
        <v>Active</v>
      </c>
    </row>
    <row r="501" spans="1:6" x14ac:dyDescent="0.2">
      <c r="A501" s="2">
        <v>500</v>
      </c>
      <c r="B501">
        <v>200</v>
      </c>
      <c r="C501" s="1">
        <v>46293</v>
      </c>
      <c r="D501" s="1"/>
      <c r="E501" t="s">
        <v>82</v>
      </c>
      <c r="F501" t="str">
        <f t="shared" si="7"/>
        <v>Active</v>
      </c>
    </row>
    <row r="502" spans="1:6" x14ac:dyDescent="0.2">
      <c r="A502" s="2">
        <v>501</v>
      </c>
      <c r="B502">
        <v>200</v>
      </c>
      <c r="C502" s="1">
        <v>46293</v>
      </c>
      <c r="D502" s="1"/>
      <c r="E502" t="s">
        <v>82</v>
      </c>
      <c r="F502" t="str">
        <f t="shared" si="7"/>
        <v>Active</v>
      </c>
    </row>
    <row r="503" spans="1:6" x14ac:dyDescent="0.2">
      <c r="A503" s="2">
        <v>502</v>
      </c>
      <c r="B503">
        <v>200</v>
      </c>
      <c r="C503" s="1">
        <v>46293</v>
      </c>
      <c r="D503" s="1"/>
      <c r="E503" t="s">
        <v>82</v>
      </c>
      <c r="F503" t="str">
        <f t="shared" si="7"/>
        <v>Active</v>
      </c>
    </row>
    <row r="504" spans="1:6" x14ac:dyDescent="0.2">
      <c r="A504" s="2">
        <v>503</v>
      </c>
      <c r="B504">
        <v>200</v>
      </c>
      <c r="C504" s="1">
        <v>46293</v>
      </c>
      <c r="D504" s="1"/>
      <c r="E504" t="s">
        <v>82</v>
      </c>
      <c r="F504" t="str">
        <f t="shared" si="7"/>
        <v>Active</v>
      </c>
    </row>
    <row r="505" spans="1:6" x14ac:dyDescent="0.2">
      <c r="A505" s="2">
        <v>504</v>
      </c>
      <c r="B505">
        <v>200</v>
      </c>
      <c r="C505" s="1">
        <v>46293</v>
      </c>
      <c r="D505" s="1"/>
      <c r="E505" t="s">
        <v>82</v>
      </c>
      <c r="F505" t="str">
        <f t="shared" si="7"/>
        <v>Active</v>
      </c>
    </row>
    <row r="506" spans="1:6" x14ac:dyDescent="0.2">
      <c r="A506" s="2">
        <v>505</v>
      </c>
      <c r="B506">
        <v>200</v>
      </c>
      <c r="C506" s="1">
        <v>46293</v>
      </c>
      <c r="D506" s="1"/>
      <c r="E506" t="s">
        <v>82</v>
      </c>
      <c r="F506" t="str">
        <f t="shared" si="7"/>
        <v>Active</v>
      </c>
    </row>
    <row r="507" spans="1:6" x14ac:dyDescent="0.2">
      <c r="A507" s="2">
        <v>506</v>
      </c>
      <c r="B507">
        <v>200</v>
      </c>
      <c r="C507" s="1">
        <v>46293</v>
      </c>
      <c r="D507" s="1"/>
      <c r="E507" t="s">
        <v>82</v>
      </c>
      <c r="F507" t="str">
        <f t="shared" si="7"/>
        <v>Active</v>
      </c>
    </row>
    <row r="508" spans="1:6" x14ac:dyDescent="0.2">
      <c r="A508" s="2">
        <v>507</v>
      </c>
      <c r="B508">
        <v>200</v>
      </c>
      <c r="C508" s="1">
        <v>46293</v>
      </c>
      <c r="D508" s="1"/>
      <c r="E508" t="s">
        <v>82</v>
      </c>
      <c r="F508" t="str">
        <f t="shared" si="7"/>
        <v>Active</v>
      </c>
    </row>
    <row r="509" spans="1:6" x14ac:dyDescent="0.2">
      <c r="A509" s="2">
        <v>508</v>
      </c>
      <c r="B509">
        <v>200</v>
      </c>
      <c r="C509" s="1">
        <v>46293</v>
      </c>
      <c r="D509" s="1"/>
      <c r="E509" t="s">
        <v>82</v>
      </c>
      <c r="F509" t="str">
        <f t="shared" si="7"/>
        <v>Active</v>
      </c>
    </row>
    <row r="510" spans="1:6" x14ac:dyDescent="0.2">
      <c r="A510" s="2">
        <v>509</v>
      </c>
      <c r="B510">
        <v>200</v>
      </c>
      <c r="C510" s="1">
        <v>46293</v>
      </c>
      <c r="D510" s="1"/>
      <c r="E510" t="s">
        <v>82</v>
      </c>
      <c r="F510" t="str">
        <f t="shared" si="7"/>
        <v>Active</v>
      </c>
    </row>
    <row r="511" spans="1:6" x14ac:dyDescent="0.2">
      <c r="A511" s="2">
        <v>510</v>
      </c>
      <c r="B511">
        <v>200</v>
      </c>
      <c r="C511" s="1">
        <v>46294</v>
      </c>
      <c r="D511" s="1"/>
      <c r="E511" t="s">
        <v>82</v>
      </c>
      <c r="F511" t="str">
        <f t="shared" si="7"/>
        <v>Active</v>
      </c>
    </row>
    <row r="512" spans="1:6" x14ac:dyDescent="0.2">
      <c r="A512" s="2">
        <v>511</v>
      </c>
      <c r="B512">
        <v>200</v>
      </c>
      <c r="C512" s="1">
        <v>46294</v>
      </c>
      <c r="D512" s="1"/>
      <c r="E512" t="s">
        <v>558</v>
      </c>
      <c r="F512" t="str">
        <f t="shared" si="7"/>
        <v>Active</v>
      </c>
    </row>
    <row r="513" spans="1:6" x14ac:dyDescent="0.2">
      <c r="A513" s="2">
        <v>512</v>
      </c>
      <c r="B513">
        <v>200</v>
      </c>
      <c r="C513" s="1">
        <v>46294</v>
      </c>
      <c r="D513" s="1"/>
      <c r="E513" t="s">
        <v>82</v>
      </c>
      <c r="F513" t="str">
        <f t="shared" si="7"/>
        <v>Active</v>
      </c>
    </row>
    <row r="514" spans="1:6" x14ac:dyDescent="0.2">
      <c r="A514" s="2">
        <v>513</v>
      </c>
      <c r="B514">
        <v>200</v>
      </c>
      <c r="C514" s="1">
        <v>46294</v>
      </c>
      <c r="D514" s="1"/>
      <c r="E514" t="s">
        <v>82</v>
      </c>
      <c r="F514" t="str">
        <f t="shared" si="7"/>
        <v>Active</v>
      </c>
    </row>
    <row r="515" spans="1:6" x14ac:dyDescent="0.2">
      <c r="A515" s="2">
        <v>514</v>
      </c>
      <c r="B515">
        <v>200</v>
      </c>
      <c r="C515" s="1">
        <v>46294</v>
      </c>
      <c r="D515" s="1"/>
      <c r="E515" t="s">
        <v>82</v>
      </c>
      <c r="F515" t="str">
        <f t="shared" ref="F515:F578" si="8">IF(D515="","Active","Terminated")</f>
        <v>Active</v>
      </c>
    </row>
    <row r="516" spans="1:6" x14ac:dyDescent="0.2">
      <c r="A516" s="2">
        <v>515</v>
      </c>
      <c r="B516">
        <v>200</v>
      </c>
      <c r="C516" s="1">
        <v>46294</v>
      </c>
      <c r="D516" s="1"/>
      <c r="E516" t="s">
        <v>82</v>
      </c>
      <c r="F516" t="str">
        <f t="shared" si="8"/>
        <v>Active</v>
      </c>
    </row>
    <row r="517" spans="1:6" x14ac:dyDescent="0.2">
      <c r="A517" s="2">
        <v>516</v>
      </c>
      <c r="B517">
        <v>200</v>
      </c>
      <c r="C517" s="1">
        <v>46294</v>
      </c>
      <c r="D517" s="1"/>
      <c r="E517" t="s">
        <v>82</v>
      </c>
      <c r="F517" t="str">
        <f t="shared" si="8"/>
        <v>Active</v>
      </c>
    </row>
    <row r="518" spans="1:6" x14ac:dyDescent="0.2">
      <c r="A518" s="2">
        <v>517</v>
      </c>
      <c r="B518">
        <v>200</v>
      </c>
      <c r="C518" s="1">
        <v>46294</v>
      </c>
      <c r="D518" s="1"/>
      <c r="E518" t="s">
        <v>82</v>
      </c>
      <c r="F518" t="str">
        <f t="shared" si="8"/>
        <v>Active</v>
      </c>
    </row>
    <row r="519" spans="1:6" x14ac:dyDescent="0.2">
      <c r="A519" s="2">
        <v>518</v>
      </c>
      <c r="B519">
        <v>200</v>
      </c>
      <c r="C519" s="1">
        <v>46295</v>
      </c>
      <c r="D519" s="1"/>
      <c r="E519" t="s">
        <v>82</v>
      </c>
      <c r="F519" t="str">
        <f t="shared" si="8"/>
        <v>Active</v>
      </c>
    </row>
    <row r="520" spans="1:6" x14ac:dyDescent="0.2">
      <c r="A520" s="2">
        <v>519</v>
      </c>
      <c r="B520">
        <v>200</v>
      </c>
      <c r="C520" s="1">
        <v>46295</v>
      </c>
      <c r="D520" s="1"/>
      <c r="E520" t="s">
        <v>82</v>
      </c>
      <c r="F520" t="str">
        <f t="shared" si="8"/>
        <v>Active</v>
      </c>
    </row>
    <row r="521" spans="1:6" x14ac:dyDescent="0.2">
      <c r="A521" s="2">
        <v>520</v>
      </c>
      <c r="B521">
        <v>200</v>
      </c>
      <c r="C521" s="1">
        <v>46295</v>
      </c>
      <c r="D521" s="1"/>
      <c r="E521" t="s">
        <v>82</v>
      </c>
      <c r="F521" t="str">
        <f t="shared" si="8"/>
        <v>Active</v>
      </c>
    </row>
    <row r="522" spans="1:6" x14ac:dyDescent="0.2">
      <c r="A522" s="2">
        <v>521</v>
      </c>
      <c r="B522">
        <v>200</v>
      </c>
      <c r="C522" s="1">
        <v>46295</v>
      </c>
      <c r="D522" s="1"/>
      <c r="E522" t="s">
        <v>82</v>
      </c>
      <c r="F522" t="str">
        <f t="shared" si="8"/>
        <v>Active</v>
      </c>
    </row>
    <row r="523" spans="1:6" x14ac:dyDescent="0.2">
      <c r="A523" s="2">
        <v>522</v>
      </c>
      <c r="B523">
        <v>200</v>
      </c>
      <c r="C523" s="1">
        <v>46295</v>
      </c>
      <c r="D523" s="1"/>
      <c r="E523" t="s">
        <v>82</v>
      </c>
      <c r="F523" t="str">
        <f t="shared" si="8"/>
        <v>Active</v>
      </c>
    </row>
    <row r="524" spans="1:6" x14ac:dyDescent="0.2">
      <c r="A524" s="2">
        <v>523</v>
      </c>
      <c r="B524">
        <v>200</v>
      </c>
      <c r="C524" s="1">
        <v>46295</v>
      </c>
      <c r="D524" s="1"/>
      <c r="E524" t="s">
        <v>82</v>
      </c>
      <c r="F524" t="str">
        <f t="shared" si="8"/>
        <v>Active</v>
      </c>
    </row>
    <row r="525" spans="1:6" x14ac:dyDescent="0.2">
      <c r="A525" s="2">
        <v>524</v>
      </c>
      <c r="B525">
        <v>200</v>
      </c>
      <c r="C525" s="1">
        <v>46295</v>
      </c>
      <c r="D525" s="1"/>
      <c r="E525" t="s">
        <v>558</v>
      </c>
      <c r="F525" t="str">
        <f t="shared" si="8"/>
        <v>Active</v>
      </c>
    </row>
    <row r="526" spans="1:6" x14ac:dyDescent="0.2">
      <c r="A526" s="2">
        <v>525</v>
      </c>
      <c r="B526">
        <v>200</v>
      </c>
      <c r="C526" s="1">
        <v>46295</v>
      </c>
      <c r="D526" s="1"/>
      <c r="E526" t="s">
        <v>557</v>
      </c>
      <c r="F526" t="str">
        <f t="shared" si="8"/>
        <v>Active</v>
      </c>
    </row>
    <row r="527" spans="1:6" x14ac:dyDescent="0.2">
      <c r="A527" s="2">
        <v>526</v>
      </c>
      <c r="B527">
        <v>200</v>
      </c>
      <c r="C527" s="1">
        <v>46295</v>
      </c>
      <c r="D527" s="1"/>
      <c r="E527" t="s">
        <v>82</v>
      </c>
      <c r="F527" t="str">
        <f t="shared" si="8"/>
        <v>Active</v>
      </c>
    </row>
    <row r="528" spans="1:6" x14ac:dyDescent="0.2">
      <c r="A528" s="2">
        <v>527</v>
      </c>
      <c r="B528">
        <v>200</v>
      </c>
      <c r="C528" s="1">
        <v>46296</v>
      </c>
      <c r="D528" s="1"/>
      <c r="E528" t="s">
        <v>82</v>
      </c>
      <c r="F528" t="str">
        <f t="shared" si="8"/>
        <v>Active</v>
      </c>
    </row>
    <row r="529" spans="1:6" x14ac:dyDescent="0.2">
      <c r="A529" s="2">
        <v>528</v>
      </c>
      <c r="B529">
        <v>200</v>
      </c>
      <c r="C529" s="1">
        <v>46296</v>
      </c>
      <c r="D529" s="1"/>
      <c r="E529" t="s">
        <v>82</v>
      </c>
      <c r="F529" t="str">
        <f t="shared" si="8"/>
        <v>Active</v>
      </c>
    </row>
    <row r="530" spans="1:6" x14ac:dyDescent="0.2">
      <c r="A530" s="2">
        <v>529</v>
      </c>
      <c r="B530">
        <v>200</v>
      </c>
      <c r="C530" s="1">
        <v>46296</v>
      </c>
      <c r="D530" s="1"/>
      <c r="E530" t="s">
        <v>82</v>
      </c>
      <c r="F530" t="str">
        <f t="shared" si="8"/>
        <v>Active</v>
      </c>
    </row>
    <row r="531" spans="1:6" x14ac:dyDescent="0.2">
      <c r="A531" s="2">
        <v>530</v>
      </c>
      <c r="B531">
        <v>200</v>
      </c>
      <c r="C531" s="1">
        <v>46296</v>
      </c>
      <c r="D531" s="1"/>
      <c r="E531" t="s">
        <v>82</v>
      </c>
      <c r="F531" t="str">
        <f t="shared" si="8"/>
        <v>Active</v>
      </c>
    </row>
    <row r="532" spans="1:6" x14ac:dyDescent="0.2">
      <c r="A532" s="2">
        <v>531</v>
      </c>
      <c r="B532">
        <v>200</v>
      </c>
      <c r="C532" s="1">
        <v>46296</v>
      </c>
      <c r="D532" s="1"/>
      <c r="E532" t="s">
        <v>82</v>
      </c>
      <c r="F532" t="str">
        <f t="shared" si="8"/>
        <v>Active</v>
      </c>
    </row>
    <row r="533" spans="1:6" x14ac:dyDescent="0.2">
      <c r="A533" s="2">
        <v>532</v>
      </c>
      <c r="B533">
        <v>200</v>
      </c>
      <c r="C533" s="1">
        <v>46296</v>
      </c>
      <c r="D533" s="1"/>
      <c r="E533" t="s">
        <v>82</v>
      </c>
      <c r="F533" t="str">
        <f t="shared" si="8"/>
        <v>Active</v>
      </c>
    </row>
    <row r="534" spans="1:6" x14ac:dyDescent="0.2">
      <c r="A534" s="2">
        <v>533</v>
      </c>
      <c r="B534">
        <v>200</v>
      </c>
      <c r="C534" s="1">
        <v>46296</v>
      </c>
      <c r="D534" s="1"/>
      <c r="E534" t="s">
        <v>82</v>
      </c>
      <c r="F534" t="str">
        <f t="shared" si="8"/>
        <v>Active</v>
      </c>
    </row>
    <row r="535" spans="1:6" x14ac:dyDescent="0.2">
      <c r="A535" s="2">
        <v>534</v>
      </c>
      <c r="B535">
        <v>200</v>
      </c>
      <c r="C535" s="1">
        <v>46296</v>
      </c>
      <c r="D535" s="1"/>
      <c r="E535" t="s">
        <v>82</v>
      </c>
      <c r="F535" t="str">
        <f t="shared" si="8"/>
        <v>Active</v>
      </c>
    </row>
    <row r="536" spans="1:6" x14ac:dyDescent="0.2">
      <c r="A536" s="2">
        <v>535</v>
      </c>
      <c r="B536">
        <v>200</v>
      </c>
      <c r="C536" s="1">
        <v>46296</v>
      </c>
      <c r="D536" s="1"/>
      <c r="E536" t="s">
        <v>558</v>
      </c>
      <c r="F536" t="str">
        <f t="shared" si="8"/>
        <v>Active</v>
      </c>
    </row>
    <row r="537" spans="1:6" x14ac:dyDescent="0.2">
      <c r="A537" s="2">
        <v>536</v>
      </c>
      <c r="B537">
        <v>200</v>
      </c>
      <c r="C537" s="1">
        <v>46296</v>
      </c>
      <c r="D537" s="1"/>
      <c r="E537" t="s">
        <v>82</v>
      </c>
      <c r="F537" t="str">
        <f t="shared" si="8"/>
        <v>Active</v>
      </c>
    </row>
    <row r="538" spans="1:6" x14ac:dyDescent="0.2">
      <c r="A538" s="2">
        <v>537</v>
      </c>
      <c r="B538">
        <v>200</v>
      </c>
      <c r="C538" s="1">
        <v>46296</v>
      </c>
      <c r="D538" s="1"/>
      <c r="E538" t="s">
        <v>82</v>
      </c>
      <c r="F538" t="str">
        <f t="shared" si="8"/>
        <v>Active</v>
      </c>
    </row>
    <row r="539" spans="1:6" x14ac:dyDescent="0.2">
      <c r="A539" s="2">
        <v>538</v>
      </c>
      <c r="B539">
        <v>200</v>
      </c>
      <c r="C539" s="1">
        <v>46296</v>
      </c>
      <c r="D539" s="1"/>
      <c r="E539" t="s">
        <v>82</v>
      </c>
      <c r="F539" t="str">
        <f t="shared" si="8"/>
        <v>Active</v>
      </c>
    </row>
    <row r="540" spans="1:6" x14ac:dyDescent="0.2">
      <c r="A540" s="2">
        <v>539</v>
      </c>
      <c r="B540">
        <v>200</v>
      </c>
      <c r="C540" s="1">
        <v>46296</v>
      </c>
      <c r="D540" s="1"/>
      <c r="E540" t="s">
        <v>82</v>
      </c>
      <c r="F540" t="str">
        <f t="shared" si="8"/>
        <v>Active</v>
      </c>
    </row>
    <row r="541" spans="1:6" x14ac:dyDescent="0.2">
      <c r="A541" s="2">
        <v>540</v>
      </c>
      <c r="B541">
        <v>200</v>
      </c>
      <c r="C541" s="1">
        <v>46296</v>
      </c>
      <c r="D541" s="1"/>
      <c r="E541" t="s">
        <v>82</v>
      </c>
      <c r="F541" t="str">
        <f t="shared" si="8"/>
        <v>Active</v>
      </c>
    </row>
    <row r="542" spans="1:6" x14ac:dyDescent="0.2">
      <c r="A542" s="2">
        <v>541</v>
      </c>
      <c r="B542">
        <v>200</v>
      </c>
      <c r="C542" s="1">
        <v>46296</v>
      </c>
      <c r="D542" s="1"/>
      <c r="E542" t="s">
        <v>82</v>
      </c>
      <c r="F542" t="str">
        <f t="shared" si="8"/>
        <v>Active</v>
      </c>
    </row>
    <row r="543" spans="1:6" x14ac:dyDescent="0.2">
      <c r="A543" s="2">
        <v>542</v>
      </c>
      <c r="B543">
        <v>200</v>
      </c>
      <c r="C543" s="1">
        <v>46297</v>
      </c>
      <c r="D543" s="1"/>
      <c r="E543" t="s">
        <v>82</v>
      </c>
      <c r="F543" t="str">
        <f t="shared" si="8"/>
        <v>Active</v>
      </c>
    </row>
    <row r="544" spans="1:6" x14ac:dyDescent="0.2">
      <c r="A544" s="2">
        <v>543</v>
      </c>
      <c r="B544">
        <v>200</v>
      </c>
      <c r="C544" s="1">
        <v>46297</v>
      </c>
      <c r="D544" s="1"/>
      <c r="E544" t="s">
        <v>82</v>
      </c>
      <c r="F544" t="str">
        <f t="shared" si="8"/>
        <v>Active</v>
      </c>
    </row>
    <row r="545" spans="1:6" x14ac:dyDescent="0.2">
      <c r="A545" s="2">
        <v>544</v>
      </c>
      <c r="B545">
        <v>200</v>
      </c>
      <c r="C545" s="1">
        <v>46297</v>
      </c>
      <c r="D545" s="1"/>
      <c r="E545" t="s">
        <v>82</v>
      </c>
      <c r="F545" t="str">
        <f t="shared" si="8"/>
        <v>Active</v>
      </c>
    </row>
    <row r="546" spans="1:6" x14ac:dyDescent="0.2">
      <c r="A546" s="2">
        <v>545</v>
      </c>
      <c r="B546">
        <v>200</v>
      </c>
      <c r="C546" s="1">
        <v>46297</v>
      </c>
      <c r="D546" s="1"/>
      <c r="E546" t="s">
        <v>82</v>
      </c>
      <c r="F546" t="str">
        <f t="shared" si="8"/>
        <v>Active</v>
      </c>
    </row>
    <row r="547" spans="1:6" x14ac:dyDescent="0.2">
      <c r="A547" s="2">
        <v>546</v>
      </c>
      <c r="B547">
        <v>200</v>
      </c>
      <c r="C547" s="1">
        <v>46297</v>
      </c>
      <c r="D547" s="1"/>
      <c r="E547" t="s">
        <v>82</v>
      </c>
      <c r="F547" t="str">
        <f t="shared" si="8"/>
        <v>Active</v>
      </c>
    </row>
    <row r="548" spans="1:6" x14ac:dyDescent="0.2">
      <c r="A548" s="2">
        <v>547</v>
      </c>
      <c r="B548">
        <v>200</v>
      </c>
      <c r="C548" s="1">
        <v>46297</v>
      </c>
      <c r="D548" s="1"/>
      <c r="E548" t="s">
        <v>82</v>
      </c>
      <c r="F548" t="str">
        <f t="shared" si="8"/>
        <v>Active</v>
      </c>
    </row>
    <row r="549" spans="1:6" x14ac:dyDescent="0.2">
      <c r="A549" s="2">
        <v>548</v>
      </c>
      <c r="B549">
        <v>200</v>
      </c>
      <c r="C549" s="1">
        <v>46297</v>
      </c>
      <c r="D549" s="1"/>
      <c r="E549" t="s">
        <v>82</v>
      </c>
      <c r="F549" t="str">
        <f t="shared" si="8"/>
        <v>Active</v>
      </c>
    </row>
    <row r="550" spans="1:6" x14ac:dyDescent="0.2">
      <c r="A550" s="2">
        <v>549</v>
      </c>
      <c r="B550">
        <v>200</v>
      </c>
      <c r="C550" s="1">
        <v>46297</v>
      </c>
      <c r="D550" s="1"/>
      <c r="E550" t="s">
        <v>82</v>
      </c>
      <c r="F550" t="str">
        <f t="shared" si="8"/>
        <v>Active</v>
      </c>
    </row>
    <row r="551" spans="1:6" x14ac:dyDescent="0.2">
      <c r="A551" s="2">
        <v>550</v>
      </c>
      <c r="B551">
        <v>200</v>
      </c>
      <c r="C551" s="1">
        <v>46297</v>
      </c>
      <c r="D551" s="1"/>
      <c r="E551" t="s">
        <v>82</v>
      </c>
      <c r="F551" t="str">
        <f t="shared" si="8"/>
        <v>Active</v>
      </c>
    </row>
    <row r="552" spans="1:6" x14ac:dyDescent="0.2">
      <c r="A552" s="2">
        <v>551</v>
      </c>
      <c r="B552">
        <v>200</v>
      </c>
      <c r="C552" s="1">
        <v>46297</v>
      </c>
      <c r="D552" s="1"/>
      <c r="E552" t="s">
        <v>558</v>
      </c>
      <c r="F552" t="str">
        <f t="shared" si="8"/>
        <v>Active</v>
      </c>
    </row>
    <row r="553" spans="1:6" x14ac:dyDescent="0.2">
      <c r="A553" s="2">
        <v>552</v>
      </c>
      <c r="B553">
        <v>200</v>
      </c>
      <c r="C553" s="1">
        <v>46297</v>
      </c>
      <c r="D553" s="1"/>
      <c r="E553" t="s">
        <v>82</v>
      </c>
      <c r="F553" t="str">
        <f t="shared" si="8"/>
        <v>Active</v>
      </c>
    </row>
    <row r="554" spans="1:6" x14ac:dyDescent="0.2">
      <c r="A554" s="2">
        <v>553</v>
      </c>
      <c r="B554">
        <v>200</v>
      </c>
      <c r="C554" s="1">
        <v>46297</v>
      </c>
      <c r="D554" s="1"/>
      <c r="E554" t="s">
        <v>558</v>
      </c>
      <c r="F554" t="str">
        <f t="shared" si="8"/>
        <v>Active</v>
      </c>
    </row>
    <row r="555" spans="1:6" x14ac:dyDescent="0.2">
      <c r="A555" s="2">
        <v>554</v>
      </c>
      <c r="B555">
        <v>200</v>
      </c>
      <c r="C555" s="1">
        <v>46297</v>
      </c>
      <c r="D555" s="1"/>
      <c r="E555" t="s">
        <v>82</v>
      </c>
      <c r="F555" t="str">
        <f t="shared" si="8"/>
        <v>Active</v>
      </c>
    </row>
    <row r="556" spans="1:6" x14ac:dyDescent="0.2">
      <c r="A556" s="2">
        <v>555</v>
      </c>
      <c r="B556">
        <v>200</v>
      </c>
      <c r="C556" s="1">
        <v>46297</v>
      </c>
      <c r="D556" s="1"/>
      <c r="E556" t="s">
        <v>82</v>
      </c>
      <c r="F556" t="str">
        <f t="shared" si="8"/>
        <v>Active</v>
      </c>
    </row>
    <row r="557" spans="1:6" x14ac:dyDescent="0.2">
      <c r="A557" s="2">
        <v>556</v>
      </c>
      <c r="B557">
        <v>200</v>
      </c>
      <c r="C557" s="1">
        <v>46297</v>
      </c>
      <c r="D557" s="1"/>
      <c r="E557" t="s">
        <v>82</v>
      </c>
      <c r="F557" t="str">
        <f t="shared" si="8"/>
        <v>Active</v>
      </c>
    </row>
    <row r="558" spans="1:6" x14ac:dyDescent="0.2">
      <c r="A558" s="2">
        <v>557</v>
      </c>
      <c r="B558">
        <v>200</v>
      </c>
      <c r="C558" s="1">
        <v>46297</v>
      </c>
      <c r="D558" s="1"/>
      <c r="E558" t="s">
        <v>82</v>
      </c>
      <c r="F558" t="str">
        <f t="shared" si="8"/>
        <v>Active</v>
      </c>
    </row>
    <row r="559" spans="1:6" x14ac:dyDescent="0.2">
      <c r="A559" s="2">
        <v>558</v>
      </c>
      <c r="B559">
        <v>200</v>
      </c>
      <c r="C559" s="1">
        <v>46297</v>
      </c>
      <c r="D559" s="1"/>
      <c r="E559" t="s">
        <v>82</v>
      </c>
      <c r="F559" t="str">
        <f t="shared" si="8"/>
        <v>Active</v>
      </c>
    </row>
    <row r="560" spans="1:6" x14ac:dyDescent="0.2">
      <c r="A560" s="2">
        <v>559</v>
      </c>
      <c r="B560">
        <v>200</v>
      </c>
      <c r="C560" s="1">
        <v>46297</v>
      </c>
      <c r="D560" s="1"/>
      <c r="E560" t="s">
        <v>82</v>
      </c>
      <c r="F560" t="str">
        <f t="shared" si="8"/>
        <v>Active</v>
      </c>
    </row>
    <row r="561" spans="1:6" x14ac:dyDescent="0.2">
      <c r="A561" s="2">
        <v>560</v>
      </c>
      <c r="B561">
        <v>200</v>
      </c>
      <c r="C561" s="1">
        <v>46297</v>
      </c>
      <c r="D561" s="1"/>
      <c r="E561" t="s">
        <v>557</v>
      </c>
      <c r="F561" t="str">
        <f t="shared" si="8"/>
        <v>Active</v>
      </c>
    </row>
    <row r="562" spans="1:6" x14ac:dyDescent="0.2">
      <c r="A562" s="2">
        <v>561</v>
      </c>
      <c r="B562">
        <v>200</v>
      </c>
      <c r="C562" s="1">
        <v>46300</v>
      </c>
      <c r="D562" s="1"/>
      <c r="E562" t="s">
        <v>82</v>
      </c>
      <c r="F562" t="str">
        <f t="shared" si="8"/>
        <v>Active</v>
      </c>
    </row>
    <row r="563" spans="1:6" x14ac:dyDescent="0.2">
      <c r="A563" s="2">
        <v>562</v>
      </c>
      <c r="B563">
        <v>200</v>
      </c>
      <c r="C563" s="1">
        <v>46300</v>
      </c>
      <c r="D563" s="1"/>
      <c r="E563" t="s">
        <v>82</v>
      </c>
      <c r="F563" t="str">
        <f t="shared" si="8"/>
        <v>Active</v>
      </c>
    </row>
    <row r="564" spans="1:6" x14ac:dyDescent="0.2">
      <c r="A564" s="2">
        <v>563</v>
      </c>
      <c r="B564">
        <v>200</v>
      </c>
      <c r="C564" s="1">
        <v>46300</v>
      </c>
      <c r="D564" s="1"/>
      <c r="E564" t="s">
        <v>82</v>
      </c>
      <c r="F564" t="str">
        <f t="shared" si="8"/>
        <v>Active</v>
      </c>
    </row>
    <row r="565" spans="1:6" x14ac:dyDescent="0.2">
      <c r="A565" s="2">
        <v>564</v>
      </c>
      <c r="B565">
        <v>200</v>
      </c>
      <c r="C565" s="1">
        <v>46300</v>
      </c>
      <c r="D565" s="1"/>
      <c r="E565" t="s">
        <v>82</v>
      </c>
      <c r="F565" t="str">
        <f t="shared" si="8"/>
        <v>Active</v>
      </c>
    </row>
    <row r="566" spans="1:6" x14ac:dyDescent="0.2">
      <c r="A566" s="2">
        <v>565</v>
      </c>
      <c r="B566">
        <v>200</v>
      </c>
      <c r="C566" s="1">
        <v>46300</v>
      </c>
      <c r="D566" s="1"/>
      <c r="E566" t="s">
        <v>82</v>
      </c>
      <c r="F566" t="str">
        <f t="shared" si="8"/>
        <v>Active</v>
      </c>
    </row>
    <row r="567" spans="1:6" x14ac:dyDescent="0.2">
      <c r="A567" s="2">
        <v>566</v>
      </c>
      <c r="B567">
        <v>200</v>
      </c>
      <c r="C567" s="1">
        <v>46300</v>
      </c>
      <c r="D567" s="1"/>
      <c r="E567" t="s">
        <v>82</v>
      </c>
      <c r="F567" t="str">
        <f t="shared" si="8"/>
        <v>Active</v>
      </c>
    </row>
    <row r="568" spans="1:6" x14ac:dyDescent="0.2">
      <c r="A568" s="2">
        <v>567</v>
      </c>
      <c r="B568">
        <v>200</v>
      </c>
      <c r="C568" s="1">
        <v>46300</v>
      </c>
      <c r="D568" s="1"/>
      <c r="E568" t="s">
        <v>82</v>
      </c>
      <c r="F568" t="str">
        <f t="shared" si="8"/>
        <v>Active</v>
      </c>
    </row>
    <row r="569" spans="1:6" x14ac:dyDescent="0.2">
      <c r="A569" s="2">
        <v>568</v>
      </c>
      <c r="B569">
        <v>200</v>
      </c>
      <c r="C569" s="1">
        <v>46300</v>
      </c>
      <c r="D569" s="1"/>
      <c r="E569" t="s">
        <v>82</v>
      </c>
      <c r="F569" t="str">
        <f t="shared" si="8"/>
        <v>Active</v>
      </c>
    </row>
    <row r="570" spans="1:6" x14ac:dyDescent="0.2">
      <c r="A570" s="2">
        <v>569</v>
      </c>
      <c r="B570">
        <v>200</v>
      </c>
      <c r="C570" s="1">
        <v>46300</v>
      </c>
      <c r="D570" s="1"/>
      <c r="E570" t="s">
        <v>82</v>
      </c>
      <c r="F570" t="str">
        <f t="shared" si="8"/>
        <v>Active</v>
      </c>
    </row>
    <row r="571" spans="1:6" x14ac:dyDescent="0.2">
      <c r="A571" s="2">
        <v>570</v>
      </c>
      <c r="B571">
        <v>200</v>
      </c>
      <c r="C571" s="1">
        <v>46300</v>
      </c>
      <c r="D571" s="1"/>
      <c r="E571" t="s">
        <v>82</v>
      </c>
      <c r="F571" t="str">
        <f t="shared" si="8"/>
        <v>Active</v>
      </c>
    </row>
    <row r="572" spans="1:6" x14ac:dyDescent="0.2">
      <c r="A572" s="2">
        <v>571</v>
      </c>
      <c r="B572">
        <v>200</v>
      </c>
      <c r="C572" s="1">
        <v>46300</v>
      </c>
      <c r="D572" s="1"/>
      <c r="E572" t="s">
        <v>82</v>
      </c>
      <c r="F572" t="str">
        <f t="shared" si="8"/>
        <v>Active</v>
      </c>
    </row>
    <row r="573" spans="1:6" x14ac:dyDescent="0.2">
      <c r="A573" s="2">
        <v>572</v>
      </c>
      <c r="B573">
        <v>200</v>
      </c>
      <c r="C573" s="1">
        <v>46300</v>
      </c>
      <c r="D573" s="1"/>
      <c r="E573" t="s">
        <v>82</v>
      </c>
      <c r="F573" t="str">
        <f t="shared" si="8"/>
        <v>Active</v>
      </c>
    </row>
    <row r="574" spans="1:6" x14ac:dyDescent="0.2">
      <c r="A574" s="2">
        <v>573</v>
      </c>
      <c r="B574">
        <v>200</v>
      </c>
      <c r="C574" s="1">
        <v>46300</v>
      </c>
      <c r="D574" s="1"/>
      <c r="E574" t="s">
        <v>82</v>
      </c>
      <c r="F574" t="str">
        <f t="shared" si="8"/>
        <v>Active</v>
      </c>
    </row>
    <row r="575" spans="1:6" x14ac:dyDescent="0.2">
      <c r="A575" s="2">
        <v>574</v>
      </c>
      <c r="B575">
        <v>200</v>
      </c>
      <c r="C575" s="1">
        <v>46300</v>
      </c>
      <c r="D575" s="1"/>
      <c r="E575" t="s">
        <v>82</v>
      </c>
      <c r="F575" t="str">
        <f t="shared" si="8"/>
        <v>Active</v>
      </c>
    </row>
    <row r="576" spans="1:6" x14ac:dyDescent="0.2">
      <c r="A576" s="2">
        <v>575</v>
      </c>
      <c r="B576">
        <v>200</v>
      </c>
      <c r="C576" s="1">
        <v>46300</v>
      </c>
      <c r="D576" s="1"/>
      <c r="E576" t="s">
        <v>82</v>
      </c>
      <c r="F576" t="str">
        <f t="shared" si="8"/>
        <v>Active</v>
      </c>
    </row>
    <row r="577" spans="1:6" x14ac:dyDescent="0.2">
      <c r="A577" s="2">
        <v>576</v>
      </c>
      <c r="B577">
        <v>200</v>
      </c>
      <c r="C577" s="1">
        <v>46300</v>
      </c>
      <c r="D577" s="1"/>
      <c r="E577" t="s">
        <v>558</v>
      </c>
      <c r="F577" t="str">
        <f t="shared" si="8"/>
        <v>Active</v>
      </c>
    </row>
    <row r="578" spans="1:6" x14ac:dyDescent="0.2">
      <c r="A578" s="2">
        <v>577</v>
      </c>
      <c r="B578">
        <v>200</v>
      </c>
      <c r="C578" s="1">
        <v>46300</v>
      </c>
      <c r="D578" s="1"/>
      <c r="E578" t="s">
        <v>82</v>
      </c>
      <c r="F578" t="str">
        <f t="shared" si="8"/>
        <v>Active</v>
      </c>
    </row>
    <row r="579" spans="1:6" x14ac:dyDescent="0.2">
      <c r="A579" s="2">
        <v>578</v>
      </c>
      <c r="B579">
        <v>200</v>
      </c>
      <c r="C579" s="1">
        <v>46300</v>
      </c>
      <c r="D579" s="1"/>
      <c r="E579" t="s">
        <v>82</v>
      </c>
      <c r="F579" t="str">
        <f t="shared" ref="F579:F642" si="9">IF(D579="","Active","Terminated")</f>
        <v>Active</v>
      </c>
    </row>
    <row r="580" spans="1:6" x14ac:dyDescent="0.2">
      <c r="A580" s="2">
        <v>579</v>
      </c>
      <c r="B580">
        <v>200</v>
      </c>
      <c r="C580" s="1">
        <v>46300</v>
      </c>
      <c r="D580" s="1"/>
      <c r="E580" t="s">
        <v>82</v>
      </c>
      <c r="F580" t="str">
        <f t="shared" si="9"/>
        <v>Active</v>
      </c>
    </row>
    <row r="581" spans="1:6" x14ac:dyDescent="0.2">
      <c r="A581" s="2">
        <v>580</v>
      </c>
      <c r="B581">
        <v>200</v>
      </c>
      <c r="C581" s="1">
        <v>46300</v>
      </c>
      <c r="D581" s="1"/>
      <c r="E581" t="s">
        <v>82</v>
      </c>
      <c r="F581" t="str">
        <f t="shared" si="9"/>
        <v>Active</v>
      </c>
    </row>
    <row r="582" spans="1:6" x14ac:dyDescent="0.2">
      <c r="A582" s="2">
        <v>581</v>
      </c>
      <c r="B582">
        <v>200</v>
      </c>
      <c r="C582" s="1">
        <v>46300</v>
      </c>
      <c r="D582" s="1"/>
      <c r="E582" t="s">
        <v>558</v>
      </c>
      <c r="F582" t="str">
        <f t="shared" si="9"/>
        <v>Active</v>
      </c>
    </row>
    <row r="583" spans="1:6" x14ac:dyDescent="0.2">
      <c r="A583" s="2">
        <v>582</v>
      </c>
      <c r="B583">
        <v>200</v>
      </c>
      <c r="C583" s="1">
        <v>46300</v>
      </c>
      <c r="D583" s="1"/>
      <c r="E583" t="s">
        <v>82</v>
      </c>
      <c r="F583" t="str">
        <f t="shared" si="9"/>
        <v>Active</v>
      </c>
    </row>
    <row r="584" spans="1:6" x14ac:dyDescent="0.2">
      <c r="A584" s="2">
        <v>583</v>
      </c>
      <c r="B584">
        <v>200</v>
      </c>
      <c r="C584" s="1">
        <v>46300</v>
      </c>
      <c r="D584" s="1"/>
      <c r="E584" t="s">
        <v>558</v>
      </c>
      <c r="F584" t="str">
        <f t="shared" si="9"/>
        <v>Active</v>
      </c>
    </row>
    <row r="585" spans="1:6" x14ac:dyDescent="0.2">
      <c r="A585" s="2">
        <v>584</v>
      </c>
      <c r="B585">
        <v>200</v>
      </c>
      <c r="C585" s="1">
        <v>46300</v>
      </c>
      <c r="D585" s="1"/>
      <c r="E585" t="s">
        <v>82</v>
      </c>
      <c r="F585" t="str">
        <f t="shared" si="9"/>
        <v>Active</v>
      </c>
    </row>
    <row r="586" spans="1:6" x14ac:dyDescent="0.2">
      <c r="A586" s="2">
        <v>585</v>
      </c>
      <c r="B586">
        <v>200</v>
      </c>
      <c r="C586" s="1">
        <v>46300</v>
      </c>
      <c r="D586" s="1"/>
      <c r="E586" t="s">
        <v>82</v>
      </c>
      <c r="F586" t="str">
        <f t="shared" si="9"/>
        <v>Active</v>
      </c>
    </row>
    <row r="587" spans="1:6" x14ac:dyDescent="0.2">
      <c r="A587" s="2">
        <v>586</v>
      </c>
      <c r="B587">
        <v>200</v>
      </c>
      <c r="C587" s="1">
        <v>46300</v>
      </c>
      <c r="D587" s="1"/>
      <c r="E587" t="s">
        <v>82</v>
      </c>
      <c r="F587" t="str">
        <f t="shared" si="9"/>
        <v>Active</v>
      </c>
    </row>
    <row r="588" spans="1:6" x14ac:dyDescent="0.2">
      <c r="A588" s="2">
        <v>587</v>
      </c>
      <c r="B588">
        <v>200</v>
      </c>
      <c r="C588" s="1">
        <v>46300</v>
      </c>
      <c r="D588" s="1"/>
      <c r="E588" t="s">
        <v>82</v>
      </c>
      <c r="F588" t="str">
        <f t="shared" si="9"/>
        <v>Active</v>
      </c>
    </row>
    <row r="589" spans="1:6" x14ac:dyDescent="0.2">
      <c r="A589" s="2">
        <v>588</v>
      </c>
      <c r="B589">
        <v>200</v>
      </c>
      <c r="C589" s="1">
        <v>46300</v>
      </c>
      <c r="D589" s="1"/>
      <c r="E589" t="s">
        <v>557</v>
      </c>
      <c r="F589" t="str">
        <f t="shared" si="9"/>
        <v>Active</v>
      </c>
    </row>
    <row r="590" spans="1:6" x14ac:dyDescent="0.2">
      <c r="A590" s="2">
        <v>589</v>
      </c>
      <c r="B590">
        <v>200</v>
      </c>
      <c r="C590" s="1">
        <v>46300</v>
      </c>
      <c r="D590" s="1"/>
      <c r="E590" t="s">
        <v>82</v>
      </c>
      <c r="F590" t="str">
        <f t="shared" si="9"/>
        <v>Active</v>
      </c>
    </row>
    <row r="591" spans="1:6" x14ac:dyDescent="0.2">
      <c r="A591" s="2">
        <v>590</v>
      </c>
      <c r="B591">
        <v>200</v>
      </c>
      <c r="C591" s="1">
        <v>46300</v>
      </c>
      <c r="D591" s="1"/>
      <c r="E591" t="s">
        <v>82</v>
      </c>
      <c r="F591" t="str">
        <f t="shared" si="9"/>
        <v>Active</v>
      </c>
    </row>
    <row r="592" spans="1:6" x14ac:dyDescent="0.2">
      <c r="A592" s="2">
        <v>591</v>
      </c>
      <c r="B592">
        <v>200</v>
      </c>
      <c r="C592" s="1">
        <v>46300</v>
      </c>
      <c r="D592" s="1"/>
      <c r="E592" t="s">
        <v>82</v>
      </c>
      <c r="F592" t="str">
        <f t="shared" si="9"/>
        <v>Active</v>
      </c>
    </row>
    <row r="593" spans="1:6" x14ac:dyDescent="0.2">
      <c r="A593" s="2">
        <v>592</v>
      </c>
      <c r="B593">
        <v>200</v>
      </c>
      <c r="C593" s="1">
        <v>46300</v>
      </c>
      <c r="D593" s="1"/>
      <c r="E593" t="s">
        <v>82</v>
      </c>
      <c r="F593" t="str">
        <f t="shared" si="9"/>
        <v>Active</v>
      </c>
    </row>
    <row r="594" spans="1:6" x14ac:dyDescent="0.2">
      <c r="A594" s="2">
        <v>593</v>
      </c>
      <c r="B594">
        <v>200</v>
      </c>
      <c r="C594" s="1">
        <v>46300</v>
      </c>
      <c r="D594" s="1"/>
      <c r="E594" t="s">
        <v>82</v>
      </c>
      <c r="F594" t="str">
        <f t="shared" si="9"/>
        <v>Active</v>
      </c>
    </row>
    <row r="595" spans="1:6" x14ac:dyDescent="0.2">
      <c r="A595" s="2">
        <v>594</v>
      </c>
      <c r="B595">
        <v>200</v>
      </c>
      <c r="C595" s="1">
        <v>46300</v>
      </c>
      <c r="D595" s="1"/>
      <c r="E595" t="s">
        <v>82</v>
      </c>
      <c r="F595" t="str">
        <f t="shared" si="9"/>
        <v>Active</v>
      </c>
    </row>
    <row r="596" spans="1:6" x14ac:dyDescent="0.2">
      <c r="A596" s="2">
        <v>595</v>
      </c>
      <c r="B596">
        <v>200</v>
      </c>
      <c r="C596" s="1">
        <v>46300</v>
      </c>
      <c r="D596" s="1"/>
      <c r="E596" t="s">
        <v>82</v>
      </c>
      <c r="F596" t="str">
        <f t="shared" si="9"/>
        <v>Active</v>
      </c>
    </row>
    <row r="597" spans="1:6" x14ac:dyDescent="0.2">
      <c r="A597" s="2">
        <v>596</v>
      </c>
      <c r="B597">
        <v>200</v>
      </c>
      <c r="C597" s="1">
        <v>46300</v>
      </c>
      <c r="D597" s="1"/>
      <c r="E597" t="s">
        <v>82</v>
      </c>
      <c r="F597" t="str">
        <f t="shared" si="9"/>
        <v>Active</v>
      </c>
    </row>
    <row r="598" spans="1:6" x14ac:dyDescent="0.2">
      <c r="A598" s="2">
        <v>597</v>
      </c>
      <c r="B598">
        <v>200</v>
      </c>
      <c r="C598" s="1">
        <v>46300</v>
      </c>
      <c r="D598" s="1"/>
      <c r="E598" t="s">
        <v>82</v>
      </c>
      <c r="F598" t="str">
        <f t="shared" si="9"/>
        <v>Active</v>
      </c>
    </row>
    <row r="599" spans="1:6" x14ac:dyDescent="0.2">
      <c r="A599" s="2">
        <v>598</v>
      </c>
      <c r="B599">
        <v>200</v>
      </c>
      <c r="C599" s="1">
        <v>46300</v>
      </c>
      <c r="D599" s="1"/>
      <c r="E599" t="s">
        <v>82</v>
      </c>
      <c r="F599" t="str">
        <f t="shared" si="9"/>
        <v>Active</v>
      </c>
    </row>
    <row r="600" spans="1:6" x14ac:dyDescent="0.2">
      <c r="A600" s="2">
        <v>599</v>
      </c>
      <c r="B600">
        <v>200</v>
      </c>
      <c r="C600" s="1">
        <v>46300</v>
      </c>
      <c r="D600" s="1"/>
      <c r="E600" t="s">
        <v>82</v>
      </c>
      <c r="F600" t="str">
        <f t="shared" si="9"/>
        <v>Active</v>
      </c>
    </row>
    <row r="601" spans="1:6" x14ac:dyDescent="0.2">
      <c r="A601" s="2">
        <v>600</v>
      </c>
      <c r="B601">
        <v>200</v>
      </c>
      <c r="C601" s="1">
        <v>46300</v>
      </c>
      <c r="D601" s="1"/>
      <c r="E601" t="s">
        <v>82</v>
      </c>
      <c r="F601" t="str">
        <f t="shared" si="9"/>
        <v>Active</v>
      </c>
    </row>
    <row r="602" spans="1:6" x14ac:dyDescent="0.2">
      <c r="A602" s="2">
        <v>601</v>
      </c>
      <c r="B602">
        <v>200</v>
      </c>
      <c r="C602" s="1">
        <v>46300</v>
      </c>
      <c r="D602" s="1"/>
      <c r="E602" t="s">
        <v>557</v>
      </c>
      <c r="F602" t="str">
        <f t="shared" si="9"/>
        <v>Active</v>
      </c>
    </row>
    <row r="603" spans="1:6" x14ac:dyDescent="0.2">
      <c r="A603" s="2">
        <v>602</v>
      </c>
      <c r="B603">
        <v>200</v>
      </c>
      <c r="C603" s="1">
        <v>46300</v>
      </c>
      <c r="D603" s="1"/>
      <c r="E603" t="s">
        <v>82</v>
      </c>
      <c r="F603" t="str">
        <f t="shared" si="9"/>
        <v>Active</v>
      </c>
    </row>
    <row r="604" spans="1:6" x14ac:dyDescent="0.2">
      <c r="A604" s="2">
        <v>603</v>
      </c>
      <c r="B604">
        <v>200</v>
      </c>
      <c r="C604" s="1">
        <v>46300</v>
      </c>
      <c r="D604" s="1"/>
      <c r="E604" t="s">
        <v>557</v>
      </c>
      <c r="F604" t="str">
        <f t="shared" si="9"/>
        <v>Active</v>
      </c>
    </row>
    <row r="605" spans="1:6" x14ac:dyDescent="0.2">
      <c r="A605" s="2">
        <v>604</v>
      </c>
      <c r="B605">
        <v>200</v>
      </c>
      <c r="C605" s="1">
        <v>46300</v>
      </c>
      <c r="D605" s="1"/>
      <c r="E605" t="s">
        <v>82</v>
      </c>
      <c r="F605" t="str">
        <f t="shared" si="9"/>
        <v>Active</v>
      </c>
    </row>
    <row r="606" spans="1:6" x14ac:dyDescent="0.2">
      <c r="A606" s="2">
        <v>605</v>
      </c>
      <c r="B606">
        <v>200</v>
      </c>
      <c r="C606" s="1">
        <v>46300</v>
      </c>
      <c r="D606" s="1"/>
      <c r="E606" t="s">
        <v>82</v>
      </c>
      <c r="F606" t="str">
        <f t="shared" si="9"/>
        <v>Active</v>
      </c>
    </row>
    <row r="607" spans="1:6" x14ac:dyDescent="0.2">
      <c r="A607" s="2">
        <v>606</v>
      </c>
      <c r="B607">
        <v>200</v>
      </c>
      <c r="C607" s="1">
        <v>46300</v>
      </c>
      <c r="D607" s="1"/>
      <c r="E607" t="s">
        <v>82</v>
      </c>
      <c r="F607" t="str">
        <f t="shared" si="9"/>
        <v>Active</v>
      </c>
    </row>
    <row r="608" spans="1:6" x14ac:dyDescent="0.2">
      <c r="A608" s="2">
        <v>607</v>
      </c>
      <c r="B608">
        <v>200</v>
      </c>
      <c r="C608" s="1">
        <v>46300</v>
      </c>
      <c r="D608" s="1"/>
      <c r="E608" t="s">
        <v>82</v>
      </c>
      <c r="F608" t="str">
        <f t="shared" si="9"/>
        <v>Active</v>
      </c>
    </row>
    <row r="609" spans="1:6" x14ac:dyDescent="0.2">
      <c r="A609" s="2">
        <v>608</v>
      </c>
      <c r="B609">
        <v>200</v>
      </c>
      <c r="C609" s="1">
        <v>46300</v>
      </c>
      <c r="D609" s="1"/>
      <c r="E609" t="s">
        <v>82</v>
      </c>
      <c r="F609" t="str">
        <f t="shared" si="9"/>
        <v>Active</v>
      </c>
    </row>
    <row r="610" spans="1:6" x14ac:dyDescent="0.2">
      <c r="A610" s="2">
        <v>609</v>
      </c>
      <c r="B610">
        <v>200</v>
      </c>
      <c r="C610" s="1">
        <v>46300</v>
      </c>
      <c r="D610" s="1"/>
      <c r="E610" t="s">
        <v>82</v>
      </c>
      <c r="F610" t="str">
        <f t="shared" si="9"/>
        <v>Active</v>
      </c>
    </row>
    <row r="611" spans="1:6" x14ac:dyDescent="0.2">
      <c r="A611" s="2">
        <v>610</v>
      </c>
      <c r="B611">
        <v>200</v>
      </c>
      <c r="C611" s="1">
        <v>46300</v>
      </c>
      <c r="D611" s="1"/>
      <c r="E611" t="s">
        <v>558</v>
      </c>
      <c r="F611" t="str">
        <f t="shared" si="9"/>
        <v>Active</v>
      </c>
    </row>
    <row r="612" spans="1:6" x14ac:dyDescent="0.2">
      <c r="A612" s="2">
        <v>611</v>
      </c>
      <c r="B612">
        <v>200</v>
      </c>
      <c r="C612" s="1">
        <v>46300</v>
      </c>
      <c r="D612" s="1"/>
      <c r="E612" t="s">
        <v>82</v>
      </c>
      <c r="F612" t="str">
        <f t="shared" si="9"/>
        <v>Active</v>
      </c>
    </row>
    <row r="613" spans="1:6" x14ac:dyDescent="0.2">
      <c r="A613" s="2">
        <v>612</v>
      </c>
      <c r="B613">
        <v>200</v>
      </c>
      <c r="C613" s="1">
        <v>46300</v>
      </c>
      <c r="D613" s="1"/>
      <c r="E613" t="s">
        <v>82</v>
      </c>
      <c r="F613" t="str">
        <f t="shared" si="9"/>
        <v>Active</v>
      </c>
    </row>
    <row r="614" spans="1:6" x14ac:dyDescent="0.2">
      <c r="A614" s="2">
        <v>613</v>
      </c>
      <c r="B614">
        <v>200</v>
      </c>
      <c r="C614" s="1">
        <v>46300</v>
      </c>
      <c r="D614" s="1"/>
      <c r="E614" t="s">
        <v>82</v>
      </c>
      <c r="F614" t="str">
        <f t="shared" si="9"/>
        <v>Active</v>
      </c>
    </row>
    <row r="615" spans="1:6" x14ac:dyDescent="0.2">
      <c r="A615" s="2">
        <v>614</v>
      </c>
      <c r="B615">
        <v>200</v>
      </c>
      <c r="C615" s="1">
        <v>46300</v>
      </c>
      <c r="D615" s="1"/>
      <c r="E615" t="s">
        <v>558</v>
      </c>
      <c r="F615" t="str">
        <f t="shared" si="9"/>
        <v>Active</v>
      </c>
    </row>
    <row r="616" spans="1:6" x14ac:dyDescent="0.2">
      <c r="A616" s="2">
        <v>615</v>
      </c>
      <c r="B616">
        <v>200</v>
      </c>
      <c r="C616" s="1">
        <v>46300</v>
      </c>
      <c r="D616" s="1"/>
      <c r="E616" t="s">
        <v>82</v>
      </c>
      <c r="F616" t="str">
        <f t="shared" si="9"/>
        <v>Active</v>
      </c>
    </row>
    <row r="617" spans="1:6" x14ac:dyDescent="0.2">
      <c r="A617" s="2">
        <v>616</v>
      </c>
      <c r="B617">
        <v>200</v>
      </c>
      <c r="C617" s="1">
        <v>46300</v>
      </c>
      <c r="D617" s="1"/>
      <c r="E617" t="s">
        <v>558</v>
      </c>
      <c r="F617" t="str">
        <f t="shared" si="9"/>
        <v>Active</v>
      </c>
    </row>
    <row r="618" spans="1:6" x14ac:dyDescent="0.2">
      <c r="A618" s="2">
        <v>617</v>
      </c>
      <c r="B618">
        <v>200</v>
      </c>
      <c r="C618" s="1">
        <v>46300</v>
      </c>
      <c r="D618" s="1"/>
      <c r="E618" t="s">
        <v>82</v>
      </c>
      <c r="F618" t="str">
        <f t="shared" si="9"/>
        <v>Active</v>
      </c>
    </row>
    <row r="619" spans="1:6" x14ac:dyDescent="0.2">
      <c r="A619" s="2">
        <v>618</v>
      </c>
      <c r="B619">
        <v>200</v>
      </c>
      <c r="C619" s="1">
        <v>46300</v>
      </c>
      <c r="D619" s="1"/>
      <c r="E619" t="s">
        <v>82</v>
      </c>
      <c r="F619" t="str">
        <f t="shared" si="9"/>
        <v>Active</v>
      </c>
    </row>
    <row r="620" spans="1:6" x14ac:dyDescent="0.2">
      <c r="A620" s="2">
        <v>619</v>
      </c>
      <c r="B620">
        <v>200</v>
      </c>
      <c r="C620" s="1">
        <v>46300</v>
      </c>
      <c r="D620" s="1"/>
      <c r="E620" t="s">
        <v>82</v>
      </c>
      <c r="F620" t="str">
        <f t="shared" si="9"/>
        <v>Active</v>
      </c>
    </row>
    <row r="621" spans="1:6" x14ac:dyDescent="0.2">
      <c r="A621" s="2">
        <v>620</v>
      </c>
      <c r="B621">
        <v>200</v>
      </c>
      <c r="C621" s="1">
        <v>46300</v>
      </c>
      <c r="D621" s="1"/>
      <c r="E621" t="s">
        <v>82</v>
      </c>
      <c r="F621" t="str">
        <f t="shared" si="9"/>
        <v>Active</v>
      </c>
    </row>
    <row r="622" spans="1:6" x14ac:dyDescent="0.2">
      <c r="A622" s="2">
        <v>621</v>
      </c>
      <c r="B622">
        <v>200</v>
      </c>
      <c r="C622" s="1">
        <v>46300</v>
      </c>
      <c r="D622" s="1"/>
      <c r="E622" t="s">
        <v>82</v>
      </c>
      <c r="F622" t="str">
        <f t="shared" si="9"/>
        <v>Active</v>
      </c>
    </row>
    <row r="623" spans="1:6" x14ac:dyDescent="0.2">
      <c r="A623" s="2">
        <v>622</v>
      </c>
      <c r="B623">
        <v>200</v>
      </c>
      <c r="C623" s="1">
        <v>46300</v>
      </c>
      <c r="D623" s="1"/>
      <c r="E623" t="s">
        <v>82</v>
      </c>
      <c r="F623" t="str">
        <f t="shared" si="9"/>
        <v>Active</v>
      </c>
    </row>
    <row r="624" spans="1:6" x14ac:dyDescent="0.2">
      <c r="A624" s="2">
        <v>623</v>
      </c>
      <c r="B624">
        <v>200</v>
      </c>
      <c r="C624" s="1">
        <v>46300</v>
      </c>
      <c r="D624" s="1"/>
      <c r="E624" t="s">
        <v>82</v>
      </c>
      <c r="F624" t="str">
        <f t="shared" si="9"/>
        <v>Active</v>
      </c>
    </row>
    <row r="625" spans="1:6" x14ac:dyDescent="0.2">
      <c r="A625" s="2">
        <v>624</v>
      </c>
      <c r="B625">
        <v>200</v>
      </c>
      <c r="C625" s="1">
        <v>46300</v>
      </c>
      <c r="D625" s="1"/>
      <c r="E625" t="s">
        <v>82</v>
      </c>
      <c r="F625" t="str">
        <f t="shared" si="9"/>
        <v>Active</v>
      </c>
    </row>
    <row r="626" spans="1:6" x14ac:dyDescent="0.2">
      <c r="A626" s="2">
        <v>625</v>
      </c>
      <c r="B626">
        <v>200</v>
      </c>
      <c r="C626" s="1">
        <v>46300</v>
      </c>
      <c r="D626" s="1"/>
      <c r="E626" t="s">
        <v>82</v>
      </c>
      <c r="F626" t="str">
        <f t="shared" si="9"/>
        <v>Active</v>
      </c>
    </row>
    <row r="627" spans="1:6" x14ac:dyDescent="0.2">
      <c r="A627" s="2">
        <v>626</v>
      </c>
      <c r="B627">
        <v>200</v>
      </c>
      <c r="C627" s="1">
        <v>46300</v>
      </c>
      <c r="D627" s="1"/>
      <c r="E627" t="s">
        <v>82</v>
      </c>
      <c r="F627" t="str">
        <f t="shared" si="9"/>
        <v>Active</v>
      </c>
    </row>
    <row r="628" spans="1:6" x14ac:dyDescent="0.2">
      <c r="A628" s="2">
        <v>627</v>
      </c>
      <c r="B628">
        <v>200</v>
      </c>
      <c r="C628" s="1">
        <v>46300</v>
      </c>
      <c r="D628" s="1"/>
      <c r="E628" t="s">
        <v>82</v>
      </c>
      <c r="F628" t="str">
        <f t="shared" si="9"/>
        <v>Active</v>
      </c>
    </row>
    <row r="629" spans="1:6" x14ac:dyDescent="0.2">
      <c r="A629" s="2">
        <v>628</v>
      </c>
      <c r="B629">
        <v>200</v>
      </c>
      <c r="C629" s="1">
        <v>46300</v>
      </c>
      <c r="D629" s="1"/>
      <c r="E629" t="s">
        <v>82</v>
      </c>
      <c r="F629" t="str">
        <f t="shared" si="9"/>
        <v>Active</v>
      </c>
    </row>
    <row r="630" spans="1:6" x14ac:dyDescent="0.2">
      <c r="A630" s="2">
        <v>629</v>
      </c>
      <c r="B630">
        <v>200</v>
      </c>
      <c r="C630" s="1">
        <v>46300</v>
      </c>
      <c r="D630" s="1"/>
      <c r="E630" t="s">
        <v>82</v>
      </c>
      <c r="F630" t="str">
        <f t="shared" si="9"/>
        <v>Active</v>
      </c>
    </row>
    <row r="631" spans="1:6" x14ac:dyDescent="0.2">
      <c r="A631" s="2">
        <v>630</v>
      </c>
      <c r="B631">
        <v>200</v>
      </c>
      <c r="C631" s="1">
        <v>46300</v>
      </c>
      <c r="D631" s="1"/>
      <c r="E631" t="s">
        <v>82</v>
      </c>
      <c r="F631" t="str">
        <f t="shared" si="9"/>
        <v>Active</v>
      </c>
    </row>
    <row r="632" spans="1:6" x14ac:dyDescent="0.2">
      <c r="A632" s="2">
        <v>631</v>
      </c>
      <c r="B632">
        <v>200</v>
      </c>
      <c r="C632" s="1">
        <v>46300</v>
      </c>
      <c r="D632" s="1"/>
      <c r="E632" t="s">
        <v>82</v>
      </c>
      <c r="F632" t="str">
        <f t="shared" si="9"/>
        <v>Active</v>
      </c>
    </row>
    <row r="633" spans="1:6" x14ac:dyDescent="0.2">
      <c r="A633" s="2">
        <v>632</v>
      </c>
      <c r="B633">
        <v>200</v>
      </c>
      <c r="C633" s="1">
        <v>46300</v>
      </c>
      <c r="D633" s="1"/>
      <c r="E633" t="s">
        <v>82</v>
      </c>
      <c r="F633" t="str">
        <f t="shared" si="9"/>
        <v>Active</v>
      </c>
    </row>
    <row r="634" spans="1:6" x14ac:dyDescent="0.2">
      <c r="A634" s="2">
        <v>633</v>
      </c>
      <c r="B634">
        <v>200</v>
      </c>
      <c r="C634" s="1">
        <v>46300</v>
      </c>
      <c r="D634" s="1"/>
      <c r="E634" t="s">
        <v>82</v>
      </c>
      <c r="F634" t="str">
        <f t="shared" si="9"/>
        <v>Active</v>
      </c>
    </row>
    <row r="635" spans="1:6" x14ac:dyDescent="0.2">
      <c r="A635" s="2">
        <v>634</v>
      </c>
      <c r="B635">
        <v>300</v>
      </c>
      <c r="C635" s="1">
        <v>43626</v>
      </c>
      <c r="D635" s="1">
        <v>44014</v>
      </c>
      <c r="E635" t="s">
        <v>82</v>
      </c>
      <c r="F635" t="str">
        <f t="shared" si="9"/>
        <v>Terminated</v>
      </c>
    </row>
    <row r="636" spans="1:6" x14ac:dyDescent="0.2">
      <c r="A636" s="2">
        <v>635</v>
      </c>
      <c r="B636">
        <v>300</v>
      </c>
      <c r="C636" s="1">
        <v>43693</v>
      </c>
      <c r="D636" s="1">
        <v>44207</v>
      </c>
      <c r="E636" t="s">
        <v>558</v>
      </c>
      <c r="F636" t="str">
        <f t="shared" si="9"/>
        <v>Terminated</v>
      </c>
    </row>
    <row r="637" spans="1:6" x14ac:dyDescent="0.2">
      <c r="A637" s="2">
        <v>636</v>
      </c>
      <c r="B637">
        <v>300</v>
      </c>
      <c r="C637" s="1">
        <v>43698</v>
      </c>
      <c r="D637" s="1"/>
      <c r="E637" t="s">
        <v>82</v>
      </c>
      <c r="F637" t="str">
        <f t="shared" si="9"/>
        <v>Active</v>
      </c>
    </row>
    <row r="638" spans="1:6" x14ac:dyDescent="0.2">
      <c r="A638" s="2">
        <v>637</v>
      </c>
      <c r="B638">
        <v>300</v>
      </c>
      <c r="C638" s="1">
        <v>43725</v>
      </c>
      <c r="D638" s="1">
        <v>43936</v>
      </c>
      <c r="E638" t="s">
        <v>82</v>
      </c>
      <c r="F638" t="str">
        <f t="shared" si="9"/>
        <v>Terminated</v>
      </c>
    </row>
    <row r="639" spans="1:6" x14ac:dyDescent="0.2">
      <c r="A639" s="2">
        <v>638</v>
      </c>
      <c r="B639">
        <v>300</v>
      </c>
      <c r="C639" s="1">
        <v>43759</v>
      </c>
      <c r="D639" s="1">
        <v>44306</v>
      </c>
      <c r="E639" t="s">
        <v>558</v>
      </c>
      <c r="F639" t="str">
        <f t="shared" si="9"/>
        <v>Terminated</v>
      </c>
    </row>
    <row r="640" spans="1:6" x14ac:dyDescent="0.2">
      <c r="A640" s="2">
        <v>639</v>
      </c>
      <c r="B640">
        <v>300</v>
      </c>
      <c r="C640" s="1">
        <v>43871</v>
      </c>
      <c r="D640" s="1">
        <v>44078</v>
      </c>
      <c r="E640" t="s">
        <v>82</v>
      </c>
      <c r="F640" t="str">
        <f t="shared" si="9"/>
        <v>Terminated</v>
      </c>
    </row>
    <row r="641" spans="1:6" x14ac:dyDescent="0.2">
      <c r="A641" s="2">
        <v>640</v>
      </c>
      <c r="B641">
        <v>300</v>
      </c>
      <c r="C641" s="1">
        <v>43913</v>
      </c>
      <c r="D641" s="1">
        <v>44301</v>
      </c>
      <c r="E641" t="s">
        <v>82</v>
      </c>
      <c r="F641" t="str">
        <f t="shared" si="9"/>
        <v>Terminated</v>
      </c>
    </row>
    <row r="642" spans="1:6" x14ac:dyDescent="0.2">
      <c r="A642" s="2">
        <v>641</v>
      </c>
      <c r="B642">
        <v>300</v>
      </c>
      <c r="C642" s="1">
        <v>43950</v>
      </c>
      <c r="D642" s="1">
        <v>44865</v>
      </c>
      <c r="E642" t="s">
        <v>82</v>
      </c>
      <c r="F642" t="str">
        <f t="shared" si="9"/>
        <v>Terminated</v>
      </c>
    </row>
    <row r="643" spans="1:6" x14ac:dyDescent="0.2">
      <c r="A643" s="2">
        <v>642</v>
      </c>
      <c r="B643">
        <v>300</v>
      </c>
      <c r="C643" s="1">
        <v>43962</v>
      </c>
      <c r="D643" s="1">
        <v>44550</v>
      </c>
      <c r="E643" t="s">
        <v>82</v>
      </c>
      <c r="F643" t="str">
        <f t="shared" ref="F643:F706" si="10">IF(D643="","Active","Terminated")</f>
        <v>Terminated</v>
      </c>
    </row>
    <row r="644" spans="1:6" x14ac:dyDescent="0.2">
      <c r="A644" s="2">
        <v>643</v>
      </c>
      <c r="B644">
        <v>300</v>
      </c>
      <c r="C644" s="1">
        <v>44028</v>
      </c>
      <c r="D644" s="1">
        <v>44151</v>
      </c>
      <c r="E644" t="s">
        <v>557</v>
      </c>
      <c r="F644" t="str">
        <f t="shared" si="10"/>
        <v>Terminated</v>
      </c>
    </row>
    <row r="645" spans="1:6" x14ac:dyDescent="0.2">
      <c r="A645" s="2">
        <v>644</v>
      </c>
      <c r="B645">
        <v>300</v>
      </c>
      <c r="C645" s="1">
        <v>44035</v>
      </c>
      <c r="D645" s="1">
        <v>44362</v>
      </c>
      <c r="E645" t="s">
        <v>558</v>
      </c>
      <c r="F645" t="str">
        <f t="shared" si="10"/>
        <v>Terminated</v>
      </c>
    </row>
    <row r="646" spans="1:6" x14ac:dyDescent="0.2">
      <c r="A646" s="2">
        <v>645</v>
      </c>
      <c r="B646">
        <v>300</v>
      </c>
      <c r="C646" s="1">
        <v>44039</v>
      </c>
      <c r="D646" s="1">
        <v>44151</v>
      </c>
      <c r="E646" t="s">
        <v>82</v>
      </c>
      <c r="F646" t="str">
        <f t="shared" si="10"/>
        <v>Terminated</v>
      </c>
    </row>
    <row r="647" spans="1:6" x14ac:dyDescent="0.2">
      <c r="A647" s="2">
        <v>646</v>
      </c>
      <c r="B647">
        <v>300</v>
      </c>
      <c r="C647" s="1">
        <v>44041</v>
      </c>
      <c r="D647" s="1">
        <v>44187</v>
      </c>
      <c r="E647" t="s">
        <v>82</v>
      </c>
      <c r="F647" t="str">
        <f t="shared" si="10"/>
        <v>Terminated</v>
      </c>
    </row>
    <row r="648" spans="1:6" x14ac:dyDescent="0.2">
      <c r="A648" s="2">
        <v>647</v>
      </c>
      <c r="B648">
        <v>300</v>
      </c>
      <c r="C648" s="1">
        <v>44095</v>
      </c>
      <c r="D648" s="1">
        <v>44347</v>
      </c>
      <c r="E648" t="s">
        <v>558</v>
      </c>
      <c r="F648" t="str">
        <f t="shared" si="10"/>
        <v>Terminated</v>
      </c>
    </row>
    <row r="649" spans="1:6" x14ac:dyDescent="0.2">
      <c r="A649" s="2">
        <v>648</v>
      </c>
      <c r="B649">
        <v>300</v>
      </c>
      <c r="C649" s="1">
        <v>44106</v>
      </c>
      <c r="D649" s="1">
        <v>44613</v>
      </c>
      <c r="E649" t="s">
        <v>82</v>
      </c>
      <c r="F649" t="str">
        <f t="shared" si="10"/>
        <v>Terminated</v>
      </c>
    </row>
    <row r="650" spans="1:6" x14ac:dyDescent="0.2">
      <c r="A650" s="2">
        <v>649</v>
      </c>
      <c r="B650">
        <v>300</v>
      </c>
      <c r="C650" s="1">
        <v>44231</v>
      </c>
      <c r="D650" s="1">
        <v>44985</v>
      </c>
      <c r="E650" t="s">
        <v>82</v>
      </c>
      <c r="F650" t="str">
        <f t="shared" si="10"/>
        <v>Terminated</v>
      </c>
    </row>
    <row r="651" spans="1:6" x14ac:dyDescent="0.2">
      <c r="A651" s="2">
        <v>650</v>
      </c>
      <c r="B651">
        <v>300</v>
      </c>
      <c r="C651" s="1">
        <v>44259</v>
      </c>
      <c r="D651" s="1">
        <v>45054</v>
      </c>
      <c r="E651" t="s">
        <v>82</v>
      </c>
      <c r="F651" t="str">
        <f t="shared" si="10"/>
        <v>Terminated</v>
      </c>
    </row>
    <row r="652" spans="1:6" x14ac:dyDescent="0.2">
      <c r="A652" s="2">
        <v>651</v>
      </c>
      <c r="B652">
        <v>300</v>
      </c>
      <c r="C652" s="1">
        <v>44298</v>
      </c>
      <c r="D652" s="1">
        <v>44454</v>
      </c>
      <c r="E652" t="s">
        <v>82</v>
      </c>
      <c r="F652" t="str">
        <f t="shared" si="10"/>
        <v>Terminated</v>
      </c>
    </row>
    <row r="653" spans="1:6" x14ac:dyDescent="0.2">
      <c r="A653" s="2">
        <v>652</v>
      </c>
      <c r="B653">
        <v>300</v>
      </c>
      <c r="C653" s="1">
        <v>44494</v>
      </c>
      <c r="D653" s="1">
        <v>44613</v>
      </c>
      <c r="E653" t="s">
        <v>82</v>
      </c>
      <c r="F653" t="str">
        <f t="shared" si="10"/>
        <v>Terminated</v>
      </c>
    </row>
    <row r="654" spans="1:6" x14ac:dyDescent="0.2">
      <c r="A654" s="2">
        <v>653</v>
      </c>
      <c r="B654">
        <v>300</v>
      </c>
      <c r="C654" s="1">
        <v>44557</v>
      </c>
      <c r="D654" s="1">
        <v>44610</v>
      </c>
      <c r="E654" t="s">
        <v>82</v>
      </c>
      <c r="F654" t="str">
        <f t="shared" si="10"/>
        <v>Terminated</v>
      </c>
    </row>
    <row r="655" spans="1:6" x14ac:dyDescent="0.2">
      <c r="A655" s="2">
        <v>654</v>
      </c>
      <c r="B655">
        <v>300</v>
      </c>
      <c r="C655" s="1">
        <v>44610</v>
      </c>
      <c r="D655" s="1">
        <v>45278</v>
      </c>
      <c r="E655" t="s">
        <v>82</v>
      </c>
      <c r="F655" t="str">
        <f t="shared" si="10"/>
        <v>Terminated</v>
      </c>
    </row>
    <row r="656" spans="1:6" x14ac:dyDescent="0.2">
      <c r="A656" s="2">
        <v>655</v>
      </c>
      <c r="B656">
        <v>300</v>
      </c>
      <c r="C656" s="1">
        <v>44642</v>
      </c>
      <c r="D656" s="1">
        <v>46083</v>
      </c>
      <c r="E656" t="s">
        <v>82</v>
      </c>
      <c r="F656" t="str">
        <f t="shared" si="10"/>
        <v>Terminated</v>
      </c>
    </row>
    <row r="657" spans="1:6" x14ac:dyDescent="0.2">
      <c r="A657" s="2">
        <v>656</v>
      </c>
      <c r="B657">
        <v>300</v>
      </c>
      <c r="C657" s="1">
        <v>44678</v>
      </c>
      <c r="D657" s="1">
        <v>46037</v>
      </c>
      <c r="E657" t="s">
        <v>558</v>
      </c>
      <c r="F657" t="str">
        <f t="shared" si="10"/>
        <v>Terminated</v>
      </c>
    </row>
    <row r="658" spans="1:6" x14ac:dyDescent="0.2">
      <c r="A658" s="2">
        <v>657</v>
      </c>
      <c r="B658">
        <v>300</v>
      </c>
      <c r="C658" s="1">
        <v>44753</v>
      </c>
      <c r="D658" s="1">
        <v>45511</v>
      </c>
      <c r="E658" t="s">
        <v>558</v>
      </c>
      <c r="F658" t="str">
        <f t="shared" si="10"/>
        <v>Terminated</v>
      </c>
    </row>
    <row r="659" spans="1:6" x14ac:dyDescent="0.2">
      <c r="A659" s="2">
        <v>658</v>
      </c>
      <c r="B659">
        <v>300</v>
      </c>
      <c r="C659" s="1">
        <v>44777</v>
      </c>
      <c r="D659" s="1">
        <v>45979</v>
      </c>
      <c r="E659" t="s">
        <v>558</v>
      </c>
      <c r="F659" t="str">
        <f t="shared" si="10"/>
        <v>Terminated</v>
      </c>
    </row>
    <row r="660" spans="1:6" x14ac:dyDescent="0.2">
      <c r="A660" s="2">
        <v>659</v>
      </c>
      <c r="B660">
        <v>300</v>
      </c>
      <c r="C660" s="1">
        <v>44798</v>
      </c>
      <c r="D660" s="1"/>
      <c r="E660" t="s">
        <v>82</v>
      </c>
      <c r="F660" t="str">
        <f t="shared" si="10"/>
        <v>Active</v>
      </c>
    </row>
    <row r="661" spans="1:6" x14ac:dyDescent="0.2">
      <c r="A661" s="2">
        <v>660</v>
      </c>
      <c r="B661">
        <v>300</v>
      </c>
      <c r="C661" s="1">
        <v>44865</v>
      </c>
      <c r="D661" s="1"/>
      <c r="E661" t="s">
        <v>82</v>
      </c>
      <c r="F661" t="str">
        <f t="shared" si="10"/>
        <v>Active</v>
      </c>
    </row>
    <row r="662" spans="1:6" x14ac:dyDescent="0.2">
      <c r="A662" s="2">
        <v>661</v>
      </c>
      <c r="B662">
        <v>300</v>
      </c>
      <c r="C662" s="1">
        <v>44977</v>
      </c>
      <c r="D662" s="1">
        <v>45147</v>
      </c>
      <c r="E662" t="s">
        <v>82</v>
      </c>
      <c r="F662" t="str">
        <f t="shared" si="10"/>
        <v>Terminated</v>
      </c>
    </row>
    <row r="663" spans="1:6" x14ac:dyDescent="0.2">
      <c r="A663" s="2">
        <v>662</v>
      </c>
      <c r="B663">
        <v>300</v>
      </c>
      <c r="C663" s="1">
        <v>44979</v>
      </c>
      <c r="D663" s="1"/>
      <c r="E663" t="s">
        <v>82</v>
      </c>
      <c r="F663" t="str">
        <f t="shared" si="10"/>
        <v>Active</v>
      </c>
    </row>
    <row r="664" spans="1:6" x14ac:dyDescent="0.2">
      <c r="A664" s="2">
        <v>663</v>
      </c>
      <c r="B664">
        <v>300</v>
      </c>
      <c r="C664" s="1">
        <v>45029</v>
      </c>
      <c r="D664" s="1">
        <v>45673</v>
      </c>
      <c r="E664" t="s">
        <v>82</v>
      </c>
      <c r="F664" t="str">
        <f t="shared" si="10"/>
        <v>Terminated</v>
      </c>
    </row>
    <row r="665" spans="1:6" x14ac:dyDescent="0.2">
      <c r="A665" s="2">
        <v>664</v>
      </c>
      <c r="B665">
        <v>300</v>
      </c>
      <c r="C665" s="1">
        <v>45083</v>
      </c>
      <c r="D665" s="1"/>
      <c r="E665" t="s">
        <v>82</v>
      </c>
      <c r="F665" t="str">
        <f t="shared" si="10"/>
        <v>Active</v>
      </c>
    </row>
    <row r="666" spans="1:6" x14ac:dyDescent="0.2">
      <c r="A666" s="2">
        <v>665</v>
      </c>
      <c r="B666">
        <v>300</v>
      </c>
      <c r="C666" s="1">
        <v>45113</v>
      </c>
      <c r="D666" s="1">
        <v>45511</v>
      </c>
      <c r="E666" t="s">
        <v>82</v>
      </c>
      <c r="F666" t="str">
        <f t="shared" si="10"/>
        <v>Terminated</v>
      </c>
    </row>
    <row r="667" spans="1:6" x14ac:dyDescent="0.2">
      <c r="A667" s="2">
        <v>666</v>
      </c>
      <c r="B667">
        <v>300</v>
      </c>
      <c r="C667" s="1">
        <v>45174</v>
      </c>
      <c r="D667" s="1"/>
      <c r="E667" t="s">
        <v>82</v>
      </c>
      <c r="F667" t="str">
        <f t="shared" si="10"/>
        <v>Active</v>
      </c>
    </row>
    <row r="668" spans="1:6" x14ac:dyDescent="0.2">
      <c r="A668" s="2">
        <v>667</v>
      </c>
      <c r="B668">
        <v>300</v>
      </c>
      <c r="C668" s="1">
        <v>45174</v>
      </c>
      <c r="D668" s="1"/>
      <c r="E668" t="s">
        <v>82</v>
      </c>
      <c r="F668" t="str">
        <f t="shared" si="10"/>
        <v>Active</v>
      </c>
    </row>
    <row r="669" spans="1:6" x14ac:dyDescent="0.2">
      <c r="A669" s="2">
        <v>668</v>
      </c>
      <c r="B669">
        <v>300</v>
      </c>
      <c r="C669" s="1">
        <v>45176</v>
      </c>
      <c r="D669" s="1"/>
      <c r="E669" t="s">
        <v>82</v>
      </c>
      <c r="F669" t="str">
        <f t="shared" si="10"/>
        <v>Active</v>
      </c>
    </row>
    <row r="670" spans="1:6" x14ac:dyDescent="0.2">
      <c r="A670" s="2">
        <v>669</v>
      </c>
      <c r="B670">
        <v>300</v>
      </c>
      <c r="C670" s="1">
        <v>45219</v>
      </c>
      <c r="D670" s="1">
        <v>46269</v>
      </c>
      <c r="E670" t="s">
        <v>558</v>
      </c>
      <c r="F670" t="str">
        <f t="shared" si="10"/>
        <v>Terminated</v>
      </c>
    </row>
    <row r="671" spans="1:6" x14ac:dyDescent="0.2">
      <c r="A671" s="2">
        <v>670</v>
      </c>
      <c r="B671">
        <v>300</v>
      </c>
      <c r="C671" s="1">
        <v>45244</v>
      </c>
      <c r="D671" s="1"/>
      <c r="E671" t="s">
        <v>82</v>
      </c>
      <c r="F671" t="str">
        <f t="shared" si="10"/>
        <v>Active</v>
      </c>
    </row>
    <row r="672" spans="1:6" x14ac:dyDescent="0.2">
      <c r="A672" s="2">
        <v>671</v>
      </c>
      <c r="B672">
        <v>300</v>
      </c>
      <c r="C672" s="1">
        <v>45244</v>
      </c>
      <c r="D672" s="1">
        <v>45293</v>
      </c>
      <c r="E672" t="s">
        <v>82</v>
      </c>
      <c r="F672" t="str">
        <f t="shared" si="10"/>
        <v>Terminated</v>
      </c>
    </row>
    <row r="673" spans="1:6" x14ac:dyDescent="0.2">
      <c r="A673" s="2">
        <v>672</v>
      </c>
      <c r="B673">
        <v>300</v>
      </c>
      <c r="C673" s="1">
        <v>45271</v>
      </c>
      <c r="D673" s="1"/>
      <c r="E673" t="s">
        <v>82</v>
      </c>
      <c r="F673" t="str">
        <f t="shared" si="10"/>
        <v>Active</v>
      </c>
    </row>
    <row r="674" spans="1:6" x14ac:dyDescent="0.2">
      <c r="A674" s="2">
        <v>673</v>
      </c>
      <c r="B674">
        <v>300</v>
      </c>
      <c r="C674" s="1">
        <v>45271</v>
      </c>
      <c r="D674" s="1">
        <v>45531</v>
      </c>
      <c r="E674" t="s">
        <v>558</v>
      </c>
      <c r="F674" t="str">
        <f t="shared" si="10"/>
        <v>Terminated</v>
      </c>
    </row>
    <row r="675" spans="1:6" x14ac:dyDescent="0.2">
      <c r="A675" s="2">
        <v>674</v>
      </c>
      <c r="B675">
        <v>300</v>
      </c>
      <c r="C675" s="1">
        <v>45278</v>
      </c>
      <c r="D675" s="1"/>
      <c r="E675" t="s">
        <v>82</v>
      </c>
      <c r="F675" t="str">
        <f t="shared" si="10"/>
        <v>Active</v>
      </c>
    </row>
    <row r="676" spans="1:6" x14ac:dyDescent="0.2">
      <c r="A676" s="2">
        <v>675</v>
      </c>
      <c r="B676">
        <v>300</v>
      </c>
      <c r="C676" s="1">
        <v>45309</v>
      </c>
      <c r="D676" s="1"/>
      <c r="E676" t="s">
        <v>558</v>
      </c>
      <c r="F676" t="str">
        <f t="shared" si="10"/>
        <v>Active</v>
      </c>
    </row>
    <row r="677" spans="1:6" x14ac:dyDescent="0.2">
      <c r="A677" s="2">
        <v>676</v>
      </c>
      <c r="B677">
        <v>300</v>
      </c>
      <c r="C677" s="1">
        <v>45336</v>
      </c>
      <c r="D677" s="1"/>
      <c r="E677" t="s">
        <v>82</v>
      </c>
      <c r="F677" t="str">
        <f t="shared" si="10"/>
        <v>Active</v>
      </c>
    </row>
    <row r="678" spans="1:6" x14ac:dyDescent="0.2">
      <c r="A678" s="2">
        <v>677</v>
      </c>
      <c r="B678">
        <v>300</v>
      </c>
      <c r="C678" s="1">
        <v>45385</v>
      </c>
      <c r="D678" s="1"/>
      <c r="E678" t="s">
        <v>82</v>
      </c>
      <c r="F678" t="str">
        <f t="shared" si="10"/>
        <v>Active</v>
      </c>
    </row>
    <row r="679" spans="1:6" x14ac:dyDescent="0.2">
      <c r="A679" s="2">
        <v>678</v>
      </c>
      <c r="B679">
        <v>300</v>
      </c>
      <c r="C679" s="1">
        <v>45411</v>
      </c>
      <c r="D679" s="1">
        <v>45461</v>
      </c>
      <c r="E679" t="s">
        <v>82</v>
      </c>
      <c r="F679" t="str">
        <f t="shared" si="10"/>
        <v>Terminated</v>
      </c>
    </row>
    <row r="680" spans="1:6" x14ac:dyDescent="0.2">
      <c r="A680" s="2">
        <v>679</v>
      </c>
      <c r="B680">
        <v>300</v>
      </c>
      <c r="C680" s="1">
        <v>45432</v>
      </c>
      <c r="D680" s="1"/>
      <c r="E680" t="s">
        <v>82</v>
      </c>
      <c r="F680" t="str">
        <f t="shared" si="10"/>
        <v>Active</v>
      </c>
    </row>
    <row r="681" spans="1:6" x14ac:dyDescent="0.2">
      <c r="A681" s="2">
        <v>680</v>
      </c>
      <c r="B681">
        <v>300</v>
      </c>
      <c r="C681" s="1">
        <v>45432</v>
      </c>
      <c r="D681" s="1"/>
      <c r="E681" t="s">
        <v>82</v>
      </c>
      <c r="F681" t="str">
        <f t="shared" si="10"/>
        <v>Active</v>
      </c>
    </row>
    <row r="682" spans="1:6" x14ac:dyDescent="0.2">
      <c r="A682" s="2">
        <v>681</v>
      </c>
      <c r="B682">
        <v>300</v>
      </c>
      <c r="C682" s="1">
        <v>45435</v>
      </c>
      <c r="D682" s="1">
        <v>45638</v>
      </c>
      <c r="E682" t="s">
        <v>82</v>
      </c>
      <c r="F682" t="str">
        <f t="shared" si="10"/>
        <v>Terminated</v>
      </c>
    </row>
    <row r="683" spans="1:6" x14ac:dyDescent="0.2">
      <c r="A683" s="2">
        <v>682</v>
      </c>
      <c r="B683">
        <v>300</v>
      </c>
      <c r="C683" s="1">
        <v>45449</v>
      </c>
      <c r="D683" s="1">
        <v>46259</v>
      </c>
      <c r="E683" t="s">
        <v>82</v>
      </c>
      <c r="F683" t="str">
        <f t="shared" si="10"/>
        <v>Terminated</v>
      </c>
    </row>
    <row r="684" spans="1:6" x14ac:dyDescent="0.2">
      <c r="A684" s="2">
        <v>683</v>
      </c>
      <c r="B684">
        <v>300</v>
      </c>
      <c r="C684" s="1">
        <v>45509</v>
      </c>
      <c r="D684" s="1"/>
      <c r="E684" t="s">
        <v>82</v>
      </c>
      <c r="F684" t="str">
        <f t="shared" si="10"/>
        <v>Active</v>
      </c>
    </row>
    <row r="685" spans="1:6" x14ac:dyDescent="0.2">
      <c r="A685" s="2">
        <v>684</v>
      </c>
      <c r="B685">
        <v>300</v>
      </c>
      <c r="C685" s="1">
        <v>45516</v>
      </c>
      <c r="D685" s="1"/>
      <c r="E685" t="s">
        <v>82</v>
      </c>
      <c r="F685" t="str">
        <f t="shared" si="10"/>
        <v>Active</v>
      </c>
    </row>
    <row r="686" spans="1:6" x14ac:dyDescent="0.2">
      <c r="A686" s="2">
        <v>685</v>
      </c>
      <c r="B686">
        <v>300</v>
      </c>
      <c r="C686" s="1">
        <v>45516</v>
      </c>
      <c r="D686" s="1"/>
      <c r="E686" t="s">
        <v>82</v>
      </c>
      <c r="F686" t="str">
        <f t="shared" si="10"/>
        <v>Active</v>
      </c>
    </row>
    <row r="687" spans="1:6" x14ac:dyDescent="0.2">
      <c r="A687" s="2">
        <v>686</v>
      </c>
      <c r="B687">
        <v>300</v>
      </c>
      <c r="C687" s="1">
        <v>45516</v>
      </c>
      <c r="D687" s="1"/>
      <c r="E687" t="s">
        <v>82</v>
      </c>
      <c r="F687" t="str">
        <f t="shared" si="10"/>
        <v>Active</v>
      </c>
    </row>
    <row r="688" spans="1:6" x14ac:dyDescent="0.2">
      <c r="A688" s="2">
        <v>687</v>
      </c>
      <c r="B688">
        <v>300</v>
      </c>
      <c r="C688" s="1">
        <v>45569</v>
      </c>
      <c r="D688" s="1"/>
      <c r="E688" t="s">
        <v>82</v>
      </c>
      <c r="F688" t="str">
        <f t="shared" si="10"/>
        <v>Active</v>
      </c>
    </row>
    <row r="689" spans="1:6" x14ac:dyDescent="0.2">
      <c r="A689" s="2">
        <v>688</v>
      </c>
      <c r="B689">
        <v>300</v>
      </c>
      <c r="C689" s="1">
        <v>45595</v>
      </c>
      <c r="D689" s="1"/>
      <c r="E689" t="s">
        <v>558</v>
      </c>
      <c r="F689" t="str">
        <f t="shared" si="10"/>
        <v>Active</v>
      </c>
    </row>
    <row r="690" spans="1:6" x14ac:dyDescent="0.2">
      <c r="A690" s="2">
        <v>689</v>
      </c>
      <c r="B690">
        <v>300</v>
      </c>
      <c r="C690" s="1">
        <v>45630</v>
      </c>
      <c r="D690" s="1"/>
      <c r="E690" t="s">
        <v>82</v>
      </c>
      <c r="F690" t="str">
        <f t="shared" si="10"/>
        <v>Active</v>
      </c>
    </row>
    <row r="691" spans="1:6" x14ac:dyDescent="0.2">
      <c r="A691" s="2">
        <v>690</v>
      </c>
      <c r="B691">
        <v>300</v>
      </c>
      <c r="C691" s="1">
        <v>45635</v>
      </c>
      <c r="D691" s="1"/>
      <c r="E691" t="s">
        <v>82</v>
      </c>
      <c r="F691" t="str">
        <f t="shared" si="10"/>
        <v>Active</v>
      </c>
    </row>
    <row r="692" spans="1:6" x14ac:dyDescent="0.2">
      <c r="A692" s="2">
        <v>691</v>
      </c>
      <c r="B692">
        <v>300</v>
      </c>
      <c r="C692" s="1">
        <v>45636</v>
      </c>
      <c r="D692" s="1"/>
      <c r="E692" t="s">
        <v>82</v>
      </c>
      <c r="F692" t="str">
        <f t="shared" si="10"/>
        <v>Active</v>
      </c>
    </row>
    <row r="693" spans="1:6" x14ac:dyDescent="0.2">
      <c r="A693" s="2">
        <v>692</v>
      </c>
      <c r="B693">
        <v>300</v>
      </c>
      <c r="C693" s="1">
        <v>45649</v>
      </c>
      <c r="D693" s="1"/>
      <c r="E693" t="s">
        <v>82</v>
      </c>
      <c r="F693" t="str">
        <f t="shared" si="10"/>
        <v>Active</v>
      </c>
    </row>
    <row r="694" spans="1:6" x14ac:dyDescent="0.2">
      <c r="A694" s="2">
        <v>693</v>
      </c>
      <c r="B694">
        <v>300</v>
      </c>
      <c r="C694" s="1">
        <v>45656</v>
      </c>
      <c r="D694" s="1">
        <v>45723</v>
      </c>
      <c r="E694" t="s">
        <v>82</v>
      </c>
      <c r="F694" t="str">
        <f t="shared" si="10"/>
        <v>Terminated</v>
      </c>
    </row>
    <row r="695" spans="1:6" x14ac:dyDescent="0.2">
      <c r="A695" s="2">
        <v>694</v>
      </c>
      <c r="B695">
        <v>300</v>
      </c>
      <c r="C695" s="1">
        <v>45656</v>
      </c>
      <c r="D695" s="1"/>
      <c r="E695" t="s">
        <v>558</v>
      </c>
      <c r="F695" t="str">
        <f t="shared" si="10"/>
        <v>Active</v>
      </c>
    </row>
    <row r="696" spans="1:6" x14ac:dyDescent="0.2">
      <c r="A696" s="2">
        <v>695</v>
      </c>
      <c r="B696">
        <v>300</v>
      </c>
      <c r="C696" s="1">
        <v>45723</v>
      </c>
      <c r="D696" s="1"/>
      <c r="E696" t="s">
        <v>82</v>
      </c>
      <c r="F696" t="str">
        <f t="shared" si="10"/>
        <v>Active</v>
      </c>
    </row>
    <row r="697" spans="1:6" x14ac:dyDescent="0.2">
      <c r="A697" s="2">
        <v>696</v>
      </c>
      <c r="B697">
        <v>300</v>
      </c>
      <c r="C697" s="1">
        <v>45736</v>
      </c>
      <c r="D697" s="1"/>
      <c r="E697" t="s">
        <v>82</v>
      </c>
      <c r="F697" t="str">
        <f t="shared" si="10"/>
        <v>Active</v>
      </c>
    </row>
    <row r="698" spans="1:6" x14ac:dyDescent="0.2">
      <c r="A698" s="2">
        <v>697</v>
      </c>
      <c r="B698">
        <v>300</v>
      </c>
      <c r="C698" s="1">
        <v>45772</v>
      </c>
      <c r="D698" s="1">
        <v>45818</v>
      </c>
      <c r="E698" t="s">
        <v>82</v>
      </c>
      <c r="F698" t="str">
        <f t="shared" si="10"/>
        <v>Terminated</v>
      </c>
    </row>
    <row r="699" spans="1:6" x14ac:dyDescent="0.2">
      <c r="A699" s="2">
        <v>698</v>
      </c>
      <c r="B699">
        <v>300</v>
      </c>
      <c r="C699" s="1">
        <v>45772</v>
      </c>
      <c r="D699" s="1"/>
      <c r="E699" t="s">
        <v>82</v>
      </c>
      <c r="F699" t="str">
        <f t="shared" si="10"/>
        <v>Active</v>
      </c>
    </row>
    <row r="700" spans="1:6" x14ac:dyDescent="0.2">
      <c r="A700" s="2">
        <v>699</v>
      </c>
      <c r="B700">
        <v>300</v>
      </c>
      <c r="C700" s="1">
        <v>45775</v>
      </c>
      <c r="D700" s="1">
        <v>46133</v>
      </c>
      <c r="E700" t="s">
        <v>558</v>
      </c>
      <c r="F700" t="str">
        <f t="shared" si="10"/>
        <v>Terminated</v>
      </c>
    </row>
    <row r="701" spans="1:6" x14ac:dyDescent="0.2">
      <c r="A701" s="2">
        <v>700</v>
      </c>
      <c r="B701">
        <v>300</v>
      </c>
      <c r="C701" s="1">
        <v>45782</v>
      </c>
      <c r="D701" s="1"/>
      <c r="E701" t="s">
        <v>82</v>
      </c>
      <c r="F701" t="str">
        <f t="shared" si="10"/>
        <v>Active</v>
      </c>
    </row>
    <row r="702" spans="1:6" x14ac:dyDescent="0.2">
      <c r="A702" s="2">
        <v>701</v>
      </c>
      <c r="B702">
        <v>300</v>
      </c>
      <c r="C702" s="1">
        <v>45783</v>
      </c>
      <c r="D702" s="1">
        <v>45929</v>
      </c>
      <c r="E702" t="s">
        <v>82</v>
      </c>
      <c r="F702" t="str">
        <f t="shared" si="10"/>
        <v>Terminated</v>
      </c>
    </row>
    <row r="703" spans="1:6" x14ac:dyDescent="0.2">
      <c r="A703" s="2">
        <v>702</v>
      </c>
      <c r="B703">
        <v>300</v>
      </c>
      <c r="C703" s="1">
        <v>45803</v>
      </c>
      <c r="D703" s="1"/>
      <c r="E703" t="s">
        <v>82</v>
      </c>
      <c r="F703" t="str">
        <f t="shared" si="10"/>
        <v>Active</v>
      </c>
    </row>
    <row r="704" spans="1:6" x14ac:dyDescent="0.2">
      <c r="A704" s="2">
        <v>703</v>
      </c>
      <c r="B704">
        <v>300</v>
      </c>
      <c r="C704" s="1">
        <v>45806</v>
      </c>
      <c r="D704" s="1"/>
      <c r="E704" t="s">
        <v>82</v>
      </c>
      <c r="F704" t="str">
        <f t="shared" si="10"/>
        <v>Active</v>
      </c>
    </row>
    <row r="705" spans="1:6" x14ac:dyDescent="0.2">
      <c r="A705" s="2">
        <v>704</v>
      </c>
      <c r="B705">
        <v>300</v>
      </c>
      <c r="C705" s="1">
        <v>45838</v>
      </c>
      <c r="D705" s="1"/>
      <c r="E705" t="s">
        <v>557</v>
      </c>
      <c r="F705" t="str">
        <f t="shared" si="10"/>
        <v>Active</v>
      </c>
    </row>
    <row r="706" spans="1:6" x14ac:dyDescent="0.2">
      <c r="A706" s="2">
        <v>705</v>
      </c>
      <c r="B706">
        <v>300</v>
      </c>
      <c r="C706" s="1">
        <v>45880</v>
      </c>
      <c r="D706" s="1"/>
      <c r="E706" t="s">
        <v>82</v>
      </c>
      <c r="F706" t="str">
        <f t="shared" si="10"/>
        <v>Active</v>
      </c>
    </row>
    <row r="707" spans="1:6" x14ac:dyDescent="0.2">
      <c r="A707" s="2">
        <v>706</v>
      </c>
      <c r="B707">
        <v>300</v>
      </c>
      <c r="C707" s="1">
        <v>45895</v>
      </c>
      <c r="D707" s="1">
        <v>46093</v>
      </c>
      <c r="E707" t="s">
        <v>558</v>
      </c>
      <c r="F707" t="str">
        <f t="shared" ref="F707:F770" si="11">IF(D707="","Active","Terminated")</f>
        <v>Terminated</v>
      </c>
    </row>
    <row r="708" spans="1:6" x14ac:dyDescent="0.2">
      <c r="A708" s="2">
        <v>707</v>
      </c>
      <c r="B708">
        <v>300</v>
      </c>
      <c r="C708" s="1">
        <v>45905</v>
      </c>
      <c r="D708" s="1"/>
      <c r="E708" t="s">
        <v>82</v>
      </c>
      <c r="F708" t="str">
        <f t="shared" si="11"/>
        <v>Active</v>
      </c>
    </row>
    <row r="709" spans="1:6" x14ac:dyDescent="0.2">
      <c r="A709" s="2">
        <v>708</v>
      </c>
      <c r="B709">
        <v>300</v>
      </c>
      <c r="C709" s="1">
        <v>45915</v>
      </c>
      <c r="D709" s="1"/>
      <c r="E709" t="s">
        <v>82</v>
      </c>
      <c r="F709" t="str">
        <f t="shared" si="11"/>
        <v>Active</v>
      </c>
    </row>
    <row r="710" spans="1:6" x14ac:dyDescent="0.2">
      <c r="A710" s="2">
        <v>709</v>
      </c>
      <c r="B710">
        <v>300</v>
      </c>
      <c r="C710" s="1">
        <v>45925</v>
      </c>
      <c r="D710" s="1"/>
      <c r="E710" t="s">
        <v>82</v>
      </c>
      <c r="F710" t="str">
        <f t="shared" si="11"/>
        <v>Active</v>
      </c>
    </row>
    <row r="711" spans="1:6" x14ac:dyDescent="0.2">
      <c r="A711" s="2">
        <v>710</v>
      </c>
      <c r="B711">
        <v>300</v>
      </c>
      <c r="C711" s="1">
        <v>45931</v>
      </c>
      <c r="D711" s="1">
        <v>46094</v>
      </c>
      <c r="E711" t="s">
        <v>558</v>
      </c>
      <c r="F711" t="str">
        <f t="shared" si="11"/>
        <v>Terminated</v>
      </c>
    </row>
    <row r="712" spans="1:6" x14ac:dyDescent="0.2">
      <c r="A712" s="2">
        <v>711</v>
      </c>
      <c r="B712">
        <v>300</v>
      </c>
      <c r="C712" s="1">
        <v>45971</v>
      </c>
      <c r="D712" s="1"/>
      <c r="E712" t="s">
        <v>82</v>
      </c>
      <c r="F712" t="str">
        <f t="shared" si="11"/>
        <v>Active</v>
      </c>
    </row>
    <row r="713" spans="1:6" x14ac:dyDescent="0.2">
      <c r="A713" s="2">
        <v>712</v>
      </c>
      <c r="B713">
        <v>300</v>
      </c>
      <c r="C713" s="1">
        <v>45993</v>
      </c>
      <c r="D713" s="1"/>
      <c r="E713" t="s">
        <v>82</v>
      </c>
      <c r="F713" t="str">
        <f t="shared" si="11"/>
        <v>Active</v>
      </c>
    </row>
    <row r="714" spans="1:6" x14ac:dyDescent="0.2">
      <c r="A714" s="2">
        <v>713</v>
      </c>
      <c r="B714">
        <v>300</v>
      </c>
      <c r="C714" s="1">
        <v>46016</v>
      </c>
      <c r="D714" s="1"/>
      <c r="E714" t="s">
        <v>558</v>
      </c>
      <c r="F714" t="str">
        <f t="shared" si="11"/>
        <v>Active</v>
      </c>
    </row>
    <row r="715" spans="1:6" x14ac:dyDescent="0.2">
      <c r="A715" s="2">
        <v>714</v>
      </c>
      <c r="B715">
        <v>300</v>
      </c>
      <c r="C715" s="1">
        <v>46022</v>
      </c>
      <c r="D715" s="1"/>
      <c r="E715" t="s">
        <v>82</v>
      </c>
      <c r="F715" t="str">
        <f t="shared" si="11"/>
        <v>Active</v>
      </c>
    </row>
    <row r="716" spans="1:6" x14ac:dyDescent="0.2">
      <c r="A716" s="2">
        <v>715</v>
      </c>
      <c r="B716">
        <v>300</v>
      </c>
      <c r="C716" s="1">
        <v>46024</v>
      </c>
      <c r="D716" s="1"/>
      <c r="E716" t="s">
        <v>558</v>
      </c>
      <c r="F716" t="str">
        <f t="shared" si="11"/>
        <v>Active</v>
      </c>
    </row>
    <row r="717" spans="1:6" x14ac:dyDescent="0.2">
      <c r="A717" s="2">
        <v>716</v>
      </c>
      <c r="B717">
        <v>300</v>
      </c>
      <c r="C717" s="1">
        <v>46037</v>
      </c>
      <c r="D717" s="1"/>
      <c r="E717" t="s">
        <v>82</v>
      </c>
      <c r="F717" t="str">
        <f t="shared" si="11"/>
        <v>Active</v>
      </c>
    </row>
    <row r="718" spans="1:6" x14ac:dyDescent="0.2">
      <c r="A718" s="2">
        <v>717</v>
      </c>
      <c r="B718">
        <v>300</v>
      </c>
      <c r="C718" s="1">
        <v>46044</v>
      </c>
      <c r="D718" s="1"/>
      <c r="E718" t="s">
        <v>82</v>
      </c>
      <c r="F718" t="str">
        <f t="shared" si="11"/>
        <v>Active</v>
      </c>
    </row>
    <row r="719" spans="1:6" x14ac:dyDescent="0.2">
      <c r="A719" s="2">
        <v>718</v>
      </c>
      <c r="B719">
        <v>300</v>
      </c>
      <c r="C719" s="1">
        <v>46055</v>
      </c>
      <c r="D719" s="1"/>
      <c r="E719" t="s">
        <v>82</v>
      </c>
      <c r="F719" t="str">
        <f t="shared" si="11"/>
        <v>Active</v>
      </c>
    </row>
    <row r="720" spans="1:6" x14ac:dyDescent="0.2">
      <c r="A720" s="2">
        <v>719</v>
      </c>
      <c r="B720">
        <v>300</v>
      </c>
      <c r="C720" s="1">
        <v>46072</v>
      </c>
      <c r="D720" s="1"/>
      <c r="E720" t="s">
        <v>558</v>
      </c>
      <c r="F720" t="str">
        <f t="shared" si="11"/>
        <v>Active</v>
      </c>
    </row>
    <row r="721" spans="1:6" x14ac:dyDescent="0.2">
      <c r="A721" s="2">
        <v>720</v>
      </c>
      <c r="B721">
        <v>300</v>
      </c>
      <c r="C721" s="1">
        <v>46076</v>
      </c>
      <c r="D721" s="1"/>
      <c r="E721" t="s">
        <v>82</v>
      </c>
      <c r="F721" t="str">
        <f t="shared" si="11"/>
        <v>Active</v>
      </c>
    </row>
    <row r="722" spans="1:6" x14ac:dyDescent="0.2">
      <c r="A722" s="2">
        <v>721</v>
      </c>
      <c r="B722">
        <v>300</v>
      </c>
      <c r="C722" s="1">
        <v>46083</v>
      </c>
      <c r="D722" s="1"/>
      <c r="E722" t="s">
        <v>557</v>
      </c>
      <c r="F722" t="str">
        <f t="shared" si="11"/>
        <v>Active</v>
      </c>
    </row>
    <row r="723" spans="1:6" x14ac:dyDescent="0.2">
      <c r="A723" s="2">
        <v>722</v>
      </c>
      <c r="B723">
        <v>300</v>
      </c>
      <c r="C723" s="1">
        <v>46094</v>
      </c>
      <c r="D723" s="1"/>
      <c r="E723" t="s">
        <v>82</v>
      </c>
      <c r="F723" t="str">
        <f t="shared" si="11"/>
        <v>Active</v>
      </c>
    </row>
    <row r="724" spans="1:6" x14ac:dyDescent="0.2">
      <c r="A724" s="2">
        <v>723</v>
      </c>
      <c r="B724">
        <v>300</v>
      </c>
      <c r="C724" s="1">
        <v>46094</v>
      </c>
      <c r="D724" s="1"/>
      <c r="E724" t="s">
        <v>558</v>
      </c>
      <c r="F724" t="str">
        <f t="shared" si="11"/>
        <v>Active</v>
      </c>
    </row>
    <row r="725" spans="1:6" x14ac:dyDescent="0.2">
      <c r="A725" s="2">
        <v>724</v>
      </c>
      <c r="B725">
        <v>300</v>
      </c>
      <c r="C725" s="1">
        <v>46106</v>
      </c>
      <c r="D725" s="1"/>
      <c r="E725" t="s">
        <v>557</v>
      </c>
      <c r="F725" t="str">
        <f t="shared" si="11"/>
        <v>Active</v>
      </c>
    </row>
    <row r="726" spans="1:6" x14ac:dyDescent="0.2">
      <c r="A726" s="2">
        <v>725</v>
      </c>
      <c r="B726">
        <v>300</v>
      </c>
      <c r="C726" s="1">
        <v>46136</v>
      </c>
      <c r="D726" s="1"/>
      <c r="E726" t="s">
        <v>82</v>
      </c>
      <c r="F726" t="str">
        <f t="shared" si="11"/>
        <v>Active</v>
      </c>
    </row>
    <row r="727" spans="1:6" x14ac:dyDescent="0.2">
      <c r="A727" s="2">
        <v>726</v>
      </c>
      <c r="B727">
        <v>300</v>
      </c>
      <c r="C727" s="1">
        <v>46139</v>
      </c>
      <c r="D727" s="1"/>
      <c r="E727" t="s">
        <v>558</v>
      </c>
      <c r="F727" t="str">
        <f t="shared" si="11"/>
        <v>Active</v>
      </c>
    </row>
    <row r="728" spans="1:6" x14ac:dyDescent="0.2">
      <c r="A728" s="2">
        <v>727</v>
      </c>
      <c r="B728">
        <v>300</v>
      </c>
      <c r="C728" s="1">
        <v>46146</v>
      </c>
      <c r="D728" s="1"/>
      <c r="E728" t="s">
        <v>82</v>
      </c>
      <c r="F728" t="str">
        <f t="shared" si="11"/>
        <v>Active</v>
      </c>
    </row>
    <row r="729" spans="1:6" x14ac:dyDescent="0.2">
      <c r="A729" s="2">
        <v>728</v>
      </c>
      <c r="B729">
        <v>300</v>
      </c>
      <c r="C729" s="1">
        <v>46146</v>
      </c>
      <c r="D729" s="1"/>
      <c r="E729" t="s">
        <v>82</v>
      </c>
      <c r="F729" t="str">
        <f t="shared" si="11"/>
        <v>Active</v>
      </c>
    </row>
    <row r="730" spans="1:6" x14ac:dyDescent="0.2">
      <c r="A730" s="2">
        <v>729</v>
      </c>
      <c r="B730">
        <v>300</v>
      </c>
      <c r="C730" s="1">
        <v>46146</v>
      </c>
      <c r="D730" s="1"/>
      <c r="E730" t="s">
        <v>82</v>
      </c>
      <c r="F730" t="str">
        <f t="shared" si="11"/>
        <v>Active</v>
      </c>
    </row>
    <row r="731" spans="1:6" x14ac:dyDescent="0.2">
      <c r="A731" s="2">
        <v>730</v>
      </c>
      <c r="B731">
        <v>300</v>
      </c>
      <c r="C731" s="1">
        <v>46160</v>
      </c>
      <c r="D731" s="1"/>
      <c r="E731" t="s">
        <v>82</v>
      </c>
      <c r="F731" t="str">
        <f t="shared" si="11"/>
        <v>Active</v>
      </c>
    </row>
    <row r="732" spans="1:6" x14ac:dyDescent="0.2">
      <c r="A732" s="2">
        <v>731</v>
      </c>
      <c r="B732">
        <v>300</v>
      </c>
      <c r="C732" s="1">
        <v>46163</v>
      </c>
      <c r="D732" s="1"/>
      <c r="E732" t="s">
        <v>82</v>
      </c>
      <c r="F732" t="str">
        <f t="shared" si="11"/>
        <v>Active</v>
      </c>
    </row>
    <row r="733" spans="1:6" x14ac:dyDescent="0.2">
      <c r="A733" s="2">
        <v>732</v>
      </c>
      <c r="B733">
        <v>300</v>
      </c>
      <c r="C733" s="1">
        <v>46167</v>
      </c>
      <c r="D733" s="1"/>
      <c r="E733" t="s">
        <v>82</v>
      </c>
      <c r="F733" t="str">
        <f t="shared" si="11"/>
        <v>Active</v>
      </c>
    </row>
    <row r="734" spans="1:6" x14ac:dyDescent="0.2">
      <c r="A734" s="2">
        <v>733</v>
      </c>
      <c r="B734">
        <v>300</v>
      </c>
      <c r="C734" s="1">
        <v>46185</v>
      </c>
      <c r="D734" s="1"/>
      <c r="E734" t="s">
        <v>557</v>
      </c>
      <c r="F734" t="str">
        <f t="shared" si="11"/>
        <v>Active</v>
      </c>
    </row>
    <row r="735" spans="1:6" x14ac:dyDescent="0.2">
      <c r="A735" s="2">
        <v>734</v>
      </c>
      <c r="B735">
        <v>300</v>
      </c>
      <c r="C735" s="1">
        <v>46195</v>
      </c>
      <c r="D735" s="1"/>
      <c r="E735" t="s">
        <v>82</v>
      </c>
      <c r="F735" t="str">
        <f t="shared" si="11"/>
        <v>Active</v>
      </c>
    </row>
    <row r="736" spans="1:6" x14ac:dyDescent="0.2">
      <c r="A736" s="2">
        <v>735</v>
      </c>
      <c r="B736">
        <v>300</v>
      </c>
      <c r="C736" s="1">
        <v>46216</v>
      </c>
      <c r="D736" s="1"/>
      <c r="E736" t="s">
        <v>82</v>
      </c>
      <c r="F736" t="str">
        <f t="shared" si="11"/>
        <v>Active</v>
      </c>
    </row>
    <row r="737" spans="1:6" x14ac:dyDescent="0.2">
      <c r="A737" s="2">
        <v>736</v>
      </c>
      <c r="B737">
        <v>300</v>
      </c>
      <c r="C737" s="1">
        <v>46269</v>
      </c>
      <c r="D737" s="1"/>
      <c r="E737" t="s">
        <v>82</v>
      </c>
      <c r="F737" t="str">
        <f t="shared" si="11"/>
        <v>Active</v>
      </c>
    </row>
    <row r="738" spans="1:6" x14ac:dyDescent="0.2">
      <c r="A738" s="2">
        <v>737</v>
      </c>
      <c r="B738">
        <v>300</v>
      </c>
      <c r="C738" s="1">
        <v>46273</v>
      </c>
      <c r="D738" s="1"/>
      <c r="E738" t="s">
        <v>82</v>
      </c>
      <c r="F738" t="str">
        <f t="shared" si="11"/>
        <v>Active</v>
      </c>
    </row>
    <row r="739" spans="1:6" x14ac:dyDescent="0.2">
      <c r="A739" s="2">
        <v>738</v>
      </c>
      <c r="B739">
        <v>300</v>
      </c>
      <c r="C739" s="1">
        <v>46275</v>
      </c>
      <c r="D739" s="1"/>
      <c r="E739" t="s">
        <v>82</v>
      </c>
      <c r="F739" t="str">
        <f t="shared" si="11"/>
        <v>Active</v>
      </c>
    </row>
    <row r="740" spans="1:6" x14ac:dyDescent="0.2">
      <c r="A740" s="2">
        <v>739</v>
      </c>
      <c r="B740">
        <v>300</v>
      </c>
      <c r="C740" s="1">
        <v>46276</v>
      </c>
      <c r="D740" s="1"/>
      <c r="E740" t="s">
        <v>82</v>
      </c>
      <c r="F740" t="str">
        <f t="shared" si="11"/>
        <v>Active</v>
      </c>
    </row>
    <row r="741" spans="1:6" x14ac:dyDescent="0.2">
      <c r="A741" s="2">
        <v>740</v>
      </c>
      <c r="B741">
        <v>300</v>
      </c>
      <c r="C741" s="1">
        <v>46279</v>
      </c>
      <c r="D741" s="1"/>
      <c r="E741" t="s">
        <v>82</v>
      </c>
      <c r="F741" t="str">
        <f t="shared" si="11"/>
        <v>Active</v>
      </c>
    </row>
    <row r="742" spans="1:6" x14ac:dyDescent="0.2">
      <c r="A742" s="2">
        <v>741</v>
      </c>
      <c r="B742">
        <v>300</v>
      </c>
      <c r="C742" s="1">
        <v>46279</v>
      </c>
      <c r="D742" s="1"/>
      <c r="E742" t="s">
        <v>82</v>
      </c>
      <c r="F742" t="str">
        <f t="shared" si="11"/>
        <v>Active</v>
      </c>
    </row>
    <row r="743" spans="1:6" x14ac:dyDescent="0.2">
      <c r="A743" s="2">
        <v>742</v>
      </c>
      <c r="B743">
        <v>300</v>
      </c>
      <c r="C743" s="1">
        <v>46279</v>
      </c>
      <c r="D743" s="1"/>
      <c r="E743" t="s">
        <v>82</v>
      </c>
      <c r="F743" t="str">
        <f t="shared" si="11"/>
        <v>Active</v>
      </c>
    </row>
    <row r="744" spans="1:6" x14ac:dyDescent="0.2">
      <c r="A744" s="2">
        <v>743</v>
      </c>
      <c r="B744">
        <v>300</v>
      </c>
      <c r="C744" s="1">
        <v>46286</v>
      </c>
      <c r="D744" s="1"/>
      <c r="E744" t="s">
        <v>82</v>
      </c>
      <c r="F744" t="str">
        <f t="shared" si="11"/>
        <v>Active</v>
      </c>
    </row>
    <row r="745" spans="1:6" x14ac:dyDescent="0.2">
      <c r="A745" s="2">
        <v>744</v>
      </c>
      <c r="B745">
        <v>300</v>
      </c>
      <c r="C745" s="1">
        <v>46286</v>
      </c>
      <c r="D745" s="1"/>
      <c r="E745" t="s">
        <v>82</v>
      </c>
      <c r="F745" t="str">
        <f t="shared" si="11"/>
        <v>Active</v>
      </c>
    </row>
    <row r="746" spans="1:6" x14ac:dyDescent="0.2">
      <c r="A746" s="2">
        <v>745</v>
      </c>
      <c r="B746">
        <v>300</v>
      </c>
      <c r="C746" s="1">
        <v>46286</v>
      </c>
      <c r="D746" s="1"/>
      <c r="E746" t="s">
        <v>82</v>
      </c>
      <c r="F746" t="str">
        <f t="shared" si="11"/>
        <v>Active</v>
      </c>
    </row>
    <row r="747" spans="1:6" x14ac:dyDescent="0.2">
      <c r="A747" s="2">
        <v>746</v>
      </c>
      <c r="B747">
        <v>300</v>
      </c>
      <c r="C747" s="1">
        <v>46290</v>
      </c>
      <c r="D747" s="1"/>
      <c r="E747" t="s">
        <v>82</v>
      </c>
      <c r="F747" t="str">
        <f t="shared" si="11"/>
        <v>Active</v>
      </c>
    </row>
    <row r="748" spans="1:6" x14ac:dyDescent="0.2">
      <c r="A748" s="2">
        <v>747</v>
      </c>
      <c r="B748">
        <v>300</v>
      </c>
      <c r="C748" s="1">
        <v>46293</v>
      </c>
      <c r="D748" s="1"/>
      <c r="E748" t="s">
        <v>82</v>
      </c>
      <c r="F748" t="str">
        <f t="shared" si="11"/>
        <v>Active</v>
      </c>
    </row>
    <row r="749" spans="1:6" x14ac:dyDescent="0.2">
      <c r="A749" s="2">
        <v>748</v>
      </c>
      <c r="B749">
        <v>300</v>
      </c>
      <c r="C749" s="1">
        <v>46293</v>
      </c>
      <c r="D749" s="1"/>
      <c r="E749" t="s">
        <v>82</v>
      </c>
      <c r="F749" t="str">
        <f t="shared" si="11"/>
        <v>Active</v>
      </c>
    </row>
    <row r="750" spans="1:6" x14ac:dyDescent="0.2">
      <c r="A750" s="2">
        <v>749</v>
      </c>
      <c r="B750">
        <v>300</v>
      </c>
      <c r="C750" s="1">
        <v>46293</v>
      </c>
      <c r="D750" s="1"/>
      <c r="E750" t="s">
        <v>82</v>
      </c>
      <c r="F750" t="str">
        <f t="shared" si="11"/>
        <v>Active</v>
      </c>
    </row>
    <row r="751" spans="1:6" x14ac:dyDescent="0.2">
      <c r="A751" s="2">
        <v>750</v>
      </c>
      <c r="B751">
        <v>300</v>
      </c>
      <c r="C751" s="1">
        <v>46293</v>
      </c>
      <c r="D751" s="1"/>
      <c r="E751" t="s">
        <v>82</v>
      </c>
      <c r="F751" t="str">
        <f t="shared" si="11"/>
        <v>Active</v>
      </c>
    </row>
    <row r="752" spans="1:6" x14ac:dyDescent="0.2">
      <c r="A752" s="2">
        <v>751</v>
      </c>
      <c r="B752">
        <v>300</v>
      </c>
      <c r="C752" s="1">
        <v>46293</v>
      </c>
      <c r="D752" s="1"/>
      <c r="E752" t="s">
        <v>82</v>
      </c>
      <c r="F752" t="str">
        <f t="shared" si="11"/>
        <v>Active</v>
      </c>
    </row>
    <row r="753" spans="1:6" x14ac:dyDescent="0.2">
      <c r="A753" s="2">
        <v>752</v>
      </c>
      <c r="B753">
        <v>300</v>
      </c>
      <c r="C753" s="1">
        <v>46294</v>
      </c>
      <c r="D753" s="1"/>
      <c r="E753" t="s">
        <v>82</v>
      </c>
      <c r="F753" t="str">
        <f t="shared" si="11"/>
        <v>Active</v>
      </c>
    </row>
    <row r="754" spans="1:6" x14ac:dyDescent="0.2">
      <c r="A754" s="2">
        <v>753</v>
      </c>
      <c r="B754">
        <v>300</v>
      </c>
      <c r="C754" s="1">
        <v>46295</v>
      </c>
      <c r="D754" s="1"/>
      <c r="E754" t="s">
        <v>82</v>
      </c>
      <c r="F754" t="str">
        <f t="shared" si="11"/>
        <v>Active</v>
      </c>
    </row>
    <row r="755" spans="1:6" x14ac:dyDescent="0.2">
      <c r="A755" s="2">
        <v>754</v>
      </c>
      <c r="B755">
        <v>300</v>
      </c>
      <c r="C755" s="1">
        <v>46295</v>
      </c>
      <c r="D755" s="1"/>
      <c r="E755" t="s">
        <v>82</v>
      </c>
      <c r="F755" t="str">
        <f t="shared" si="11"/>
        <v>Active</v>
      </c>
    </row>
    <row r="756" spans="1:6" x14ac:dyDescent="0.2">
      <c r="A756" s="2">
        <v>755</v>
      </c>
      <c r="B756">
        <v>300</v>
      </c>
      <c r="C756" s="1">
        <v>46295</v>
      </c>
      <c r="D756" s="1"/>
      <c r="E756" t="s">
        <v>558</v>
      </c>
      <c r="F756" t="str">
        <f t="shared" si="11"/>
        <v>Active</v>
      </c>
    </row>
    <row r="757" spans="1:6" x14ac:dyDescent="0.2">
      <c r="A757" s="2">
        <v>756</v>
      </c>
      <c r="B757">
        <v>300</v>
      </c>
      <c r="C757" s="1">
        <v>46296</v>
      </c>
      <c r="D757" s="1"/>
      <c r="E757" t="s">
        <v>82</v>
      </c>
      <c r="F757" t="str">
        <f t="shared" si="11"/>
        <v>Active</v>
      </c>
    </row>
    <row r="758" spans="1:6" x14ac:dyDescent="0.2">
      <c r="A758" s="2">
        <v>757</v>
      </c>
      <c r="B758">
        <v>300</v>
      </c>
      <c r="C758" s="1">
        <v>46297</v>
      </c>
      <c r="D758" s="1"/>
      <c r="E758" t="s">
        <v>82</v>
      </c>
      <c r="F758" t="str">
        <f t="shared" si="11"/>
        <v>Active</v>
      </c>
    </row>
    <row r="759" spans="1:6" x14ac:dyDescent="0.2">
      <c r="A759" s="2">
        <v>758</v>
      </c>
      <c r="B759">
        <v>300</v>
      </c>
      <c r="C759" s="1">
        <v>46297</v>
      </c>
      <c r="D759" s="1"/>
      <c r="E759" t="s">
        <v>558</v>
      </c>
      <c r="F759" t="str">
        <f t="shared" si="11"/>
        <v>Active</v>
      </c>
    </row>
    <row r="760" spans="1:6" x14ac:dyDescent="0.2">
      <c r="A760" s="2">
        <v>759</v>
      </c>
      <c r="B760">
        <v>300</v>
      </c>
      <c r="C760" s="1">
        <v>46297</v>
      </c>
      <c r="D760" s="1"/>
      <c r="E760" t="s">
        <v>82</v>
      </c>
      <c r="F760" t="str">
        <f t="shared" si="11"/>
        <v>Active</v>
      </c>
    </row>
    <row r="761" spans="1:6" x14ac:dyDescent="0.2">
      <c r="A761" s="2">
        <v>760</v>
      </c>
      <c r="B761">
        <v>300</v>
      </c>
      <c r="C761" s="1">
        <v>46297</v>
      </c>
      <c r="D761" s="1"/>
      <c r="E761" t="s">
        <v>82</v>
      </c>
      <c r="F761" t="str">
        <f t="shared" si="11"/>
        <v>Active</v>
      </c>
    </row>
    <row r="762" spans="1:6" x14ac:dyDescent="0.2">
      <c r="A762" s="2">
        <v>761</v>
      </c>
      <c r="B762">
        <v>300</v>
      </c>
      <c r="C762" s="1">
        <v>46300</v>
      </c>
      <c r="D762" s="1"/>
      <c r="E762" t="s">
        <v>82</v>
      </c>
      <c r="F762" t="str">
        <f t="shared" si="11"/>
        <v>Active</v>
      </c>
    </row>
    <row r="763" spans="1:6" x14ac:dyDescent="0.2">
      <c r="A763" s="2">
        <v>762</v>
      </c>
      <c r="B763">
        <v>300</v>
      </c>
      <c r="C763" s="1">
        <v>46300</v>
      </c>
      <c r="D763" s="1"/>
      <c r="E763" t="s">
        <v>558</v>
      </c>
      <c r="F763" t="str">
        <f t="shared" si="11"/>
        <v>Active</v>
      </c>
    </row>
    <row r="764" spans="1:6" x14ac:dyDescent="0.2">
      <c r="A764" s="2">
        <v>763</v>
      </c>
      <c r="B764">
        <v>300</v>
      </c>
      <c r="C764" s="1">
        <v>46300</v>
      </c>
      <c r="D764" s="1"/>
      <c r="E764" t="s">
        <v>82</v>
      </c>
      <c r="F764" t="str">
        <f t="shared" si="11"/>
        <v>Active</v>
      </c>
    </row>
    <row r="765" spans="1:6" x14ac:dyDescent="0.2">
      <c r="A765" s="2">
        <v>764</v>
      </c>
      <c r="B765">
        <v>300</v>
      </c>
      <c r="C765" s="1">
        <v>46300</v>
      </c>
      <c r="D765" s="1"/>
      <c r="E765" t="s">
        <v>82</v>
      </c>
      <c r="F765" t="str">
        <f t="shared" si="11"/>
        <v>Active</v>
      </c>
    </row>
    <row r="766" spans="1:6" x14ac:dyDescent="0.2">
      <c r="A766" s="2">
        <v>765</v>
      </c>
      <c r="B766">
        <v>300</v>
      </c>
      <c r="C766" s="1">
        <v>46300</v>
      </c>
      <c r="D766" s="1"/>
      <c r="E766" t="s">
        <v>82</v>
      </c>
      <c r="F766" t="str">
        <f t="shared" si="11"/>
        <v>Active</v>
      </c>
    </row>
    <row r="767" spans="1:6" x14ac:dyDescent="0.2">
      <c r="A767" s="2">
        <v>766</v>
      </c>
      <c r="B767">
        <v>300</v>
      </c>
      <c r="C767" s="1">
        <v>46300</v>
      </c>
      <c r="D767" s="1"/>
      <c r="E767" t="s">
        <v>558</v>
      </c>
      <c r="F767" t="str">
        <f t="shared" si="11"/>
        <v>Active</v>
      </c>
    </row>
    <row r="768" spans="1:6" x14ac:dyDescent="0.2">
      <c r="A768" s="2">
        <v>767</v>
      </c>
      <c r="B768">
        <v>300</v>
      </c>
      <c r="C768" s="1">
        <v>46300</v>
      </c>
      <c r="D768" s="1"/>
      <c r="E768" t="s">
        <v>82</v>
      </c>
      <c r="F768" t="str">
        <f t="shared" si="11"/>
        <v>Active</v>
      </c>
    </row>
    <row r="769" spans="1:6" x14ac:dyDescent="0.2">
      <c r="A769" s="2">
        <v>768</v>
      </c>
      <c r="B769">
        <v>300</v>
      </c>
      <c r="C769" s="1">
        <v>46300</v>
      </c>
      <c r="D769" s="1"/>
      <c r="E769" t="s">
        <v>558</v>
      </c>
      <c r="F769" t="str">
        <f t="shared" si="11"/>
        <v>Active</v>
      </c>
    </row>
    <row r="770" spans="1:6" x14ac:dyDescent="0.2">
      <c r="A770" s="2">
        <v>769</v>
      </c>
      <c r="B770">
        <v>300</v>
      </c>
      <c r="C770" s="1">
        <v>46300</v>
      </c>
      <c r="D770" s="1"/>
      <c r="E770" t="s">
        <v>82</v>
      </c>
      <c r="F770" t="str">
        <f t="shared" si="11"/>
        <v>Active</v>
      </c>
    </row>
    <row r="771" spans="1:6" x14ac:dyDescent="0.2">
      <c r="A771" s="2">
        <v>770</v>
      </c>
      <c r="B771">
        <v>300</v>
      </c>
      <c r="C771" s="1">
        <v>46300</v>
      </c>
      <c r="D771" s="1"/>
      <c r="E771" t="s">
        <v>82</v>
      </c>
      <c r="F771" t="str">
        <f t="shared" ref="F771:F834" si="12">IF(D771="","Active","Terminated")</f>
        <v>Active</v>
      </c>
    </row>
    <row r="772" spans="1:6" x14ac:dyDescent="0.2">
      <c r="A772" s="2">
        <v>771</v>
      </c>
      <c r="B772">
        <v>300</v>
      </c>
      <c r="C772" s="1">
        <v>46300</v>
      </c>
      <c r="D772" s="1"/>
      <c r="E772" t="s">
        <v>82</v>
      </c>
      <c r="F772" t="str">
        <f t="shared" si="12"/>
        <v>Active</v>
      </c>
    </row>
    <row r="773" spans="1:6" x14ac:dyDescent="0.2">
      <c r="A773" s="2">
        <v>772</v>
      </c>
      <c r="B773">
        <v>300</v>
      </c>
      <c r="C773" s="1">
        <v>46300</v>
      </c>
      <c r="D773" s="1"/>
      <c r="E773" t="s">
        <v>82</v>
      </c>
      <c r="F773" t="str">
        <f t="shared" si="12"/>
        <v>Active</v>
      </c>
    </row>
    <row r="774" spans="1:6" x14ac:dyDescent="0.2">
      <c r="A774" s="2">
        <v>773</v>
      </c>
      <c r="B774">
        <v>300</v>
      </c>
      <c r="C774" s="1">
        <v>46300</v>
      </c>
      <c r="D774" s="1"/>
      <c r="E774" t="s">
        <v>558</v>
      </c>
      <c r="F774" t="str">
        <f t="shared" si="12"/>
        <v>Active</v>
      </c>
    </row>
    <row r="775" spans="1:6" x14ac:dyDescent="0.2">
      <c r="A775" s="2">
        <v>774</v>
      </c>
      <c r="B775">
        <v>300</v>
      </c>
      <c r="C775" s="1">
        <v>46300</v>
      </c>
      <c r="D775" s="1"/>
      <c r="E775" t="s">
        <v>558</v>
      </c>
      <c r="F775" t="str">
        <f t="shared" si="12"/>
        <v>Active</v>
      </c>
    </row>
    <row r="776" spans="1:6" x14ac:dyDescent="0.2">
      <c r="A776" s="2">
        <v>775</v>
      </c>
      <c r="B776">
        <v>300</v>
      </c>
      <c r="C776" s="1">
        <v>46300</v>
      </c>
      <c r="D776" s="1"/>
      <c r="E776" t="s">
        <v>82</v>
      </c>
      <c r="F776" t="str">
        <f t="shared" si="12"/>
        <v>Active</v>
      </c>
    </row>
    <row r="777" spans="1:6" x14ac:dyDescent="0.2">
      <c r="A777" s="2">
        <v>776</v>
      </c>
      <c r="B777">
        <v>300</v>
      </c>
      <c r="C777" s="1">
        <v>46300</v>
      </c>
      <c r="D777" s="1"/>
      <c r="E777" t="s">
        <v>82</v>
      </c>
      <c r="F777" t="str">
        <f t="shared" si="12"/>
        <v>Active</v>
      </c>
    </row>
    <row r="778" spans="1:6" x14ac:dyDescent="0.2">
      <c r="A778" s="2">
        <v>777</v>
      </c>
      <c r="B778">
        <v>300</v>
      </c>
      <c r="C778" s="1">
        <v>46300</v>
      </c>
      <c r="D778" s="1"/>
      <c r="E778" t="s">
        <v>557</v>
      </c>
      <c r="F778" t="str">
        <f t="shared" si="12"/>
        <v>Active</v>
      </c>
    </row>
    <row r="779" spans="1:6" x14ac:dyDescent="0.2">
      <c r="A779" s="2">
        <v>778</v>
      </c>
      <c r="B779">
        <v>300</v>
      </c>
      <c r="C779" s="1">
        <v>46300</v>
      </c>
      <c r="D779" s="1"/>
      <c r="E779" t="s">
        <v>558</v>
      </c>
      <c r="F779" t="str">
        <f t="shared" si="12"/>
        <v>Active</v>
      </c>
    </row>
    <row r="780" spans="1:6" x14ac:dyDescent="0.2">
      <c r="A780" s="2">
        <v>779</v>
      </c>
      <c r="B780">
        <v>300</v>
      </c>
      <c r="C780" s="1">
        <v>46300</v>
      </c>
      <c r="D780" s="1"/>
      <c r="E780" t="s">
        <v>82</v>
      </c>
      <c r="F780" t="str">
        <f t="shared" si="12"/>
        <v>Active</v>
      </c>
    </row>
    <row r="781" spans="1:6" x14ac:dyDescent="0.2">
      <c r="A781" s="2">
        <v>780</v>
      </c>
      <c r="B781">
        <v>300</v>
      </c>
      <c r="C781" s="1">
        <v>46300</v>
      </c>
      <c r="D781" s="1"/>
      <c r="E781" t="s">
        <v>82</v>
      </c>
      <c r="F781" t="str">
        <f t="shared" si="12"/>
        <v>Active</v>
      </c>
    </row>
    <row r="782" spans="1:6" x14ac:dyDescent="0.2">
      <c r="A782" s="2">
        <v>781</v>
      </c>
      <c r="B782">
        <v>300</v>
      </c>
      <c r="C782" s="1">
        <v>46300</v>
      </c>
      <c r="D782" s="1"/>
      <c r="E782" t="s">
        <v>82</v>
      </c>
      <c r="F782" t="str">
        <f t="shared" si="12"/>
        <v>Active</v>
      </c>
    </row>
    <row r="783" spans="1:6" x14ac:dyDescent="0.2">
      <c r="A783" s="2">
        <v>782</v>
      </c>
      <c r="B783">
        <v>300</v>
      </c>
      <c r="C783" s="1">
        <v>46300</v>
      </c>
      <c r="D783" s="1"/>
      <c r="E783" t="s">
        <v>558</v>
      </c>
      <c r="F783" t="str">
        <f t="shared" si="12"/>
        <v>Active</v>
      </c>
    </row>
    <row r="784" spans="1:6" x14ac:dyDescent="0.2">
      <c r="A784" s="2">
        <v>783</v>
      </c>
      <c r="B784">
        <v>400</v>
      </c>
      <c r="C784" s="1">
        <v>44068</v>
      </c>
      <c r="D784" s="1"/>
      <c r="E784" t="s">
        <v>82</v>
      </c>
      <c r="F784" t="str">
        <f t="shared" si="12"/>
        <v>Active</v>
      </c>
    </row>
    <row r="785" spans="1:6" x14ac:dyDescent="0.2">
      <c r="A785" s="2">
        <v>784</v>
      </c>
      <c r="B785">
        <v>400</v>
      </c>
      <c r="C785" s="1">
        <v>44124</v>
      </c>
      <c r="D785" s="1">
        <v>44635</v>
      </c>
      <c r="E785" t="s">
        <v>82</v>
      </c>
      <c r="F785" t="str">
        <f t="shared" si="12"/>
        <v>Terminated</v>
      </c>
    </row>
    <row r="786" spans="1:6" x14ac:dyDescent="0.2">
      <c r="A786" s="2">
        <v>785</v>
      </c>
      <c r="B786">
        <v>400</v>
      </c>
      <c r="C786" s="1">
        <v>44167</v>
      </c>
      <c r="D786" s="1">
        <v>45449</v>
      </c>
      <c r="E786" t="s">
        <v>82</v>
      </c>
      <c r="F786" t="str">
        <f t="shared" si="12"/>
        <v>Terminated</v>
      </c>
    </row>
    <row r="787" spans="1:6" x14ac:dyDescent="0.2">
      <c r="A787" s="2">
        <v>786</v>
      </c>
      <c r="B787">
        <v>400</v>
      </c>
      <c r="C787" s="1">
        <v>44221</v>
      </c>
      <c r="D787" s="1">
        <v>44487</v>
      </c>
      <c r="E787" t="s">
        <v>82</v>
      </c>
      <c r="F787" t="str">
        <f t="shared" si="12"/>
        <v>Terminated</v>
      </c>
    </row>
    <row r="788" spans="1:6" x14ac:dyDescent="0.2">
      <c r="A788" s="2">
        <v>787</v>
      </c>
      <c r="B788">
        <v>400</v>
      </c>
      <c r="C788" s="1">
        <v>44244</v>
      </c>
      <c r="D788" s="1">
        <v>44635</v>
      </c>
      <c r="E788" t="s">
        <v>82</v>
      </c>
      <c r="F788" t="str">
        <f t="shared" si="12"/>
        <v>Terminated</v>
      </c>
    </row>
    <row r="789" spans="1:6" x14ac:dyDescent="0.2">
      <c r="A789" s="2">
        <v>788</v>
      </c>
      <c r="B789">
        <v>400</v>
      </c>
      <c r="C789" s="1">
        <v>44313</v>
      </c>
      <c r="D789" s="1">
        <v>46015</v>
      </c>
      <c r="E789" t="s">
        <v>82</v>
      </c>
      <c r="F789" t="str">
        <f t="shared" si="12"/>
        <v>Terminated</v>
      </c>
    </row>
    <row r="790" spans="1:6" x14ac:dyDescent="0.2">
      <c r="A790" s="2">
        <v>789</v>
      </c>
      <c r="B790">
        <v>400</v>
      </c>
      <c r="C790" s="1">
        <v>44418</v>
      </c>
      <c r="D790" s="1">
        <v>44650</v>
      </c>
      <c r="E790" t="s">
        <v>82</v>
      </c>
      <c r="F790" t="str">
        <f t="shared" si="12"/>
        <v>Terminated</v>
      </c>
    </row>
    <row r="791" spans="1:6" x14ac:dyDescent="0.2">
      <c r="A791" s="2">
        <v>790</v>
      </c>
      <c r="B791">
        <v>400</v>
      </c>
      <c r="C791" s="1">
        <v>44435</v>
      </c>
      <c r="D791" s="1">
        <v>44840</v>
      </c>
      <c r="E791" t="s">
        <v>82</v>
      </c>
      <c r="F791" t="str">
        <f t="shared" si="12"/>
        <v>Terminated</v>
      </c>
    </row>
    <row r="792" spans="1:6" x14ac:dyDescent="0.2">
      <c r="A792" s="2">
        <v>791</v>
      </c>
      <c r="B792">
        <v>400</v>
      </c>
      <c r="C792" s="1">
        <v>44454</v>
      </c>
      <c r="D792" s="1">
        <v>45240</v>
      </c>
      <c r="E792" t="s">
        <v>82</v>
      </c>
      <c r="F792" t="str">
        <f t="shared" si="12"/>
        <v>Terminated</v>
      </c>
    </row>
    <row r="793" spans="1:6" x14ac:dyDescent="0.2">
      <c r="A793" s="2">
        <v>792</v>
      </c>
      <c r="B793">
        <v>400</v>
      </c>
      <c r="C793" s="1">
        <v>44501</v>
      </c>
      <c r="D793" s="1">
        <v>45042</v>
      </c>
      <c r="E793" t="s">
        <v>82</v>
      </c>
      <c r="F793" t="str">
        <f t="shared" si="12"/>
        <v>Terminated</v>
      </c>
    </row>
    <row r="794" spans="1:6" x14ac:dyDescent="0.2">
      <c r="A794" s="2">
        <v>793</v>
      </c>
      <c r="B794">
        <v>400</v>
      </c>
      <c r="C794" s="1">
        <v>44648</v>
      </c>
      <c r="D794" s="1">
        <v>45194</v>
      </c>
      <c r="E794" t="s">
        <v>82</v>
      </c>
      <c r="F794" t="str">
        <f t="shared" si="12"/>
        <v>Terminated</v>
      </c>
    </row>
    <row r="795" spans="1:6" x14ac:dyDescent="0.2">
      <c r="A795" s="2">
        <v>794</v>
      </c>
      <c r="B795">
        <v>400</v>
      </c>
      <c r="C795" s="1">
        <v>44683</v>
      </c>
      <c r="D795" s="1">
        <v>44743</v>
      </c>
      <c r="E795" t="s">
        <v>82</v>
      </c>
      <c r="F795" t="str">
        <f t="shared" si="12"/>
        <v>Terminated</v>
      </c>
    </row>
    <row r="796" spans="1:6" x14ac:dyDescent="0.2">
      <c r="A796" s="2">
        <v>795</v>
      </c>
      <c r="B796">
        <v>400</v>
      </c>
      <c r="C796" s="1">
        <v>44755</v>
      </c>
      <c r="D796" s="1">
        <v>45236</v>
      </c>
      <c r="E796" t="s">
        <v>82</v>
      </c>
      <c r="F796" t="str">
        <f t="shared" si="12"/>
        <v>Terminated</v>
      </c>
    </row>
    <row r="797" spans="1:6" x14ac:dyDescent="0.2">
      <c r="A797" s="2">
        <v>796</v>
      </c>
      <c r="B797">
        <v>400</v>
      </c>
      <c r="C797" s="1">
        <v>44896</v>
      </c>
      <c r="D797" s="1">
        <v>46077</v>
      </c>
      <c r="E797" t="s">
        <v>557</v>
      </c>
      <c r="F797" t="str">
        <f t="shared" si="12"/>
        <v>Terminated</v>
      </c>
    </row>
    <row r="798" spans="1:6" x14ac:dyDescent="0.2">
      <c r="A798" s="2">
        <v>797</v>
      </c>
      <c r="B798">
        <v>400</v>
      </c>
      <c r="C798" s="1">
        <v>44943</v>
      </c>
      <c r="D798" s="1">
        <v>45642</v>
      </c>
      <c r="E798" t="s">
        <v>82</v>
      </c>
      <c r="F798" t="str">
        <f t="shared" si="12"/>
        <v>Terminated</v>
      </c>
    </row>
    <row r="799" spans="1:6" x14ac:dyDescent="0.2">
      <c r="A799" s="2">
        <v>798</v>
      </c>
      <c r="B799">
        <v>400</v>
      </c>
      <c r="C799" s="1">
        <v>45050</v>
      </c>
      <c r="D799" s="1">
        <v>45310</v>
      </c>
      <c r="E799" t="s">
        <v>82</v>
      </c>
      <c r="F799" t="str">
        <f t="shared" si="12"/>
        <v>Terminated</v>
      </c>
    </row>
    <row r="800" spans="1:6" x14ac:dyDescent="0.2">
      <c r="A800" s="2">
        <v>799</v>
      </c>
      <c r="B800">
        <v>400</v>
      </c>
      <c r="C800" s="1">
        <v>45250</v>
      </c>
      <c r="D800" s="1">
        <v>45649</v>
      </c>
      <c r="E800" t="s">
        <v>82</v>
      </c>
      <c r="F800" t="str">
        <f t="shared" si="12"/>
        <v>Terminated</v>
      </c>
    </row>
    <row r="801" spans="1:6" x14ac:dyDescent="0.2">
      <c r="A801" s="2">
        <v>800</v>
      </c>
      <c r="B801">
        <v>400</v>
      </c>
      <c r="C801" s="1">
        <v>45254</v>
      </c>
      <c r="D801" s="1"/>
      <c r="E801" t="s">
        <v>82</v>
      </c>
      <c r="F801" t="str">
        <f t="shared" si="12"/>
        <v>Active</v>
      </c>
    </row>
    <row r="802" spans="1:6" x14ac:dyDescent="0.2">
      <c r="A802" s="2">
        <v>801</v>
      </c>
      <c r="B802">
        <v>400</v>
      </c>
      <c r="C802" s="1">
        <v>45358</v>
      </c>
      <c r="D802" s="1">
        <v>46048</v>
      </c>
      <c r="E802" t="s">
        <v>82</v>
      </c>
      <c r="F802" t="str">
        <f t="shared" si="12"/>
        <v>Terminated</v>
      </c>
    </row>
    <row r="803" spans="1:6" x14ac:dyDescent="0.2">
      <c r="A803" s="2">
        <v>802</v>
      </c>
      <c r="B803">
        <v>400</v>
      </c>
      <c r="C803" s="1">
        <v>45362</v>
      </c>
      <c r="D803" s="1">
        <v>46016</v>
      </c>
      <c r="E803" t="s">
        <v>82</v>
      </c>
      <c r="F803" t="str">
        <f t="shared" si="12"/>
        <v>Terminated</v>
      </c>
    </row>
    <row r="804" spans="1:6" x14ac:dyDescent="0.2">
      <c r="A804" s="2">
        <v>803</v>
      </c>
      <c r="B804">
        <v>400</v>
      </c>
      <c r="C804" s="1">
        <v>45383</v>
      </c>
      <c r="D804" s="1">
        <v>46169</v>
      </c>
      <c r="E804" t="s">
        <v>82</v>
      </c>
      <c r="F804" t="str">
        <f t="shared" si="12"/>
        <v>Terminated</v>
      </c>
    </row>
    <row r="805" spans="1:6" x14ac:dyDescent="0.2">
      <c r="A805" s="2">
        <v>804</v>
      </c>
      <c r="B805">
        <v>400</v>
      </c>
      <c r="C805" s="1">
        <v>45439</v>
      </c>
      <c r="D805" s="1">
        <v>45723</v>
      </c>
      <c r="E805" t="s">
        <v>82</v>
      </c>
      <c r="F805" t="str">
        <f t="shared" si="12"/>
        <v>Terminated</v>
      </c>
    </row>
    <row r="806" spans="1:6" x14ac:dyDescent="0.2">
      <c r="A806" s="2">
        <v>805</v>
      </c>
      <c r="B806">
        <v>400</v>
      </c>
      <c r="C806" s="1">
        <v>45554</v>
      </c>
      <c r="D806" s="1">
        <v>46251</v>
      </c>
      <c r="E806" t="s">
        <v>82</v>
      </c>
      <c r="F806" t="str">
        <f t="shared" si="12"/>
        <v>Terminated</v>
      </c>
    </row>
    <row r="807" spans="1:6" x14ac:dyDescent="0.2">
      <c r="A807" s="2">
        <v>806</v>
      </c>
      <c r="B807">
        <v>400</v>
      </c>
      <c r="C807" s="1">
        <v>45608</v>
      </c>
      <c r="D807" s="1">
        <v>46188</v>
      </c>
      <c r="E807" t="s">
        <v>82</v>
      </c>
      <c r="F807" t="str">
        <f t="shared" si="12"/>
        <v>Terminated</v>
      </c>
    </row>
    <row r="808" spans="1:6" x14ac:dyDescent="0.2">
      <c r="A808" s="2">
        <v>807</v>
      </c>
      <c r="B808">
        <v>400</v>
      </c>
      <c r="C808" s="1">
        <v>45986</v>
      </c>
      <c r="D808" s="1"/>
      <c r="E808" t="s">
        <v>82</v>
      </c>
      <c r="F808" t="str">
        <f t="shared" si="12"/>
        <v>Active</v>
      </c>
    </row>
    <row r="809" spans="1:6" x14ac:dyDescent="0.2">
      <c r="A809" s="2">
        <v>808</v>
      </c>
      <c r="B809">
        <v>400</v>
      </c>
      <c r="C809" s="1">
        <v>45992</v>
      </c>
      <c r="D809" s="1"/>
      <c r="E809" t="s">
        <v>82</v>
      </c>
      <c r="F809" t="str">
        <f t="shared" si="12"/>
        <v>Active</v>
      </c>
    </row>
    <row r="810" spans="1:6" x14ac:dyDescent="0.2">
      <c r="A810" s="2">
        <v>809</v>
      </c>
      <c r="B810">
        <v>400</v>
      </c>
      <c r="C810" s="1">
        <v>46013</v>
      </c>
      <c r="D810" s="1"/>
      <c r="E810" t="s">
        <v>82</v>
      </c>
      <c r="F810" t="str">
        <f t="shared" si="12"/>
        <v>Active</v>
      </c>
    </row>
    <row r="811" spans="1:6" x14ac:dyDescent="0.2">
      <c r="A811" s="2">
        <v>810</v>
      </c>
      <c r="B811">
        <v>400</v>
      </c>
      <c r="C811" s="1">
        <v>46062</v>
      </c>
      <c r="D811" s="1">
        <v>46279</v>
      </c>
      <c r="E811" t="s">
        <v>82</v>
      </c>
      <c r="F811" t="str">
        <f t="shared" si="12"/>
        <v>Terminated</v>
      </c>
    </row>
    <row r="812" spans="1:6" x14ac:dyDescent="0.2">
      <c r="A812" s="2">
        <v>811</v>
      </c>
      <c r="B812">
        <v>400</v>
      </c>
      <c r="C812" s="1">
        <v>46062</v>
      </c>
      <c r="D812" s="1"/>
      <c r="E812" t="s">
        <v>82</v>
      </c>
      <c r="F812" t="str">
        <f t="shared" si="12"/>
        <v>Active</v>
      </c>
    </row>
    <row r="813" spans="1:6" x14ac:dyDescent="0.2">
      <c r="A813" s="2">
        <v>812</v>
      </c>
      <c r="B813">
        <v>400</v>
      </c>
      <c r="C813" s="1">
        <v>46066</v>
      </c>
      <c r="D813" s="1"/>
      <c r="E813" t="s">
        <v>82</v>
      </c>
      <c r="F813" t="str">
        <f t="shared" si="12"/>
        <v>Active</v>
      </c>
    </row>
    <row r="814" spans="1:6" x14ac:dyDescent="0.2">
      <c r="A814" s="2">
        <v>813</v>
      </c>
      <c r="B814">
        <v>400</v>
      </c>
      <c r="C814" s="1">
        <v>46076</v>
      </c>
      <c r="D814" s="1"/>
      <c r="E814" t="s">
        <v>82</v>
      </c>
      <c r="F814" t="str">
        <f t="shared" si="12"/>
        <v>Active</v>
      </c>
    </row>
    <row r="815" spans="1:6" x14ac:dyDescent="0.2">
      <c r="A815" s="2">
        <v>814</v>
      </c>
      <c r="B815">
        <v>400</v>
      </c>
      <c r="C815" s="1">
        <v>46097</v>
      </c>
      <c r="D815" s="1"/>
      <c r="E815" t="s">
        <v>82</v>
      </c>
      <c r="F815" t="str">
        <f t="shared" si="12"/>
        <v>Active</v>
      </c>
    </row>
    <row r="816" spans="1:6" x14ac:dyDescent="0.2">
      <c r="A816" s="2">
        <v>815</v>
      </c>
      <c r="B816">
        <v>400</v>
      </c>
      <c r="C816" s="1">
        <v>46125</v>
      </c>
      <c r="D816" s="1"/>
      <c r="E816" t="s">
        <v>82</v>
      </c>
      <c r="F816" t="str">
        <f t="shared" si="12"/>
        <v>Active</v>
      </c>
    </row>
    <row r="817" spans="1:6" x14ac:dyDescent="0.2">
      <c r="A817" s="2">
        <v>816</v>
      </c>
      <c r="B817">
        <v>400</v>
      </c>
      <c r="C817" s="1">
        <v>46132</v>
      </c>
      <c r="D817" s="1"/>
      <c r="E817" t="s">
        <v>82</v>
      </c>
      <c r="F817" t="str">
        <f t="shared" si="12"/>
        <v>Active</v>
      </c>
    </row>
    <row r="818" spans="1:6" x14ac:dyDescent="0.2">
      <c r="A818" s="2">
        <v>817</v>
      </c>
      <c r="B818">
        <v>400</v>
      </c>
      <c r="C818" s="1">
        <v>46136</v>
      </c>
      <c r="D818" s="1"/>
      <c r="E818" t="s">
        <v>82</v>
      </c>
      <c r="F818" t="str">
        <f t="shared" si="12"/>
        <v>Active</v>
      </c>
    </row>
    <row r="819" spans="1:6" x14ac:dyDescent="0.2">
      <c r="A819" s="2">
        <v>818</v>
      </c>
      <c r="B819">
        <v>400</v>
      </c>
      <c r="C819" s="1">
        <v>46146</v>
      </c>
      <c r="D819" s="1"/>
      <c r="E819" t="s">
        <v>82</v>
      </c>
      <c r="F819" t="str">
        <f t="shared" si="12"/>
        <v>Active</v>
      </c>
    </row>
    <row r="820" spans="1:6" x14ac:dyDescent="0.2">
      <c r="A820" s="2">
        <v>819</v>
      </c>
      <c r="B820">
        <v>400</v>
      </c>
      <c r="C820" s="1">
        <v>46148</v>
      </c>
      <c r="D820" s="1"/>
      <c r="E820" t="s">
        <v>82</v>
      </c>
      <c r="F820" t="str">
        <f t="shared" si="12"/>
        <v>Active</v>
      </c>
    </row>
    <row r="821" spans="1:6" x14ac:dyDescent="0.2">
      <c r="A821" s="2">
        <v>820</v>
      </c>
      <c r="B821">
        <v>400</v>
      </c>
      <c r="C821" s="1">
        <v>46154</v>
      </c>
      <c r="D821" s="1"/>
      <c r="E821" t="s">
        <v>82</v>
      </c>
      <c r="F821" t="str">
        <f t="shared" si="12"/>
        <v>Active</v>
      </c>
    </row>
    <row r="822" spans="1:6" x14ac:dyDescent="0.2">
      <c r="A822" s="2">
        <v>821</v>
      </c>
      <c r="B822">
        <v>400</v>
      </c>
      <c r="C822" s="1">
        <v>46157</v>
      </c>
      <c r="D822" s="1"/>
      <c r="E822" t="s">
        <v>82</v>
      </c>
      <c r="F822" t="str">
        <f t="shared" si="12"/>
        <v>Active</v>
      </c>
    </row>
    <row r="823" spans="1:6" x14ac:dyDescent="0.2">
      <c r="A823" s="2">
        <v>822</v>
      </c>
      <c r="B823">
        <v>400</v>
      </c>
      <c r="C823" s="1">
        <v>46160</v>
      </c>
      <c r="D823" s="1"/>
      <c r="E823" t="s">
        <v>82</v>
      </c>
      <c r="F823" t="str">
        <f t="shared" si="12"/>
        <v>Active</v>
      </c>
    </row>
    <row r="824" spans="1:6" x14ac:dyDescent="0.2">
      <c r="A824" s="2">
        <v>823</v>
      </c>
      <c r="B824">
        <v>400</v>
      </c>
      <c r="C824" s="1">
        <v>46160</v>
      </c>
      <c r="D824" s="1"/>
      <c r="E824" t="s">
        <v>557</v>
      </c>
      <c r="F824" t="str">
        <f t="shared" si="12"/>
        <v>Active</v>
      </c>
    </row>
    <row r="825" spans="1:6" x14ac:dyDescent="0.2">
      <c r="A825" s="2">
        <v>824</v>
      </c>
      <c r="B825">
        <v>400</v>
      </c>
      <c r="C825" s="1">
        <v>46167</v>
      </c>
      <c r="D825" s="1"/>
      <c r="E825" t="s">
        <v>82</v>
      </c>
      <c r="F825" t="str">
        <f t="shared" si="12"/>
        <v>Active</v>
      </c>
    </row>
    <row r="826" spans="1:6" x14ac:dyDescent="0.2">
      <c r="A826" s="2">
        <v>825</v>
      </c>
      <c r="B826">
        <v>400</v>
      </c>
      <c r="C826" s="1">
        <v>46174</v>
      </c>
      <c r="D826" s="1"/>
      <c r="E826" t="s">
        <v>557</v>
      </c>
      <c r="F826" t="str">
        <f t="shared" si="12"/>
        <v>Active</v>
      </c>
    </row>
    <row r="827" spans="1:6" x14ac:dyDescent="0.2">
      <c r="A827" s="2">
        <v>826</v>
      </c>
      <c r="B827">
        <v>400</v>
      </c>
      <c r="C827" s="1">
        <v>46181</v>
      </c>
      <c r="D827" s="1"/>
      <c r="E827" t="s">
        <v>82</v>
      </c>
      <c r="F827" t="str">
        <f t="shared" si="12"/>
        <v>Active</v>
      </c>
    </row>
    <row r="828" spans="1:6" x14ac:dyDescent="0.2">
      <c r="A828" s="2">
        <v>827</v>
      </c>
      <c r="B828">
        <v>400</v>
      </c>
      <c r="C828" s="1">
        <v>46183</v>
      </c>
      <c r="D828" s="1"/>
      <c r="E828" t="s">
        <v>82</v>
      </c>
      <c r="F828" t="str">
        <f t="shared" si="12"/>
        <v>Active</v>
      </c>
    </row>
    <row r="829" spans="1:6" x14ac:dyDescent="0.2">
      <c r="A829" s="2">
        <v>828</v>
      </c>
      <c r="B829">
        <v>400</v>
      </c>
      <c r="C829" s="1">
        <v>46183</v>
      </c>
      <c r="D829" s="1"/>
      <c r="E829" t="s">
        <v>82</v>
      </c>
      <c r="F829" t="str">
        <f t="shared" si="12"/>
        <v>Active</v>
      </c>
    </row>
    <row r="830" spans="1:6" x14ac:dyDescent="0.2">
      <c r="A830" s="2">
        <v>829</v>
      </c>
      <c r="B830">
        <v>400</v>
      </c>
      <c r="C830" s="1">
        <v>46189</v>
      </c>
      <c r="D830" s="1"/>
      <c r="E830" t="s">
        <v>82</v>
      </c>
      <c r="F830" t="str">
        <f t="shared" si="12"/>
        <v>Active</v>
      </c>
    </row>
    <row r="831" spans="1:6" x14ac:dyDescent="0.2">
      <c r="A831" s="2">
        <v>830</v>
      </c>
      <c r="B831">
        <v>400</v>
      </c>
      <c r="C831" s="1">
        <v>46195</v>
      </c>
      <c r="D831" s="1"/>
      <c r="E831" t="s">
        <v>82</v>
      </c>
      <c r="F831" t="str">
        <f t="shared" si="12"/>
        <v>Active</v>
      </c>
    </row>
    <row r="832" spans="1:6" x14ac:dyDescent="0.2">
      <c r="A832" s="2">
        <v>831</v>
      </c>
      <c r="B832">
        <v>400</v>
      </c>
      <c r="C832" s="1">
        <v>46197</v>
      </c>
      <c r="D832" s="1"/>
      <c r="E832" t="s">
        <v>82</v>
      </c>
      <c r="F832" t="str">
        <f t="shared" si="12"/>
        <v>Active</v>
      </c>
    </row>
    <row r="833" spans="1:6" x14ac:dyDescent="0.2">
      <c r="A833" s="2">
        <v>832</v>
      </c>
      <c r="B833">
        <v>400</v>
      </c>
      <c r="C833" s="1">
        <v>46209</v>
      </c>
      <c r="D833" s="1"/>
      <c r="E833" t="s">
        <v>82</v>
      </c>
      <c r="F833" t="str">
        <f t="shared" si="12"/>
        <v>Active</v>
      </c>
    </row>
    <row r="834" spans="1:6" x14ac:dyDescent="0.2">
      <c r="A834" s="2">
        <v>833</v>
      </c>
      <c r="B834">
        <v>400</v>
      </c>
      <c r="C834" s="1">
        <v>46209</v>
      </c>
      <c r="D834" s="1"/>
      <c r="E834" t="s">
        <v>82</v>
      </c>
      <c r="F834" t="str">
        <f t="shared" si="12"/>
        <v>Active</v>
      </c>
    </row>
    <row r="835" spans="1:6" x14ac:dyDescent="0.2">
      <c r="A835" s="2">
        <v>834</v>
      </c>
      <c r="B835">
        <v>400</v>
      </c>
      <c r="C835" s="1">
        <v>46210</v>
      </c>
      <c r="D835" s="1"/>
      <c r="E835" t="s">
        <v>82</v>
      </c>
      <c r="F835" t="str">
        <f t="shared" ref="F835:F898" si="13">IF(D835="","Active","Terminated")</f>
        <v>Active</v>
      </c>
    </row>
    <row r="836" spans="1:6" x14ac:dyDescent="0.2">
      <c r="A836" s="2">
        <v>835</v>
      </c>
      <c r="B836">
        <v>400</v>
      </c>
      <c r="C836" s="1">
        <v>46226</v>
      </c>
      <c r="D836" s="1"/>
      <c r="E836" t="s">
        <v>82</v>
      </c>
      <c r="F836" t="str">
        <f t="shared" si="13"/>
        <v>Active</v>
      </c>
    </row>
    <row r="837" spans="1:6" x14ac:dyDescent="0.2">
      <c r="A837" s="2">
        <v>836</v>
      </c>
      <c r="B837">
        <v>400</v>
      </c>
      <c r="C837" s="1">
        <v>46232</v>
      </c>
      <c r="D837" s="1"/>
      <c r="E837" t="s">
        <v>82</v>
      </c>
      <c r="F837" t="str">
        <f t="shared" si="13"/>
        <v>Active</v>
      </c>
    </row>
    <row r="838" spans="1:6" x14ac:dyDescent="0.2">
      <c r="A838" s="2">
        <v>837</v>
      </c>
      <c r="B838">
        <v>400</v>
      </c>
      <c r="C838" s="1">
        <v>46237</v>
      </c>
      <c r="D838" s="1"/>
      <c r="E838" t="s">
        <v>82</v>
      </c>
      <c r="F838" t="str">
        <f t="shared" si="13"/>
        <v>Active</v>
      </c>
    </row>
    <row r="839" spans="1:6" x14ac:dyDescent="0.2">
      <c r="A839" s="2">
        <v>838</v>
      </c>
      <c r="B839">
        <v>400</v>
      </c>
      <c r="C839" s="1">
        <v>46238</v>
      </c>
      <c r="D839" s="1"/>
      <c r="E839" t="s">
        <v>82</v>
      </c>
      <c r="F839" t="str">
        <f t="shared" si="13"/>
        <v>Active</v>
      </c>
    </row>
    <row r="840" spans="1:6" x14ac:dyDescent="0.2">
      <c r="A840" s="2">
        <v>839</v>
      </c>
      <c r="B840">
        <v>400</v>
      </c>
      <c r="C840" s="1">
        <v>46238</v>
      </c>
      <c r="D840" s="1"/>
      <c r="E840" t="s">
        <v>82</v>
      </c>
      <c r="F840" t="str">
        <f t="shared" si="13"/>
        <v>Active</v>
      </c>
    </row>
    <row r="841" spans="1:6" x14ac:dyDescent="0.2">
      <c r="A841" s="2">
        <v>840</v>
      </c>
      <c r="B841">
        <v>400</v>
      </c>
      <c r="C841" s="1">
        <v>46238</v>
      </c>
      <c r="D841" s="1"/>
      <c r="E841" t="s">
        <v>82</v>
      </c>
      <c r="F841" t="str">
        <f t="shared" si="13"/>
        <v>Active</v>
      </c>
    </row>
    <row r="842" spans="1:6" x14ac:dyDescent="0.2">
      <c r="A842" s="2">
        <v>841</v>
      </c>
      <c r="B842">
        <v>400</v>
      </c>
      <c r="C842" s="1">
        <v>46241</v>
      </c>
      <c r="D842" s="1"/>
      <c r="E842" t="s">
        <v>82</v>
      </c>
      <c r="F842" t="str">
        <f t="shared" si="13"/>
        <v>Active</v>
      </c>
    </row>
    <row r="843" spans="1:6" x14ac:dyDescent="0.2">
      <c r="A843" s="2">
        <v>842</v>
      </c>
      <c r="B843">
        <v>400</v>
      </c>
      <c r="C843" s="1">
        <v>46244</v>
      </c>
      <c r="D843" s="1"/>
      <c r="E843" t="s">
        <v>82</v>
      </c>
      <c r="F843" t="str">
        <f t="shared" si="13"/>
        <v>Active</v>
      </c>
    </row>
    <row r="844" spans="1:6" x14ac:dyDescent="0.2">
      <c r="A844" s="2">
        <v>843</v>
      </c>
      <c r="B844">
        <v>400</v>
      </c>
      <c r="C844" s="1">
        <v>46244</v>
      </c>
      <c r="D844" s="1"/>
      <c r="E844" t="s">
        <v>557</v>
      </c>
      <c r="F844" t="str">
        <f t="shared" si="13"/>
        <v>Active</v>
      </c>
    </row>
    <row r="845" spans="1:6" x14ac:dyDescent="0.2">
      <c r="A845" s="2">
        <v>844</v>
      </c>
      <c r="B845">
        <v>400</v>
      </c>
      <c r="C845" s="1">
        <v>46244</v>
      </c>
      <c r="D845" s="1"/>
      <c r="E845" t="s">
        <v>82</v>
      </c>
      <c r="F845" t="str">
        <f t="shared" si="13"/>
        <v>Active</v>
      </c>
    </row>
    <row r="846" spans="1:6" x14ac:dyDescent="0.2">
      <c r="A846" s="2">
        <v>845</v>
      </c>
      <c r="B846">
        <v>400</v>
      </c>
      <c r="C846" s="1">
        <v>46247</v>
      </c>
      <c r="D846" s="1"/>
      <c r="E846" t="s">
        <v>82</v>
      </c>
      <c r="F846" t="str">
        <f t="shared" si="13"/>
        <v>Active</v>
      </c>
    </row>
    <row r="847" spans="1:6" x14ac:dyDescent="0.2">
      <c r="A847" s="2">
        <v>846</v>
      </c>
      <c r="B847">
        <v>400</v>
      </c>
      <c r="C847" s="1">
        <v>46248</v>
      </c>
      <c r="D847" s="1"/>
      <c r="E847" t="s">
        <v>82</v>
      </c>
      <c r="F847" t="str">
        <f t="shared" si="13"/>
        <v>Active</v>
      </c>
    </row>
    <row r="848" spans="1:6" x14ac:dyDescent="0.2">
      <c r="A848" s="2">
        <v>847</v>
      </c>
      <c r="B848">
        <v>400</v>
      </c>
      <c r="C848" s="1">
        <v>46251</v>
      </c>
      <c r="D848" s="1"/>
      <c r="E848" t="s">
        <v>82</v>
      </c>
      <c r="F848" t="str">
        <f t="shared" si="13"/>
        <v>Active</v>
      </c>
    </row>
    <row r="849" spans="1:6" x14ac:dyDescent="0.2">
      <c r="A849" s="2">
        <v>848</v>
      </c>
      <c r="B849">
        <v>400</v>
      </c>
      <c r="C849" s="1">
        <v>46251</v>
      </c>
      <c r="D849" s="1"/>
      <c r="E849" t="s">
        <v>82</v>
      </c>
      <c r="F849" t="str">
        <f t="shared" si="13"/>
        <v>Active</v>
      </c>
    </row>
    <row r="850" spans="1:6" x14ac:dyDescent="0.2">
      <c r="A850" s="2">
        <v>849</v>
      </c>
      <c r="B850">
        <v>400</v>
      </c>
      <c r="C850" s="1">
        <v>46251</v>
      </c>
      <c r="D850" s="1"/>
      <c r="E850" t="s">
        <v>82</v>
      </c>
      <c r="F850" t="str">
        <f t="shared" si="13"/>
        <v>Active</v>
      </c>
    </row>
    <row r="851" spans="1:6" x14ac:dyDescent="0.2">
      <c r="A851" s="2">
        <v>850</v>
      </c>
      <c r="B851">
        <v>400</v>
      </c>
      <c r="C851" s="1">
        <v>46251</v>
      </c>
      <c r="D851" s="1"/>
      <c r="E851" t="s">
        <v>82</v>
      </c>
      <c r="F851" t="str">
        <f t="shared" si="13"/>
        <v>Active</v>
      </c>
    </row>
    <row r="852" spans="1:6" x14ac:dyDescent="0.2">
      <c r="A852" s="2">
        <v>851</v>
      </c>
      <c r="B852">
        <v>400</v>
      </c>
      <c r="C852" s="1">
        <v>46254</v>
      </c>
      <c r="D852" s="1"/>
      <c r="E852" t="s">
        <v>82</v>
      </c>
      <c r="F852" t="str">
        <f t="shared" si="13"/>
        <v>Active</v>
      </c>
    </row>
    <row r="853" spans="1:6" x14ac:dyDescent="0.2">
      <c r="A853" s="2">
        <v>852</v>
      </c>
      <c r="B853">
        <v>400</v>
      </c>
      <c r="C853" s="1">
        <v>46254</v>
      </c>
      <c r="D853" s="1"/>
      <c r="E853" t="s">
        <v>82</v>
      </c>
      <c r="F853" t="str">
        <f t="shared" si="13"/>
        <v>Active</v>
      </c>
    </row>
    <row r="854" spans="1:6" x14ac:dyDescent="0.2">
      <c r="A854" s="2">
        <v>853</v>
      </c>
      <c r="B854">
        <v>400</v>
      </c>
      <c r="C854" s="1">
        <v>46260</v>
      </c>
      <c r="D854" s="1"/>
      <c r="E854" t="s">
        <v>558</v>
      </c>
      <c r="F854" t="str">
        <f t="shared" si="13"/>
        <v>Active</v>
      </c>
    </row>
    <row r="855" spans="1:6" x14ac:dyDescent="0.2">
      <c r="A855" s="2">
        <v>854</v>
      </c>
      <c r="B855">
        <v>400</v>
      </c>
      <c r="C855" s="1">
        <v>46265</v>
      </c>
      <c r="D855" s="1"/>
      <c r="E855" t="s">
        <v>82</v>
      </c>
      <c r="F855" t="str">
        <f t="shared" si="13"/>
        <v>Active</v>
      </c>
    </row>
    <row r="856" spans="1:6" x14ac:dyDescent="0.2">
      <c r="A856" s="2">
        <v>855</v>
      </c>
      <c r="B856">
        <v>400</v>
      </c>
      <c r="C856" s="1">
        <v>46265</v>
      </c>
      <c r="D856" s="1"/>
      <c r="E856" t="s">
        <v>82</v>
      </c>
      <c r="F856" t="str">
        <f t="shared" si="13"/>
        <v>Active</v>
      </c>
    </row>
    <row r="857" spans="1:6" x14ac:dyDescent="0.2">
      <c r="A857" s="2">
        <v>856</v>
      </c>
      <c r="B857">
        <v>400</v>
      </c>
      <c r="C857" s="1">
        <v>46265</v>
      </c>
      <c r="D857" s="1"/>
      <c r="E857" t="s">
        <v>82</v>
      </c>
      <c r="F857" t="str">
        <f t="shared" si="13"/>
        <v>Active</v>
      </c>
    </row>
    <row r="858" spans="1:6" x14ac:dyDescent="0.2">
      <c r="A858" s="2">
        <v>857</v>
      </c>
      <c r="B858">
        <v>400</v>
      </c>
      <c r="C858" s="1">
        <v>46265</v>
      </c>
      <c r="D858" s="1"/>
      <c r="E858" t="s">
        <v>82</v>
      </c>
      <c r="F858" t="str">
        <f t="shared" si="13"/>
        <v>Active</v>
      </c>
    </row>
    <row r="859" spans="1:6" x14ac:dyDescent="0.2">
      <c r="A859" s="2">
        <v>858</v>
      </c>
      <c r="B859">
        <v>400</v>
      </c>
      <c r="C859" s="1">
        <v>46267</v>
      </c>
      <c r="D859" s="1"/>
      <c r="E859" t="s">
        <v>82</v>
      </c>
      <c r="F859" t="str">
        <f t="shared" si="13"/>
        <v>Active</v>
      </c>
    </row>
    <row r="860" spans="1:6" x14ac:dyDescent="0.2">
      <c r="A860" s="2">
        <v>859</v>
      </c>
      <c r="B860">
        <v>400</v>
      </c>
      <c r="C860" s="1">
        <v>46267</v>
      </c>
      <c r="D860" s="1"/>
      <c r="E860" t="s">
        <v>82</v>
      </c>
      <c r="F860" t="str">
        <f t="shared" si="13"/>
        <v>Active</v>
      </c>
    </row>
    <row r="861" spans="1:6" x14ac:dyDescent="0.2">
      <c r="A861" s="2">
        <v>860</v>
      </c>
      <c r="B861">
        <v>400</v>
      </c>
      <c r="C861" s="1">
        <v>46267</v>
      </c>
      <c r="D861" s="1"/>
      <c r="E861" t="s">
        <v>82</v>
      </c>
      <c r="F861" t="str">
        <f t="shared" si="13"/>
        <v>Active</v>
      </c>
    </row>
    <row r="862" spans="1:6" x14ac:dyDescent="0.2">
      <c r="A862" s="2">
        <v>861</v>
      </c>
      <c r="B862">
        <v>400</v>
      </c>
      <c r="C862" s="1">
        <v>46268</v>
      </c>
      <c r="D862" s="1"/>
      <c r="E862" t="s">
        <v>82</v>
      </c>
      <c r="F862" t="str">
        <f t="shared" si="13"/>
        <v>Active</v>
      </c>
    </row>
    <row r="863" spans="1:6" x14ac:dyDescent="0.2">
      <c r="A863" s="2">
        <v>862</v>
      </c>
      <c r="B863">
        <v>400</v>
      </c>
      <c r="C863" s="1">
        <v>46268</v>
      </c>
      <c r="D863" s="1"/>
      <c r="E863" t="s">
        <v>82</v>
      </c>
      <c r="F863" t="str">
        <f t="shared" si="13"/>
        <v>Active</v>
      </c>
    </row>
    <row r="864" spans="1:6" x14ac:dyDescent="0.2">
      <c r="A864" s="2">
        <v>863</v>
      </c>
      <c r="B864">
        <v>400</v>
      </c>
      <c r="C864" s="1">
        <v>46272</v>
      </c>
      <c r="D864" s="1"/>
      <c r="E864" t="s">
        <v>82</v>
      </c>
      <c r="F864" t="str">
        <f t="shared" si="13"/>
        <v>Active</v>
      </c>
    </row>
    <row r="865" spans="1:6" x14ac:dyDescent="0.2">
      <c r="A865" s="2">
        <v>864</v>
      </c>
      <c r="B865">
        <v>400</v>
      </c>
      <c r="C865" s="1">
        <v>46272</v>
      </c>
      <c r="D865" s="1"/>
      <c r="E865" t="s">
        <v>82</v>
      </c>
      <c r="F865" t="str">
        <f t="shared" si="13"/>
        <v>Active</v>
      </c>
    </row>
    <row r="866" spans="1:6" x14ac:dyDescent="0.2">
      <c r="A866" s="2">
        <v>865</v>
      </c>
      <c r="B866">
        <v>400</v>
      </c>
      <c r="C866" s="1">
        <v>46272</v>
      </c>
      <c r="D866" s="1"/>
      <c r="E866" t="s">
        <v>82</v>
      </c>
      <c r="F866" t="str">
        <f t="shared" si="13"/>
        <v>Active</v>
      </c>
    </row>
    <row r="867" spans="1:6" x14ac:dyDescent="0.2">
      <c r="A867" s="2">
        <v>866</v>
      </c>
      <c r="B867">
        <v>400</v>
      </c>
      <c r="C867" s="1">
        <v>46272</v>
      </c>
      <c r="D867" s="1"/>
      <c r="E867" t="s">
        <v>82</v>
      </c>
      <c r="F867" t="str">
        <f t="shared" si="13"/>
        <v>Active</v>
      </c>
    </row>
    <row r="868" spans="1:6" x14ac:dyDescent="0.2">
      <c r="A868" s="2">
        <v>867</v>
      </c>
      <c r="B868">
        <v>400</v>
      </c>
      <c r="C868" s="1">
        <v>46272</v>
      </c>
      <c r="D868" s="1"/>
      <c r="E868" t="s">
        <v>82</v>
      </c>
      <c r="F868" t="str">
        <f t="shared" si="13"/>
        <v>Active</v>
      </c>
    </row>
    <row r="869" spans="1:6" x14ac:dyDescent="0.2">
      <c r="A869" s="2">
        <v>868</v>
      </c>
      <c r="B869">
        <v>400</v>
      </c>
      <c r="C869" s="1">
        <v>46274</v>
      </c>
      <c r="D869" s="1"/>
      <c r="E869" t="s">
        <v>82</v>
      </c>
      <c r="F869" t="str">
        <f t="shared" si="13"/>
        <v>Active</v>
      </c>
    </row>
    <row r="870" spans="1:6" x14ac:dyDescent="0.2">
      <c r="A870" s="2">
        <v>869</v>
      </c>
      <c r="B870">
        <v>400</v>
      </c>
      <c r="C870" s="1">
        <v>46275</v>
      </c>
      <c r="D870" s="1"/>
      <c r="E870" t="s">
        <v>82</v>
      </c>
      <c r="F870" t="str">
        <f t="shared" si="13"/>
        <v>Active</v>
      </c>
    </row>
    <row r="871" spans="1:6" x14ac:dyDescent="0.2">
      <c r="A871" s="2">
        <v>870</v>
      </c>
      <c r="B871">
        <v>400</v>
      </c>
      <c r="C871" s="1">
        <v>46276</v>
      </c>
      <c r="D871" s="1"/>
      <c r="E871" t="s">
        <v>557</v>
      </c>
      <c r="F871" t="str">
        <f t="shared" si="13"/>
        <v>Active</v>
      </c>
    </row>
    <row r="872" spans="1:6" x14ac:dyDescent="0.2">
      <c r="A872" s="2">
        <v>871</v>
      </c>
      <c r="B872">
        <v>400</v>
      </c>
      <c r="C872" s="1">
        <v>46279</v>
      </c>
      <c r="D872" s="1"/>
      <c r="E872" t="s">
        <v>82</v>
      </c>
      <c r="F872" t="str">
        <f t="shared" si="13"/>
        <v>Active</v>
      </c>
    </row>
    <row r="873" spans="1:6" x14ac:dyDescent="0.2">
      <c r="A873" s="2">
        <v>872</v>
      </c>
      <c r="B873">
        <v>400</v>
      </c>
      <c r="C873" s="1">
        <v>46279</v>
      </c>
      <c r="D873" s="1"/>
      <c r="E873" t="s">
        <v>82</v>
      </c>
      <c r="F873" t="str">
        <f t="shared" si="13"/>
        <v>Active</v>
      </c>
    </row>
    <row r="874" spans="1:6" x14ac:dyDescent="0.2">
      <c r="A874" s="2">
        <v>873</v>
      </c>
      <c r="B874">
        <v>400</v>
      </c>
      <c r="C874" s="1">
        <v>46279</v>
      </c>
      <c r="D874" s="1"/>
      <c r="E874" t="s">
        <v>82</v>
      </c>
      <c r="F874" t="str">
        <f t="shared" si="13"/>
        <v>Active</v>
      </c>
    </row>
    <row r="875" spans="1:6" x14ac:dyDescent="0.2">
      <c r="A875" s="2">
        <v>874</v>
      </c>
      <c r="B875">
        <v>400</v>
      </c>
      <c r="C875" s="1">
        <v>46279</v>
      </c>
      <c r="D875" s="1"/>
      <c r="E875" t="s">
        <v>82</v>
      </c>
      <c r="F875" t="str">
        <f t="shared" si="13"/>
        <v>Active</v>
      </c>
    </row>
    <row r="876" spans="1:6" x14ac:dyDescent="0.2">
      <c r="A876" s="2">
        <v>875</v>
      </c>
      <c r="B876">
        <v>400</v>
      </c>
      <c r="C876" s="1">
        <v>46280</v>
      </c>
      <c r="D876" s="1"/>
      <c r="E876" t="s">
        <v>82</v>
      </c>
      <c r="F876" t="str">
        <f t="shared" si="13"/>
        <v>Active</v>
      </c>
    </row>
    <row r="877" spans="1:6" x14ac:dyDescent="0.2">
      <c r="A877" s="2">
        <v>876</v>
      </c>
      <c r="B877">
        <v>400</v>
      </c>
      <c r="C877" s="1">
        <v>46286</v>
      </c>
      <c r="D877" s="1"/>
      <c r="E877" t="s">
        <v>82</v>
      </c>
      <c r="F877" t="str">
        <f t="shared" si="13"/>
        <v>Active</v>
      </c>
    </row>
    <row r="878" spans="1:6" x14ac:dyDescent="0.2">
      <c r="A878" s="2">
        <v>877</v>
      </c>
      <c r="B878">
        <v>400</v>
      </c>
      <c r="C878" s="1">
        <v>46286</v>
      </c>
      <c r="D878" s="1"/>
      <c r="E878" t="s">
        <v>82</v>
      </c>
      <c r="F878" t="str">
        <f t="shared" si="13"/>
        <v>Active</v>
      </c>
    </row>
    <row r="879" spans="1:6" x14ac:dyDescent="0.2">
      <c r="A879" s="2">
        <v>878</v>
      </c>
      <c r="B879">
        <v>400</v>
      </c>
      <c r="C879" s="1">
        <v>46286</v>
      </c>
      <c r="D879" s="1"/>
      <c r="E879" t="s">
        <v>82</v>
      </c>
      <c r="F879" t="str">
        <f t="shared" si="13"/>
        <v>Active</v>
      </c>
    </row>
    <row r="880" spans="1:6" x14ac:dyDescent="0.2">
      <c r="A880" s="2">
        <v>879</v>
      </c>
      <c r="B880">
        <v>400</v>
      </c>
      <c r="C880" s="1">
        <v>46286</v>
      </c>
      <c r="D880" s="1"/>
      <c r="E880" t="s">
        <v>82</v>
      </c>
      <c r="F880" t="str">
        <f t="shared" si="13"/>
        <v>Active</v>
      </c>
    </row>
    <row r="881" spans="1:6" x14ac:dyDescent="0.2">
      <c r="A881" s="2">
        <v>880</v>
      </c>
      <c r="B881">
        <v>400</v>
      </c>
      <c r="C881" s="1">
        <v>46286</v>
      </c>
      <c r="D881" s="1"/>
      <c r="E881" t="s">
        <v>82</v>
      </c>
      <c r="F881" t="str">
        <f t="shared" si="13"/>
        <v>Active</v>
      </c>
    </row>
    <row r="882" spans="1:6" x14ac:dyDescent="0.2">
      <c r="A882" s="2">
        <v>881</v>
      </c>
      <c r="B882">
        <v>400</v>
      </c>
      <c r="C882" s="1">
        <v>46286</v>
      </c>
      <c r="D882" s="1"/>
      <c r="E882" t="s">
        <v>82</v>
      </c>
      <c r="F882" t="str">
        <f t="shared" si="13"/>
        <v>Active</v>
      </c>
    </row>
    <row r="883" spans="1:6" x14ac:dyDescent="0.2">
      <c r="A883" s="2">
        <v>882</v>
      </c>
      <c r="B883">
        <v>400</v>
      </c>
      <c r="C883" s="1">
        <v>46287</v>
      </c>
      <c r="D883" s="1"/>
      <c r="E883" t="s">
        <v>82</v>
      </c>
      <c r="F883" t="str">
        <f t="shared" si="13"/>
        <v>Active</v>
      </c>
    </row>
    <row r="884" spans="1:6" x14ac:dyDescent="0.2">
      <c r="A884" s="2">
        <v>883</v>
      </c>
      <c r="B884">
        <v>400</v>
      </c>
      <c r="C884" s="1">
        <v>46288</v>
      </c>
      <c r="D884" s="1"/>
      <c r="E884" t="s">
        <v>82</v>
      </c>
      <c r="F884" t="str">
        <f t="shared" si="13"/>
        <v>Active</v>
      </c>
    </row>
    <row r="885" spans="1:6" x14ac:dyDescent="0.2">
      <c r="A885" s="2">
        <v>884</v>
      </c>
      <c r="B885">
        <v>400</v>
      </c>
      <c r="C885" s="1">
        <v>46288</v>
      </c>
      <c r="D885" s="1"/>
      <c r="E885" t="s">
        <v>82</v>
      </c>
      <c r="F885" t="str">
        <f t="shared" si="13"/>
        <v>Active</v>
      </c>
    </row>
    <row r="886" spans="1:6" x14ac:dyDescent="0.2">
      <c r="A886" s="2">
        <v>885</v>
      </c>
      <c r="B886">
        <v>400</v>
      </c>
      <c r="C886" s="1">
        <v>46289</v>
      </c>
      <c r="D886" s="1"/>
      <c r="E886" t="s">
        <v>82</v>
      </c>
      <c r="F886" t="str">
        <f t="shared" si="13"/>
        <v>Active</v>
      </c>
    </row>
    <row r="887" spans="1:6" x14ac:dyDescent="0.2">
      <c r="A887" s="2">
        <v>886</v>
      </c>
      <c r="B887">
        <v>400</v>
      </c>
      <c r="C887" s="1">
        <v>46293</v>
      </c>
      <c r="D887" s="1"/>
      <c r="E887" t="s">
        <v>82</v>
      </c>
      <c r="F887" t="str">
        <f t="shared" si="13"/>
        <v>Active</v>
      </c>
    </row>
    <row r="888" spans="1:6" x14ac:dyDescent="0.2">
      <c r="A888" s="2">
        <v>887</v>
      </c>
      <c r="B888">
        <v>400</v>
      </c>
      <c r="C888" s="1">
        <v>46293</v>
      </c>
      <c r="D888" s="1"/>
      <c r="E888" t="s">
        <v>82</v>
      </c>
      <c r="F888" t="str">
        <f t="shared" si="13"/>
        <v>Active</v>
      </c>
    </row>
    <row r="889" spans="1:6" x14ac:dyDescent="0.2">
      <c r="A889" s="2">
        <v>888</v>
      </c>
      <c r="B889">
        <v>400</v>
      </c>
      <c r="C889" s="1">
        <v>46293</v>
      </c>
      <c r="D889" s="1"/>
      <c r="E889" t="s">
        <v>82</v>
      </c>
      <c r="F889" t="str">
        <f t="shared" si="13"/>
        <v>Active</v>
      </c>
    </row>
    <row r="890" spans="1:6" x14ac:dyDescent="0.2">
      <c r="A890" s="2">
        <v>889</v>
      </c>
      <c r="B890">
        <v>400</v>
      </c>
      <c r="C890" s="1">
        <v>46294</v>
      </c>
      <c r="D890" s="1"/>
      <c r="E890" t="s">
        <v>82</v>
      </c>
      <c r="F890" t="str">
        <f t="shared" si="13"/>
        <v>Active</v>
      </c>
    </row>
    <row r="891" spans="1:6" x14ac:dyDescent="0.2">
      <c r="A891" s="2">
        <v>890</v>
      </c>
      <c r="B891">
        <v>400</v>
      </c>
      <c r="C891" s="1">
        <v>46294</v>
      </c>
      <c r="D891" s="1"/>
      <c r="E891" t="s">
        <v>82</v>
      </c>
      <c r="F891" t="str">
        <f t="shared" si="13"/>
        <v>Active</v>
      </c>
    </row>
    <row r="892" spans="1:6" x14ac:dyDescent="0.2">
      <c r="A892" s="2">
        <v>891</v>
      </c>
      <c r="B892">
        <v>400</v>
      </c>
      <c r="C892" s="1">
        <v>46296</v>
      </c>
      <c r="D892" s="1"/>
      <c r="E892" t="s">
        <v>82</v>
      </c>
      <c r="F892" t="str">
        <f t="shared" si="13"/>
        <v>Active</v>
      </c>
    </row>
    <row r="893" spans="1:6" x14ac:dyDescent="0.2">
      <c r="A893" s="2">
        <v>892</v>
      </c>
      <c r="B893">
        <v>400</v>
      </c>
      <c r="C893" s="1">
        <v>46297</v>
      </c>
      <c r="D893" s="1"/>
      <c r="E893" t="s">
        <v>82</v>
      </c>
      <c r="F893" t="str">
        <f t="shared" si="13"/>
        <v>Active</v>
      </c>
    </row>
    <row r="894" spans="1:6" x14ac:dyDescent="0.2">
      <c r="A894" s="2">
        <v>893</v>
      </c>
      <c r="B894">
        <v>400</v>
      </c>
      <c r="C894" s="1">
        <v>46297</v>
      </c>
      <c r="D894" s="1"/>
      <c r="E894" t="s">
        <v>82</v>
      </c>
      <c r="F894" t="str">
        <f t="shared" si="13"/>
        <v>Active</v>
      </c>
    </row>
    <row r="895" spans="1:6" x14ac:dyDescent="0.2">
      <c r="A895" s="2">
        <v>894</v>
      </c>
      <c r="B895">
        <v>400</v>
      </c>
      <c r="C895" s="1">
        <v>46300</v>
      </c>
      <c r="D895" s="1"/>
      <c r="E895" t="s">
        <v>82</v>
      </c>
      <c r="F895" t="str">
        <f t="shared" si="13"/>
        <v>Active</v>
      </c>
    </row>
    <row r="896" spans="1:6" x14ac:dyDescent="0.2">
      <c r="A896" s="2">
        <v>895</v>
      </c>
      <c r="B896">
        <v>400</v>
      </c>
      <c r="C896" s="1">
        <v>46300</v>
      </c>
      <c r="D896" s="1"/>
      <c r="E896" t="s">
        <v>82</v>
      </c>
      <c r="F896" t="str">
        <f t="shared" si="13"/>
        <v>Active</v>
      </c>
    </row>
    <row r="897" spans="1:6" x14ac:dyDescent="0.2">
      <c r="A897" s="2">
        <v>896</v>
      </c>
      <c r="B897">
        <v>800</v>
      </c>
      <c r="C897" s="1">
        <v>44242</v>
      </c>
      <c r="D897" s="1">
        <v>44812</v>
      </c>
      <c r="E897" t="s">
        <v>82</v>
      </c>
      <c r="F897" t="str">
        <f t="shared" si="13"/>
        <v>Terminated</v>
      </c>
    </row>
    <row r="898" spans="1:6" x14ac:dyDescent="0.2">
      <c r="A898" s="2">
        <v>897</v>
      </c>
      <c r="B898">
        <v>800</v>
      </c>
      <c r="C898" s="1">
        <v>44270</v>
      </c>
      <c r="D898" s="1"/>
      <c r="E898" t="s">
        <v>82</v>
      </c>
      <c r="F898" t="str">
        <f t="shared" si="13"/>
        <v>Active</v>
      </c>
    </row>
    <row r="899" spans="1:6" x14ac:dyDescent="0.2">
      <c r="A899" s="2">
        <v>898</v>
      </c>
      <c r="B899">
        <v>800</v>
      </c>
      <c r="C899" s="1">
        <v>44355</v>
      </c>
      <c r="D899" s="1">
        <v>45044</v>
      </c>
      <c r="E899" t="s">
        <v>82</v>
      </c>
      <c r="F899" t="str">
        <f t="shared" ref="F899:F962" si="14">IF(D899="","Active","Terminated")</f>
        <v>Terminated</v>
      </c>
    </row>
    <row r="900" spans="1:6" x14ac:dyDescent="0.2">
      <c r="A900" s="2">
        <v>899</v>
      </c>
      <c r="B900">
        <v>800</v>
      </c>
      <c r="C900" s="1">
        <v>44489</v>
      </c>
      <c r="D900" s="1">
        <v>44725</v>
      </c>
      <c r="E900" t="s">
        <v>82</v>
      </c>
      <c r="F900" t="str">
        <f t="shared" si="14"/>
        <v>Terminated</v>
      </c>
    </row>
    <row r="901" spans="1:6" x14ac:dyDescent="0.2">
      <c r="A901" s="2">
        <v>900</v>
      </c>
      <c r="B901">
        <v>800</v>
      </c>
      <c r="C901" s="1">
        <v>44616</v>
      </c>
      <c r="D901" s="1">
        <v>45366</v>
      </c>
      <c r="E901" t="s">
        <v>82</v>
      </c>
      <c r="F901" t="str">
        <f t="shared" si="14"/>
        <v>Terminated</v>
      </c>
    </row>
    <row r="902" spans="1:6" x14ac:dyDescent="0.2">
      <c r="A902" s="2">
        <v>901</v>
      </c>
      <c r="B902">
        <v>800</v>
      </c>
      <c r="C902" s="1">
        <v>45439</v>
      </c>
      <c r="D902" s="1">
        <v>45993</v>
      </c>
      <c r="E902" t="s">
        <v>82</v>
      </c>
      <c r="F902" t="str">
        <f t="shared" si="14"/>
        <v>Terminated</v>
      </c>
    </row>
    <row r="903" spans="1:6" x14ac:dyDescent="0.2">
      <c r="A903" s="2">
        <v>902</v>
      </c>
      <c r="B903">
        <v>800</v>
      </c>
      <c r="C903" s="1">
        <v>45636</v>
      </c>
      <c r="D903" s="1"/>
      <c r="E903" t="s">
        <v>82</v>
      </c>
      <c r="F903" t="str">
        <f t="shared" si="14"/>
        <v>Active</v>
      </c>
    </row>
    <row r="904" spans="1:6" x14ac:dyDescent="0.2">
      <c r="A904" s="2">
        <v>903</v>
      </c>
      <c r="B904">
        <v>800</v>
      </c>
      <c r="C904" s="1">
        <v>45852</v>
      </c>
      <c r="D904" s="1"/>
      <c r="E904" t="s">
        <v>82</v>
      </c>
      <c r="F904" t="str">
        <f t="shared" si="14"/>
        <v>Active</v>
      </c>
    </row>
    <row r="905" spans="1:6" x14ac:dyDescent="0.2">
      <c r="A905" s="2">
        <v>904</v>
      </c>
      <c r="B905">
        <v>800</v>
      </c>
      <c r="C905" s="1">
        <v>45855</v>
      </c>
      <c r="D905" s="1">
        <v>45922</v>
      </c>
      <c r="E905" t="s">
        <v>82</v>
      </c>
      <c r="F905" t="str">
        <f t="shared" si="14"/>
        <v>Terminated</v>
      </c>
    </row>
    <row r="906" spans="1:6" x14ac:dyDescent="0.2">
      <c r="A906" s="2">
        <v>905</v>
      </c>
      <c r="B906">
        <v>800</v>
      </c>
      <c r="C906" s="1">
        <v>45980</v>
      </c>
      <c r="D906" s="1"/>
      <c r="E906" t="s">
        <v>82</v>
      </c>
      <c r="F906" t="str">
        <f t="shared" si="14"/>
        <v>Active</v>
      </c>
    </row>
    <row r="907" spans="1:6" x14ac:dyDescent="0.2">
      <c r="A907" s="2">
        <v>906</v>
      </c>
      <c r="B907">
        <v>800</v>
      </c>
      <c r="C907" s="1">
        <v>46029</v>
      </c>
      <c r="D907" s="1">
        <v>46085</v>
      </c>
      <c r="E907" t="s">
        <v>82</v>
      </c>
      <c r="F907" t="str">
        <f t="shared" si="14"/>
        <v>Terminated</v>
      </c>
    </row>
    <row r="908" spans="1:6" x14ac:dyDescent="0.2">
      <c r="A908" s="2">
        <v>907</v>
      </c>
      <c r="B908">
        <v>800</v>
      </c>
      <c r="C908" s="1">
        <v>46149</v>
      </c>
      <c r="D908" s="1"/>
      <c r="E908" t="s">
        <v>82</v>
      </c>
      <c r="F908" t="str">
        <f t="shared" si="14"/>
        <v>Active</v>
      </c>
    </row>
    <row r="909" spans="1:6" x14ac:dyDescent="0.2">
      <c r="A909" s="2">
        <v>908</v>
      </c>
      <c r="B909">
        <v>800</v>
      </c>
      <c r="C909" s="1">
        <v>46149</v>
      </c>
      <c r="D909" s="1"/>
      <c r="E909" t="s">
        <v>82</v>
      </c>
      <c r="F909" t="str">
        <f t="shared" si="14"/>
        <v>Active</v>
      </c>
    </row>
    <row r="910" spans="1:6" x14ac:dyDescent="0.2">
      <c r="A910" s="2">
        <v>909</v>
      </c>
      <c r="B910">
        <v>800</v>
      </c>
      <c r="C910" s="1">
        <v>46188</v>
      </c>
      <c r="D910" s="1"/>
      <c r="E910" t="s">
        <v>82</v>
      </c>
      <c r="F910" t="str">
        <f t="shared" si="14"/>
        <v>Active</v>
      </c>
    </row>
    <row r="911" spans="1:6" x14ac:dyDescent="0.2">
      <c r="A911" s="2">
        <v>910</v>
      </c>
      <c r="B911">
        <v>800</v>
      </c>
      <c r="C911" s="1">
        <v>46195</v>
      </c>
      <c r="D911" s="1"/>
      <c r="E911" t="s">
        <v>82</v>
      </c>
      <c r="F911" t="str">
        <f t="shared" si="14"/>
        <v>Active</v>
      </c>
    </row>
    <row r="912" spans="1:6" x14ac:dyDescent="0.2">
      <c r="A912" s="2">
        <v>911</v>
      </c>
      <c r="B912">
        <v>800</v>
      </c>
      <c r="C912" s="1">
        <v>46196</v>
      </c>
      <c r="D912" s="1"/>
      <c r="E912" t="s">
        <v>82</v>
      </c>
      <c r="F912" t="str">
        <f t="shared" si="14"/>
        <v>Active</v>
      </c>
    </row>
    <row r="913" spans="1:6" x14ac:dyDescent="0.2">
      <c r="A913" s="2">
        <v>912</v>
      </c>
      <c r="B913">
        <v>800</v>
      </c>
      <c r="C913" s="1">
        <v>46197</v>
      </c>
      <c r="D913" s="1"/>
      <c r="E913" t="s">
        <v>82</v>
      </c>
      <c r="F913" t="str">
        <f t="shared" si="14"/>
        <v>Active</v>
      </c>
    </row>
    <row r="914" spans="1:6" x14ac:dyDescent="0.2">
      <c r="A914" s="2">
        <v>913</v>
      </c>
      <c r="B914">
        <v>800</v>
      </c>
      <c r="C914" s="1">
        <v>46199</v>
      </c>
      <c r="D914" s="1"/>
      <c r="E914" t="s">
        <v>82</v>
      </c>
      <c r="F914" t="str">
        <f t="shared" si="14"/>
        <v>Active</v>
      </c>
    </row>
    <row r="915" spans="1:6" x14ac:dyDescent="0.2">
      <c r="A915" s="2">
        <v>914</v>
      </c>
      <c r="B915">
        <v>800</v>
      </c>
      <c r="C915" s="1">
        <v>46209</v>
      </c>
      <c r="D915" s="1"/>
      <c r="E915" t="s">
        <v>82</v>
      </c>
      <c r="F915" t="str">
        <f t="shared" si="14"/>
        <v>Active</v>
      </c>
    </row>
    <row r="916" spans="1:6" x14ac:dyDescent="0.2">
      <c r="A916" s="2">
        <v>915</v>
      </c>
      <c r="B916">
        <v>800</v>
      </c>
      <c r="C916" s="1">
        <v>46218</v>
      </c>
      <c r="D916" s="1"/>
      <c r="E916" t="s">
        <v>82</v>
      </c>
      <c r="F916" t="str">
        <f t="shared" si="14"/>
        <v>Active</v>
      </c>
    </row>
    <row r="917" spans="1:6" x14ac:dyDescent="0.2">
      <c r="A917" s="2">
        <v>916</v>
      </c>
      <c r="B917">
        <v>800</v>
      </c>
      <c r="C917" s="1">
        <v>46223</v>
      </c>
      <c r="D917" s="1"/>
      <c r="E917" t="s">
        <v>82</v>
      </c>
      <c r="F917" t="str">
        <f t="shared" si="14"/>
        <v>Active</v>
      </c>
    </row>
    <row r="918" spans="1:6" x14ac:dyDescent="0.2">
      <c r="A918" s="2">
        <v>917</v>
      </c>
      <c r="B918">
        <v>800</v>
      </c>
      <c r="C918" s="1">
        <v>46223</v>
      </c>
      <c r="D918" s="1"/>
      <c r="E918" t="s">
        <v>82</v>
      </c>
      <c r="F918" t="str">
        <f t="shared" si="14"/>
        <v>Active</v>
      </c>
    </row>
    <row r="919" spans="1:6" x14ac:dyDescent="0.2">
      <c r="A919" s="2">
        <v>918</v>
      </c>
      <c r="B919">
        <v>800</v>
      </c>
      <c r="C919" s="1">
        <v>46232</v>
      </c>
      <c r="D919" s="1"/>
      <c r="E919" t="s">
        <v>82</v>
      </c>
      <c r="F919" t="str">
        <f t="shared" si="14"/>
        <v>Active</v>
      </c>
    </row>
    <row r="920" spans="1:6" x14ac:dyDescent="0.2">
      <c r="A920" s="2">
        <v>919</v>
      </c>
      <c r="B920">
        <v>800</v>
      </c>
      <c r="C920" s="1">
        <v>46237</v>
      </c>
      <c r="D920" s="1"/>
      <c r="E920" t="s">
        <v>82</v>
      </c>
      <c r="F920" t="str">
        <f t="shared" si="14"/>
        <v>Active</v>
      </c>
    </row>
    <row r="921" spans="1:6" x14ac:dyDescent="0.2">
      <c r="A921" s="2">
        <v>920</v>
      </c>
      <c r="B921">
        <v>800</v>
      </c>
      <c r="C921" s="1">
        <v>46238</v>
      </c>
      <c r="D921" s="1"/>
      <c r="E921" t="s">
        <v>82</v>
      </c>
      <c r="F921" t="str">
        <f t="shared" si="14"/>
        <v>Active</v>
      </c>
    </row>
    <row r="922" spans="1:6" x14ac:dyDescent="0.2">
      <c r="A922" s="2">
        <v>921</v>
      </c>
      <c r="B922">
        <v>800</v>
      </c>
      <c r="C922" s="1">
        <v>46248</v>
      </c>
      <c r="D922" s="1"/>
      <c r="E922" t="s">
        <v>82</v>
      </c>
      <c r="F922" t="str">
        <f t="shared" si="14"/>
        <v>Active</v>
      </c>
    </row>
    <row r="923" spans="1:6" x14ac:dyDescent="0.2">
      <c r="A923" s="2">
        <v>922</v>
      </c>
      <c r="B923">
        <v>800</v>
      </c>
      <c r="C923" s="1">
        <v>46258</v>
      </c>
      <c r="D923" s="1"/>
      <c r="E923" t="s">
        <v>82</v>
      </c>
      <c r="F923" t="str">
        <f t="shared" si="14"/>
        <v>Active</v>
      </c>
    </row>
    <row r="924" spans="1:6" x14ac:dyDescent="0.2">
      <c r="A924" s="2">
        <v>923</v>
      </c>
      <c r="B924">
        <v>800</v>
      </c>
      <c r="C924" s="1">
        <v>46258</v>
      </c>
      <c r="D924" s="1"/>
      <c r="E924" t="s">
        <v>82</v>
      </c>
      <c r="F924" t="str">
        <f t="shared" si="14"/>
        <v>Active</v>
      </c>
    </row>
    <row r="925" spans="1:6" x14ac:dyDescent="0.2">
      <c r="A925" s="2">
        <v>924</v>
      </c>
      <c r="B925">
        <v>800</v>
      </c>
      <c r="C925" s="1">
        <v>46260</v>
      </c>
      <c r="D925" s="1"/>
      <c r="E925" t="s">
        <v>82</v>
      </c>
      <c r="F925" t="str">
        <f t="shared" si="14"/>
        <v>Active</v>
      </c>
    </row>
    <row r="926" spans="1:6" x14ac:dyDescent="0.2">
      <c r="A926" s="2">
        <v>925</v>
      </c>
      <c r="B926">
        <v>800</v>
      </c>
      <c r="C926" s="1">
        <v>46261</v>
      </c>
      <c r="D926" s="1"/>
      <c r="E926" t="s">
        <v>82</v>
      </c>
      <c r="F926" t="str">
        <f t="shared" si="14"/>
        <v>Active</v>
      </c>
    </row>
    <row r="927" spans="1:6" x14ac:dyDescent="0.2">
      <c r="A927" s="2">
        <v>926</v>
      </c>
      <c r="B927">
        <v>800</v>
      </c>
      <c r="C927" s="1">
        <v>46262</v>
      </c>
      <c r="D927" s="1"/>
      <c r="E927" t="s">
        <v>82</v>
      </c>
      <c r="F927" t="str">
        <f t="shared" si="14"/>
        <v>Active</v>
      </c>
    </row>
    <row r="928" spans="1:6" x14ac:dyDescent="0.2">
      <c r="A928" s="2">
        <v>927</v>
      </c>
      <c r="B928">
        <v>800</v>
      </c>
      <c r="C928" s="1">
        <v>46265</v>
      </c>
      <c r="D928" s="1"/>
      <c r="E928" t="s">
        <v>82</v>
      </c>
      <c r="F928" t="str">
        <f t="shared" si="14"/>
        <v>Active</v>
      </c>
    </row>
    <row r="929" spans="1:6" x14ac:dyDescent="0.2">
      <c r="A929" s="2">
        <v>928</v>
      </c>
      <c r="B929">
        <v>800</v>
      </c>
      <c r="C929" s="1">
        <v>46266</v>
      </c>
      <c r="D929" s="1"/>
      <c r="E929" t="s">
        <v>82</v>
      </c>
      <c r="F929" t="str">
        <f t="shared" si="14"/>
        <v>Active</v>
      </c>
    </row>
    <row r="930" spans="1:6" x14ac:dyDescent="0.2">
      <c r="A930" s="2">
        <v>929</v>
      </c>
      <c r="B930">
        <v>800</v>
      </c>
      <c r="C930" s="1">
        <v>46267</v>
      </c>
      <c r="D930" s="1"/>
      <c r="E930" t="s">
        <v>82</v>
      </c>
      <c r="F930" t="str">
        <f t="shared" si="14"/>
        <v>Active</v>
      </c>
    </row>
    <row r="931" spans="1:6" x14ac:dyDescent="0.2">
      <c r="A931" s="2">
        <v>930</v>
      </c>
      <c r="B931">
        <v>800</v>
      </c>
      <c r="C931" s="1">
        <v>46273</v>
      </c>
      <c r="D931" s="1"/>
      <c r="E931" t="s">
        <v>82</v>
      </c>
      <c r="F931" t="str">
        <f t="shared" si="14"/>
        <v>Active</v>
      </c>
    </row>
    <row r="932" spans="1:6" x14ac:dyDescent="0.2">
      <c r="A932" s="2">
        <v>931</v>
      </c>
      <c r="B932">
        <v>800</v>
      </c>
      <c r="C932" s="1">
        <v>46279</v>
      </c>
      <c r="D932" s="1"/>
      <c r="E932" t="s">
        <v>82</v>
      </c>
      <c r="F932" t="str">
        <f t="shared" si="14"/>
        <v>Active</v>
      </c>
    </row>
    <row r="933" spans="1:6" x14ac:dyDescent="0.2">
      <c r="A933" s="2">
        <v>932</v>
      </c>
      <c r="B933">
        <v>800</v>
      </c>
      <c r="C933" s="1">
        <v>46281</v>
      </c>
      <c r="D933" s="1"/>
      <c r="E933" t="s">
        <v>82</v>
      </c>
      <c r="F933" t="str">
        <f t="shared" si="14"/>
        <v>Active</v>
      </c>
    </row>
    <row r="934" spans="1:6" x14ac:dyDescent="0.2">
      <c r="A934" s="2">
        <v>933</v>
      </c>
      <c r="B934">
        <v>800</v>
      </c>
      <c r="C934" s="1">
        <v>46283</v>
      </c>
      <c r="D934" s="1"/>
      <c r="E934" t="s">
        <v>82</v>
      </c>
      <c r="F934" t="str">
        <f t="shared" si="14"/>
        <v>Active</v>
      </c>
    </row>
    <row r="935" spans="1:6" x14ac:dyDescent="0.2">
      <c r="A935" s="2">
        <v>934</v>
      </c>
      <c r="B935">
        <v>800</v>
      </c>
      <c r="C935" s="1">
        <v>46286</v>
      </c>
      <c r="D935" s="1"/>
      <c r="E935" t="s">
        <v>82</v>
      </c>
      <c r="F935" t="str">
        <f t="shared" si="14"/>
        <v>Active</v>
      </c>
    </row>
    <row r="936" spans="1:6" x14ac:dyDescent="0.2">
      <c r="A936" s="2">
        <v>935</v>
      </c>
      <c r="B936">
        <v>800</v>
      </c>
      <c r="C936" s="1">
        <v>46286</v>
      </c>
      <c r="D936" s="1"/>
      <c r="E936" t="s">
        <v>82</v>
      </c>
      <c r="F936" t="str">
        <f t="shared" si="14"/>
        <v>Active</v>
      </c>
    </row>
    <row r="937" spans="1:6" x14ac:dyDescent="0.2">
      <c r="A937" s="2">
        <v>936</v>
      </c>
      <c r="B937">
        <v>800</v>
      </c>
      <c r="C937" s="1">
        <v>46287</v>
      </c>
      <c r="D937" s="1"/>
      <c r="E937" t="s">
        <v>82</v>
      </c>
      <c r="F937" t="str">
        <f t="shared" si="14"/>
        <v>Active</v>
      </c>
    </row>
    <row r="938" spans="1:6" x14ac:dyDescent="0.2">
      <c r="A938" s="2">
        <v>937</v>
      </c>
      <c r="B938">
        <v>800</v>
      </c>
      <c r="C938" s="1">
        <v>46293</v>
      </c>
      <c r="D938" s="1"/>
      <c r="E938" t="s">
        <v>82</v>
      </c>
      <c r="F938" t="str">
        <f t="shared" si="14"/>
        <v>Active</v>
      </c>
    </row>
    <row r="939" spans="1:6" x14ac:dyDescent="0.2">
      <c r="A939" s="2">
        <v>938</v>
      </c>
      <c r="B939">
        <v>1100</v>
      </c>
      <c r="C939" s="1">
        <v>44242</v>
      </c>
      <c r="D939" s="1"/>
      <c r="E939" t="s">
        <v>82</v>
      </c>
      <c r="F939" t="str">
        <f t="shared" si="14"/>
        <v>Active</v>
      </c>
    </row>
    <row r="940" spans="1:6" x14ac:dyDescent="0.2">
      <c r="A940" s="2">
        <v>939</v>
      </c>
      <c r="B940">
        <v>1100</v>
      </c>
      <c r="C940" s="1">
        <v>44347</v>
      </c>
      <c r="D940" s="1">
        <v>44701</v>
      </c>
      <c r="E940" t="s">
        <v>82</v>
      </c>
      <c r="F940" t="str">
        <f t="shared" si="14"/>
        <v>Terminated</v>
      </c>
    </row>
    <row r="941" spans="1:6" x14ac:dyDescent="0.2">
      <c r="A941" s="2">
        <v>940</v>
      </c>
      <c r="B941">
        <v>1100</v>
      </c>
      <c r="C941" s="1">
        <v>44455</v>
      </c>
      <c r="D941" s="1">
        <v>46153</v>
      </c>
      <c r="E941" t="s">
        <v>82</v>
      </c>
      <c r="F941" t="str">
        <f t="shared" si="14"/>
        <v>Terminated</v>
      </c>
    </row>
    <row r="942" spans="1:6" x14ac:dyDescent="0.2">
      <c r="A942" s="2">
        <v>941</v>
      </c>
      <c r="B942">
        <v>1100</v>
      </c>
      <c r="C942" s="1">
        <v>44502</v>
      </c>
      <c r="D942" s="1">
        <v>44662</v>
      </c>
      <c r="E942" t="s">
        <v>557</v>
      </c>
      <c r="F942" t="str">
        <f t="shared" si="14"/>
        <v>Terminated</v>
      </c>
    </row>
    <row r="943" spans="1:6" x14ac:dyDescent="0.2">
      <c r="A943" s="2">
        <v>942</v>
      </c>
      <c r="B943">
        <v>1100</v>
      </c>
      <c r="C943" s="1">
        <v>44515</v>
      </c>
      <c r="D943" s="1">
        <v>44586</v>
      </c>
      <c r="E943" t="s">
        <v>82</v>
      </c>
      <c r="F943" t="str">
        <f t="shared" si="14"/>
        <v>Terminated</v>
      </c>
    </row>
    <row r="944" spans="1:6" x14ac:dyDescent="0.2">
      <c r="A944" s="2">
        <v>943</v>
      </c>
      <c r="B944">
        <v>1100</v>
      </c>
      <c r="C944" s="1">
        <v>44533</v>
      </c>
      <c r="D944" s="1">
        <v>44746</v>
      </c>
      <c r="E944" t="s">
        <v>82</v>
      </c>
      <c r="F944" t="str">
        <f t="shared" si="14"/>
        <v>Terminated</v>
      </c>
    </row>
    <row r="945" spans="1:6" x14ac:dyDescent="0.2">
      <c r="A945" s="2">
        <v>944</v>
      </c>
      <c r="B945">
        <v>1100</v>
      </c>
      <c r="C945" s="1">
        <v>44578</v>
      </c>
      <c r="D945" s="1">
        <v>44686</v>
      </c>
      <c r="E945" t="s">
        <v>558</v>
      </c>
      <c r="F945" t="str">
        <f t="shared" si="14"/>
        <v>Terminated</v>
      </c>
    </row>
    <row r="946" spans="1:6" x14ac:dyDescent="0.2">
      <c r="A946" s="2">
        <v>945</v>
      </c>
      <c r="B946">
        <v>1100</v>
      </c>
      <c r="C946" s="1">
        <v>44629</v>
      </c>
      <c r="D946" s="1">
        <v>44732</v>
      </c>
      <c r="E946" t="s">
        <v>82</v>
      </c>
      <c r="F946" t="str">
        <f t="shared" si="14"/>
        <v>Terminated</v>
      </c>
    </row>
    <row r="947" spans="1:6" x14ac:dyDescent="0.2">
      <c r="A947" s="2">
        <v>946</v>
      </c>
      <c r="B947">
        <v>1100</v>
      </c>
      <c r="C947" s="1">
        <v>44683</v>
      </c>
      <c r="D947" s="1">
        <v>45183</v>
      </c>
      <c r="E947" t="s">
        <v>82</v>
      </c>
      <c r="F947" t="str">
        <f t="shared" si="14"/>
        <v>Terminated</v>
      </c>
    </row>
    <row r="948" spans="1:6" x14ac:dyDescent="0.2">
      <c r="A948" s="2">
        <v>947</v>
      </c>
      <c r="B948">
        <v>1100</v>
      </c>
      <c r="C948" s="1">
        <v>44725</v>
      </c>
      <c r="D948" s="1">
        <v>45056</v>
      </c>
      <c r="E948" t="s">
        <v>82</v>
      </c>
      <c r="F948" t="str">
        <f t="shared" si="14"/>
        <v>Terminated</v>
      </c>
    </row>
    <row r="949" spans="1:6" x14ac:dyDescent="0.2">
      <c r="A949" s="2">
        <v>948</v>
      </c>
      <c r="B949">
        <v>1100</v>
      </c>
      <c r="C949" s="1">
        <v>44749</v>
      </c>
      <c r="D949" s="1">
        <v>45832</v>
      </c>
      <c r="E949" t="s">
        <v>82</v>
      </c>
      <c r="F949" t="str">
        <f t="shared" si="14"/>
        <v>Terminated</v>
      </c>
    </row>
    <row r="950" spans="1:6" x14ac:dyDescent="0.2">
      <c r="A950" s="2">
        <v>949</v>
      </c>
      <c r="B950">
        <v>1100</v>
      </c>
      <c r="C950" s="1">
        <v>44760</v>
      </c>
      <c r="D950" s="1">
        <v>45064</v>
      </c>
      <c r="E950" t="s">
        <v>557</v>
      </c>
      <c r="F950" t="str">
        <f t="shared" si="14"/>
        <v>Terminated</v>
      </c>
    </row>
    <row r="951" spans="1:6" x14ac:dyDescent="0.2">
      <c r="A951" s="2">
        <v>950</v>
      </c>
      <c r="B951">
        <v>1100</v>
      </c>
      <c r="C951" s="1">
        <v>44783</v>
      </c>
      <c r="D951" s="1">
        <v>45068</v>
      </c>
      <c r="E951" t="s">
        <v>82</v>
      </c>
      <c r="F951" t="str">
        <f t="shared" si="14"/>
        <v>Terminated</v>
      </c>
    </row>
    <row r="952" spans="1:6" x14ac:dyDescent="0.2">
      <c r="A952" s="2">
        <v>951</v>
      </c>
      <c r="B952">
        <v>1100</v>
      </c>
      <c r="C952" s="1">
        <v>44783</v>
      </c>
      <c r="D952" s="1">
        <v>46261</v>
      </c>
      <c r="E952" t="s">
        <v>82</v>
      </c>
      <c r="F952" t="str">
        <f t="shared" si="14"/>
        <v>Terminated</v>
      </c>
    </row>
    <row r="953" spans="1:6" x14ac:dyDescent="0.2">
      <c r="A953" s="2">
        <v>952</v>
      </c>
      <c r="B953">
        <v>1100</v>
      </c>
      <c r="C953" s="1">
        <v>44928</v>
      </c>
      <c r="D953" s="1">
        <v>45695</v>
      </c>
      <c r="E953" t="s">
        <v>82</v>
      </c>
      <c r="F953" t="str">
        <f t="shared" si="14"/>
        <v>Terminated</v>
      </c>
    </row>
    <row r="954" spans="1:6" x14ac:dyDescent="0.2">
      <c r="A954" s="2">
        <v>953</v>
      </c>
      <c r="B954">
        <v>1100</v>
      </c>
      <c r="C954" s="1">
        <v>45047</v>
      </c>
      <c r="D954" s="1">
        <v>45540</v>
      </c>
      <c r="E954" t="s">
        <v>82</v>
      </c>
      <c r="F954" t="str">
        <f t="shared" si="14"/>
        <v>Terminated</v>
      </c>
    </row>
    <row r="955" spans="1:6" x14ac:dyDescent="0.2">
      <c r="A955" s="2">
        <v>954</v>
      </c>
      <c r="B955">
        <v>1100</v>
      </c>
      <c r="C955" s="1">
        <v>45051</v>
      </c>
      <c r="D955" s="1">
        <v>45090</v>
      </c>
      <c r="E955" t="s">
        <v>82</v>
      </c>
      <c r="F955" t="str">
        <f t="shared" si="14"/>
        <v>Terminated</v>
      </c>
    </row>
    <row r="956" spans="1:6" x14ac:dyDescent="0.2">
      <c r="A956" s="2">
        <v>955</v>
      </c>
      <c r="B956">
        <v>1100</v>
      </c>
      <c r="C956" s="1">
        <v>45089</v>
      </c>
      <c r="D956" s="1">
        <v>45380</v>
      </c>
      <c r="E956" t="s">
        <v>82</v>
      </c>
      <c r="F956" t="str">
        <f t="shared" si="14"/>
        <v>Terminated</v>
      </c>
    </row>
    <row r="957" spans="1:6" x14ac:dyDescent="0.2">
      <c r="A957" s="2">
        <v>956</v>
      </c>
      <c r="B957">
        <v>1100</v>
      </c>
      <c r="C957" s="1">
        <v>45093</v>
      </c>
      <c r="D957" s="1">
        <v>45797</v>
      </c>
      <c r="E957" t="s">
        <v>82</v>
      </c>
      <c r="F957" t="str">
        <f t="shared" si="14"/>
        <v>Terminated</v>
      </c>
    </row>
    <row r="958" spans="1:6" x14ac:dyDescent="0.2">
      <c r="A958" s="2">
        <v>957</v>
      </c>
      <c r="B958">
        <v>1100</v>
      </c>
      <c r="C958" s="1">
        <v>45205</v>
      </c>
      <c r="D958" s="1">
        <v>45460</v>
      </c>
      <c r="E958" t="s">
        <v>82</v>
      </c>
      <c r="F958" t="str">
        <f t="shared" si="14"/>
        <v>Terminated</v>
      </c>
    </row>
    <row r="959" spans="1:6" x14ac:dyDescent="0.2">
      <c r="A959" s="2">
        <v>958</v>
      </c>
      <c r="B959">
        <v>1100</v>
      </c>
      <c r="C959" s="1">
        <v>45240</v>
      </c>
      <c r="D959" s="1">
        <v>45777</v>
      </c>
      <c r="E959" t="s">
        <v>82</v>
      </c>
      <c r="F959" t="str">
        <f t="shared" si="14"/>
        <v>Terminated</v>
      </c>
    </row>
    <row r="960" spans="1:6" x14ac:dyDescent="0.2">
      <c r="A960" s="2">
        <v>959</v>
      </c>
      <c r="B960">
        <v>1100</v>
      </c>
      <c r="C960" s="1">
        <v>45281</v>
      </c>
      <c r="D960" s="1">
        <v>46090</v>
      </c>
      <c r="E960" t="s">
        <v>82</v>
      </c>
      <c r="F960" t="str">
        <f t="shared" si="14"/>
        <v>Terminated</v>
      </c>
    </row>
    <row r="961" spans="1:6" x14ac:dyDescent="0.2">
      <c r="A961" s="2">
        <v>960</v>
      </c>
      <c r="B961">
        <v>1100</v>
      </c>
      <c r="C961" s="1">
        <v>45310</v>
      </c>
      <c r="D961" s="1">
        <v>46258</v>
      </c>
      <c r="E961" t="s">
        <v>82</v>
      </c>
      <c r="F961" t="str">
        <f t="shared" si="14"/>
        <v>Terminated</v>
      </c>
    </row>
    <row r="962" spans="1:6" x14ac:dyDescent="0.2">
      <c r="A962" s="2">
        <v>961</v>
      </c>
      <c r="B962">
        <v>1100</v>
      </c>
      <c r="C962" s="1">
        <v>45320</v>
      </c>
      <c r="D962" s="1">
        <v>45667</v>
      </c>
      <c r="E962" t="s">
        <v>557</v>
      </c>
      <c r="F962" t="str">
        <f t="shared" si="14"/>
        <v>Terminated</v>
      </c>
    </row>
    <row r="963" spans="1:6" x14ac:dyDescent="0.2">
      <c r="A963" s="2">
        <v>962</v>
      </c>
      <c r="B963">
        <v>1100</v>
      </c>
      <c r="C963" s="1">
        <v>45351</v>
      </c>
      <c r="D963" s="1"/>
      <c r="E963" t="s">
        <v>82</v>
      </c>
      <c r="F963" t="str">
        <f t="shared" ref="F963:F1026" si="15">IF(D963="","Active","Terminated")</f>
        <v>Active</v>
      </c>
    </row>
    <row r="964" spans="1:6" x14ac:dyDescent="0.2">
      <c r="A964" s="2">
        <v>963</v>
      </c>
      <c r="B964">
        <v>1100</v>
      </c>
      <c r="C964" s="1">
        <v>45443</v>
      </c>
      <c r="D964" s="1">
        <v>46288</v>
      </c>
      <c r="E964" t="s">
        <v>82</v>
      </c>
      <c r="F964" t="str">
        <f t="shared" si="15"/>
        <v>Terminated</v>
      </c>
    </row>
    <row r="965" spans="1:6" x14ac:dyDescent="0.2">
      <c r="A965" s="2">
        <v>964</v>
      </c>
      <c r="B965">
        <v>1100</v>
      </c>
      <c r="C965" s="1">
        <v>45509</v>
      </c>
      <c r="D965" s="1">
        <v>46027</v>
      </c>
      <c r="E965" t="s">
        <v>558</v>
      </c>
      <c r="F965" t="str">
        <f t="shared" si="15"/>
        <v>Terminated</v>
      </c>
    </row>
    <row r="966" spans="1:6" x14ac:dyDescent="0.2">
      <c r="A966" s="2">
        <v>965</v>
      </c>
      <c r="B966">
        <v>1100</v>
      </c>
      <c r="C966" s="1">
        <v>45565</v>
      </c>
      <c r="D966" s="1"/>
      <c r="E966" t="s">
        <v>82</v>
      </c>
      <c r="F966" t="str">
        <f t="shared" si="15"/>
        <v>Active</v>
      </c>
    </row>
    <row r="967" spans="1:6" x14ac:dyDescent="0.2">
      <c r="A967" s="2">
        <v>966</v>
      </c>
      <c r="B967">
        <v>1100</v>
      </c>
      <c r="C967" s="1">
        <v>45604</v>
      </c>
      <c r="D967" s="1"/>
      <c r="E967" t="s">
        <v>558</v>
      </c>
      <c r="F967" t="str">
        <f t="shared" si="15"/>
        <v>Active</v>
      </c>
    </row>
    <row r="968" spans="1:6" x14ac:dyDescent="0.2">
      <c r="A968" s="2">
        <v>967</v>
      </c>
      <c r="B968">
        <v>1100</v>
      </c>
      <c r="C968" s="1">
        <v>45607</v>
      </c>
      <c r="D968" s="1">
        <v>45644</v>
      </c>
      <c r="E968" t="s">
        <v>82</v>
      </c>
      <c r="F968" t="str">
        <f t="shared" si="15"/>
        <v>Terminated</v>
      </c>
    </row>
    <row r="969" spans="1:6" x14ac:dyDescent="0.2">
      <c r="A969" s="2">
        <v>968</v>
      </c>
      <c r="B969">
        <v>1100</v>
      </c>
      <c r="C969" s="1">
        <v>45649</v>
      </c>
      <c r="D969" s="1">
        <v>45695</v>
      </c>
      <c r="E969" t="s">
        <v>557</v>
      </c>
      <c r="F969" t="str">
        <f t="shared" si="15"/>
        <v>Terminated</v>
      </c>
    </row>
    <row r="970" spans="1:6" x14ac:dyDescent="0.2">
      <c r="A970" s="2">
        <v>969</v>
      </c>
      <c r="B970">
        <v>1100</v>
      </c>
      <c r="C970" s="1">
        <v>45677</v>
      </c>
      <c r="D970" s="1"/>
      <c r="E970" t="s">
        <v>82</v>
      </c>
      <c r="F970" t="str">
        <f t="shared" si="15"/>
        <v>Active</v>
      </c>
    </row>
    <row r="971" spans="1:6" x14ac:dyDescent="0.2">
      <c r="A971" s="2">
        <v>970</v>
      </c>
      <c r="B971">
        <v>1100</v>
      </c>
      <c r="C971" s="1">
        <v>45699</v>
      </c>
      <c r="D971" s="1">
        <v>45838</v>
      </c>
      <c r="E971" t="s">
        <v>82</v>
      </c>
      <c r="F971" t="str">
        <f t="shared" si="15"/>
        <v>Terminated</v>
      </c>
    </row>
    <row r="972" spans="1:6" x14ac:dyDescent="0.2">
      <c r="A972" s="2">
        <v>971</v>
      </c>
      <c r="B972">
        <v>1100</v>
      </c>
      <c r="C972" s="1">
        <v>45700</v>
      </c>
      <c r="D972" s="1">
        <v>46049</v>
      </c>
      <c r="E972" t="s">
        <v>558</v>
      </c>
      <c r="F972" t="str">
        <f t="shared" si="15"/>
        <v>Terminated</v>
      </c>
    </row>
    <row r="973" spans="1:6" x14ac:dyDescent="0.2">
      <c r="A973" s="2">
        <v>972</v>
      </c>
      <c r="B973">
        <v>1100</v>
      </c>
      <c r="C973" s="1">
        <v>45733</v>
      </c>
      <c r="D973" s="1"/>
      <c r="E973" t="s">
        <v>82</v>
      </c>
      <c r="F973" t="str">
        <f t="shared" si="15"/>
        <v>Active</v>
      </c>
    </row>
    <row r="974" spans="1:6" x14ac:dyDescent="0.2">
      <c r="A974" s="2">
        <v>973</v>
      </c>
      <c r="B974">
        <v>1100</v>
      </c>
      <c r="C974" s="1">
        <v>45807</v>
      </c>
      <c r="D974" s="1"/>
      <c r="E974" t="s">
        <v>82</v>
      </c>
      <c r="F974" t="str">
        <f t="shared" si="15"/>
        <v>Active</v>
      </c>
    </row>
    <row r="975" spans="1:6" x14ac:dyDescent="0.2">
      <c r="A975" s="2">
        <v>974</v>
      </c>
      <c r="B975">
        <v>1100</v>
      </c>
      <c r="C975" s="1">
        <v>45847</v>
      </c>
      <c r="D975" s="1"/>
      <c r="E975" t="s">
        <v>82</v>
      </c>
      <c r="F975" t="str">
        <f t="shared" si="15"/>
        <v>Active</v>
      </c>
    </row>
    <row r="976" spans="1:6" x14ac:dyDescent="0.2">
      <c r="A976" s="2">
        <v>975</v>
      </c>
      <c r="B976">
        <v>1100</v>
      </c>
      <c r="C976" s="1">
        <v>45870</v>
      </c>
      <c r="D976" s="1"/>
      <c r="E976" t="s">
        <v>82</v>
      </c>
      <c r="F976" t="str">
        <f t="shared" si="15"/>
        <v>Active</v>
      </c>
    </row>
    <row r="977" spans="1:6" x14ac:dyDescent="0.2">
      <c r="A977" s="2">
        <v>976</v>
      </c>
      <c r="B977">
        <v>1100</v>
      </c>
      <c r="C977" s="1">
        <v>45917</v>
      </c>
      <c r="D977" s="1"/>
      <c r="E977" t="s">
        <v>82</v>
      </c>
      <c r="F977" t="str">
        <f t="shared" si="15"/>
        <v>Active</v>
      </c>
    </row>
    <row r="978" spans="1:6" x14ac:dyDescent="0.2">
      <c r="A978" s="2">
        <v>977</v>
      </c>
      <c r="B978">
        <v>1100</v>
      </c>
      <c r="C978" s="1">
        <v>45922</v>
      </c>
      <c r="D978" s="1"/>
      <c r="E978" t="s">
        <v>82</v>
      </c>
      <c r="F978" t="str">
        <f t="shared" si="15"/>
        <v>Active</v>
      </c>
    </row>
    <row r="979" spans="1:6" x14ac:dyDescent="0.2">
      <c r="A979" s="2">
        <v>978</v>
      </c>
      <c r="B979">
        <v>1100</v>
      </c>
      <c r="C979" s="1">
        <v>45943</v>
      </c>
      <c r="D979" s="1">
        <v>46170</v>
      </c>
      <c r="E979" t="s">
        <v>82</v>
      </c>
      <c r="F979" t="str">
        <f t="shared" si="15"/>
        <v>Terminated</v>
      </c>
    </row>
    <row r="980" spans="1:6" x14ac:dyDescent="0.2">
      <c r="A980" s="2">
        <v>979</v>
      </c>
      <c r="B980">
        <v>1100</v>
      </c>
      <c r="C980" s="1">
        <v>45971</v>
      </c>
      <c r="D980" s="1"/>
      <c r="E980" t="s">
        <v>82</v>
      </c>
      <c r="F980" t="str">
        <f t="shared" si="15"/>
        <v>Active</v>
      </c>
    </row>
    <row r="981" spans="1:6" x14ac:dyDescent="0.2">
      <c r="A981" s="2">
        <v>980</v>
      </c>
      <c r="B981">
        <v>1100</v>
      </c>
      <c r="C981" s="1">
        <v>45994</v>
      </c>
      <c r="D981" s="1"/>
      <c r="E981" t="s">
        <v>82</v>
      </c>
      <c r="F981" t="str">
        <f t="shared" si="15"/>
        <v>Active</v>
      </c>
    </row>
    <row r="982" spans="1:6" x14ac:dyDescent="0.2">
      <c r="A982" s="2">
        <v>981</v>
      </c>
      <c r="B982">
        <v>1100</v>
      </c>
      <c r="C982" s="1">
        <v>46006</v>
      </c>
      <c r="D982" s="1"/>
      <c r="E982" t="s">
        <v>82</v>
      </c>
      <c r="F982" t="str">
        <f t="shared" si="15"/>
        <v>Active</v>
      </c>
    </row>
    <row r="983" spans="1:6" x14ac:dyDescent="0.2">
      <c r="A983" s="2">
        <v>982</v>
      </c>
      <c r="B983">
        <v>1100</v>
      </c>
      <c r="C983" s="1">
        <v>46022</v>
      </c>
      <c r="D983" s="1">
        <v>46251</v>
      </c>
      <c r="E983" t="s">
        <v>82</v>
      </c>
      <c r="F983" t="str">
        <f t="shared" si="15"/>
        <v>Terminated</v>
      </c>
    </row>
    <row r="984" spans="1:6" x14ac:dyDescent="0.2">
      <c r="A984" s="2">
        <v>983</v>
      </c>
      <c r="B984">
        <v>1100</v>
      </c>
      <c r="C984" s="1">
        <v>46034</v>
      </c>
      <c r="D984" s="1"/>
      <c r="E984" t="s">
        <v>82</v>
      </c>
      <c r="F984" t="str">
        <f t="shared" si="15"/>
        <v>Active</v>
      </c>
    </row>
    <row r="985" spans="1:6" x14ac:dyDescent="0.2">
      <c r="A985" s="2">
        <v>984</v>
      </c>
      <c r="B985">
        <v>1100</v>
      </c>
      <c r="C985" s="1">
        <v>46034</v>
      </c>
      <c r="D985" s="1"/>
      <c r="E985" t="s">
        <v>82</v>
      </c>
      <c r="F985" t="str">
        <f t="shared" si="15"/>
        <v>Active</v>
      </c>
    </row>
    <row r="986" spans="1:6" x14ac:dyDescent="0.2">
      <c r="A986" s="2">
        <v>985</v>
      </c>
      <c r="B986">
        <v>1100</v>
      </c>
      <c r="C986" s="1">
        <v>46125</v>
      </c>
      <c r="D986" s="1"/>
      <c r="E986" t="s">
        <v>82</v>
      </c>
      <c r="F986" t="str">
        <f t="shared" si="15"/>
        <v>Active</v>
      </c>
    </row>
    <row r="987" spans="1:6" x14ac:dyDescent="0.2">
      <c r="A987" s="2">
        <v>986</v>
      </c>
      <c r="B987">
        <v>1100</v>
      </c>
      <c r="C987" s="1">
        <v>46132</v>
      </c>
      <c r="D987" s="1"/>
      <c r="E987" t="s">
        <v>82</v>
      </c>
      <c r="F987" t="str">
        <f t="shared" si="15"/>
        <v>Active</v>
      </c>
    </row>
    <row r="988" spans="1:6" x14ac:dyDescent="0.2">
      <c r="A988" s="2">
        <v>987</v>
      </c>
      <c r="B988">
        <v>1100</v>
      </c>
      <c r="C988" s="1">
        <v>46140</v>
      </c>
      <c r="D988" s="1"/>
      <c r="E988" t="s">
        <v>82</v>
      </c>
      <c r="F988" t="str">
        <f t="shared" si="15"/>
        <v>Active</v>
      </c>
    </row>
    <row r="989" spans="1:6" x14ac:dyDescent="0.2">
      <c r="A989" s="2">
        <v>988</v>
      </c>
      <c r="B989">
        <v>1100</v>
      </c>
      <c r="C989" s="1">
        <v>46153</v>
      </c>
      <c r="D989" s="1"/>
      <c r="E989" t="s">
        <v>558</v>
      </c>
      <c r="F989" t="str">
        <f t="shared" si="15"/>
        <v>Active</v>
      </c>
    </row>
    <row r="990" spans="1:6" x14ac:dyDescent="0.2">
      <c r="A990" s="2">
        <v>989</v>
      </c>
      <c r="B990">
        <v>1100</v>
      </c>
      <c r="C990" s="1">
        <v>46153</v>
      </c>
      <c r="D990" s="1"/>
      <c r="E990" t="s">
        <v>558</v>
      </c>
      <c r="F990" t="str">
        <f t="shared" si="15"/>
        <v>Active</v>
      </c>
    </row>
    <row r="991" spans="1:6" x14ac:dyDescent="0.2">
      <c r="A991" s="2">
        <v>990</v>
      </c>
      <c r="B991">
        <v>1100</v>
      </c>
      <c r="C991" s="1">
        <v>46153</v>
      </c>
      <c r="D991" s="1"/>
      <c r="E991" t="s">
        <v>82</v>
      </c>
      <c r="F991" t="str">
        <f t="shared" si="15"/>
        <v>Active</v>
      </c>
    </row>
    <row r="992" spans="1:6" x14ac:dyDescent="0.2">
      <c r="A992" s="2">
        <v>991</v>
      </c>
      <c r="B992">
        <v>1100</v>
      </c>
      <c r="C992" s="1">
        <v>46161</v>
      </c>
      <c r="D992" s="1"/>
      <c r="E992" t="s">
        <v>82</v>
      </c>
      <c r="F992" t="str">
        <f t="shared" si="15"/>
        <v>Active</v>
      </c>
    </row>
    <row r="993" spans="1:6" x14ac:dyDescent="0.2">
      <c r="A993" s="2">
        <v>992</v>
      </c>
      <c r="B993">
        <v>1100</v>
      </c>
      <c r="C993" s="1">
        <v>46162</v>
      </c>
      <c r="D993" s="1"/>
      <c r="E993" t="s">
        <v>82</v>
      </c>
      <c r="F993" t="str">
        <f t="shared" si="15"/>
        <v>Active</v>
      </c>
    </row>
    <row r="994" spans="1:6" x14ac:dyDescent="0.2">
      <c r="A994" s="2">
        <v>993</v>
      </c>
      <c r="B994">
        <v>1100</v>
      </c>
      <c r="C994" s="1">
        <v>46169</v>
      </c>
      <c r="D994" s="1"/>
      <c r="E994" t="s">
        <v>82</v>
      </c>
      <c r="F994" t="str">
        <f t="shared" si="15"/>
        <v>Active</v>
      </c>
    </row>
    <row r="995" spans="1:6" x14ac:dyDescent="0.2">
      <c r="A995" s="2">
        <v>994</v>
      </c>
      <c r="B995">
        <v>1100</v>
      </c>
      <c r="C995" s="1">
        <v>46169</v>
      </c>
      <c r="D995" s="1"/>
      <c r="E995" t="s">
        <v>558</v>
      </c>
      <c r="F995" t="str">
        <f t="shared" si="15"/>
        <v>Active</v>
      </c>
    </row>
    <row r="996" spans="1:6" x14ac:dyDescent="0.2">
      <c r="A996" s="2">
        <v>995</v>
      </c>
      <c r="B996">
        <v>1100</v>
      </c>
      <c r="C996" s="1">
        <v>46171</v>
      </c>
      <c r="D996" s="1"/>
      <c r="E996" t="s">
        <v>82</v>
      </c>
      <c r="F996" t="str">
        <f t="shared" si="15"/>
        <v>Active</v>
      </c>
    </row>
    <row r="997" spans="1:6" x14ac:dyDescent="0.2">
      <c r="A997" s="2">
        <v>996</v>
      </c>
      <c r="B997">
        <v>1100</v>
      </c>
      <c r="C997" s="1">
        <v>46174</v>
      </c>
      <c r="D997" s="1"/>
      <c r="E997" t="s">
        <v>558</v>
      </c>
      <c r="F997" t="str">
        <f t="shared" si="15"/>
        <v>Active</v>
      </c>
    </row>
    <row r="998" spans="1:6" x14ac:dyDescent="0.2">
      <c r="A998" s="2">
        <v>997</v>
      </c>
      <c r="B998">
        <v>1100</v>
      </c>
      <c r="C998" s="1">
        <v>46174</v>
      </c>
      <c r="D998" s="1"/>
      <c r="E998" t="s">
        <v>82</v>
      </c>
      <c r="F998" t="str">
        <f t="shared" si="15"/>
        <v>Active</v>
      </c>
    </row>
    <row r="999" spans="1:6" x14ac:dyDescent="0.2">
      <c r="A999" s="2">
        <v>998</v>
      </c>
      <c r="B999">
        <v>1100</v>
      </c>
      <c r="C999" s="1">
        <v>46174</v>
      </c>
      <c r="D999" s="1"/>
      <c r="E999" t="s">
        <v>82</v>
      </c>
      <c r="F999" t="str">
        <f t="shared" si="15"/>
        <v>Active</v>
      </c>
    </row>
    <row r="1000" spans="1:6" x14ac:dyDescent="0.2">
      <c r="A1000" s="2">
        <v>999</v>
      </c>
      <c r="B1000">
        <v>1100</v>
      </c>
      <c r="C1000" s="1">
        <v>46175</v>
      </c>
      <c r="D1000" s="1"/>
      <c r="E1000" t="s">
        <v>82</v>
      </c>
      <c r="F1000" t="str">
        <f t="shared" si="15"/>
        <v>Active</v>
      </c>
    </row>
    <row r="1001" spans="1:6" x14ac:dyDescent="0.2">
      <c r="A1001" s="2">
        <v>1000</v>
      </c>
      <c r="B1001">
        <v>1100</v>
      </c>
      <c r="C1001" s="1">
        <v>46188</v>
      </c>
      <c r="D1001" s="1"/>
      <c r="E1001" t="s">
        <v>82</v>
      </c>
      <c r="F1001" t="str">
        <f t="shared" si="15"/>
        <v>Active</v>
      </c>
    </row>
    <row r="1002" spans="1:6" x14ac:dyDescent="0.2">
      <c r="A1002" s="2">
        <v>1001</v>
      </c>
      <c r="B1002">
        <v>1100</v>
      </c>
      <c r="C1002" s="1">
        <v>46202</v>
      </c>
      <c r="D1002" s="1"/>
      <c r="E1002" t="s">
        <v>82</v>
      </c>
      <c r="F1002" t="str">
        <f t="shared" si="15"/>
        <v>Active</v>
      </c>
    </row>
    <row r="1003" spans="1:6" x14ac:dyDescent="0.2">
      <c r="A1003" s="2">
        <v>1002</v>
      </c>
      <c r="B1003">
        <v>1100</v>
      </c>
      <c r="C1003" s="1">
        <v>46206</v>
      </c>
      <c r="D1003" s="1"/>
      <c r="E1003" t="s">
        <v>82</v>
      </c>
      <c r="F1003" t="str">
        <f t="shared" si="15"/>
        <v>Active</v>
      </c>
    </row>
    <row r="1004" spans="1:6" x14ac:dyDescent="0.2">
      <c r="A1004" s="2">
        <v>1003</v>
      </c>
      <c r="B1004">
        <v>1100</v>
      </c>
      <c r="C1004" s="1">
        <v>46209</v>
      </c>
      <c r="D1004" s="1"/>
      <c r="E1004" t="s">
        <v>82</v>
      </c>
      <c r="F1004" t="str">
        <f t="shared" si="15"/>
        <v>Active</v>
      </c>
    </row>
    <row r="1005" spans="1:6" x14ac:dyDescent="0.2">
      <c r="A1005" s="2">
        <v>1004</v>
      </c>
      <c r="B1005">
        <v>1100</v>
      </c>
      <c r="C1005" s="1">
        <v>46218</v>
      </c>
      <c r="D1005" s="1"/>
      <c r="E1005" t="s">
        <v>82</v>
      </c>
      <c r="F1005" t="str">
        <f t="shared" si="15"/>
        <v>Active</v>
      </c>
    </row>
    <row r="1006" spans="1:6" x14ac:dyDescent="0.2">
      <c r="A1006" s="2">
        <v>1005</v>
      </c>
      <c r="B1006">
        <v>1100</v>
      </c>
      <c r="C1006" s="1">
        <v>46218</v>
      </c>
      <c r="D1006" s="1"/>
      <c r="E1006" t="s">
        <v>558</v>
      </c>
      <c r="F1006" t="str">
        <f t="shared" si="15"/>
        <v>Active</v>
      </c>
    </row>
    <row r="1007" spans="1:6" x14ac:dyDescent="0.2">
      <c r="A1007" s="2">
        <v>1006</v>
      </c>
      <c r="B1007">
        <v>1100</v>
      </c>
      <c r="C1007" s="1">
        <v>46219</v>
      </c>
      <c r="D1007" s="1"/>
      <c r="E1007" t="s">
        <v>82</v>
      </c>
      <c r="F1007" t="str">
        <f t="shared" si="15"/>
        <v>Active</v>
      </c>
    </row>
    <row r="1008" spans="1:6" x14ac:dyDescent="0.2">
      <c r="A1008" s="2">
        <v>1007</v>
      </c>
      <c r="B1008">
        <v>1100</v>
      </c>
      <c r="C1008" s="1">
        <v>46225</v>
      </c>
      <c r="D1008" s="1"/>
      <c r="E1008" t="s">
        <v>558</v>
      </c>
      <c r="F1008" t="str">
        <f t="shared" si="15"/>
        <v>Active</v>
      </c>
    </row>
    <row r="1009" spans="1:6" x14ac:dyDescent="0.2">
      <c r="A1009" s="2">
        <v>1008</v>
      </c>
      <c r="B1009">
        <v>1100</v>
      </c>
      <c r="C1009" s="1">
        <v>46231</v>
      </c>
      <c r="D1009" s="1"/>
      <c r="E1009" t="s">
        <v>82</v>
      </c>
      <c r="F1009" t="str">
        <f t="shared" si="15"/>
        <v>Active</v>
      </c>
    </row>
    <row r="1010" spans="1:6" x14ac:dyDescent="0.2">
      <c r="A1010" s="2">
        <v>1009</v>
      </c>
      <c r="B1010">
        <v>1100</v>
      </c>
      <c r="C1010" s="1">
        <v>46234</v>
      </c>
      <c r="D1010" s="1">
        <v>46272</v>
      </c>
      <c r="E1010" t="s">
        <v>82</v>
      </c>
      <c r="F1010" t="str">
        <f t="shared" si="15"/>
        <v>Terminated</v>
      </c>
    </row>
    <row r="1011" spans="1:6" x14ac:dyDescent="0.2">
      <c r="A1011" s="2">
        <v>1010</v>
      </c>
      <c r="B1011">
        <v>1100</v>
      </c>
      <c r="C1011" s="1">
        <v>46234</v>
      </c>
      <c r="D1011" s="1"/>
      <c r="E1011" t="s">
        <v>82</v>
      </c>
      <c r="F1011" t="str">
        <f t="shared" si="15"/>
        <v>Active</v>
      </c>
    </row>
    <row r="1012" spans="1:6" x14ac:dyDescent="0.2">
      <c r="A1012" s="2">
        <v>1011</v>
      </c>
      <c r="B1012">
        <v>1100</v>
      </c>
      <c r="C1012" s="1">
        <v>46237</v>
      </c>
      <c r="D1012" s="1"/>
      <c r="E1012" t="s">
        <v>82</v>
      </c>
      <c r="F1012" t="str">
        <f t="shared" si="15"/>
        <v>Active</v>
      </c>
    </row>
    <row r="1013" spans="1:6" x14ac:dyDescent="0.2">
      <c r="A1013" s="2">
        <v>1012</v>
      </c>
      <c r="B1013">
        <v>1100</v>
      </c>
      <c r="C1013" s="1">
        <v>46237</v>
      </c>
      <c r="D1013" s="1"/>
      <c r="E1013" t="s">
        <v>82</v>
      </c>
      <c r="F1013" t="str">
        <f t="shared" si="15"/>
        <v>Active</v>
      </c>
    </row>
    <row r="1014" spans="1:6" x14ac:dyDescent="0.2">
      <c r="A1014" s="2">
        <v>1013</v>
      </c>
      <c r="B1014">
        <v>1100</v>
      </c>
      <c r="C1014" s="1">
        <v>46237</v>
      </c>
      <c r="D1014" s="1"/>
      <c r="E1014" t="s">
        <v>82</v>
      </c>
      <c r="F1014" t="str">
        <f t="shared" si="15"/>
        <v>Active</v>
      </c>
    </row>
    <row r="1015" spans="1:6" x14ac:dyDescent="0.2">
      <c r="A1015" s="2">
        <v>1014</v>
      </c>
      <c r="B1015">
        <v>1100</v>
      </c>
      <c r="C1015" s="1">
        <v>46240</v>
      </c>
      <c r="D1015" s="1"/>
      <c r="E1015" t="s">
        <v>82</v>
      </c>
      <c r="F1015" t="str">
        <f t="shared" si="15"/>
        <v>Active</v>
      </c>
    </row>
    <row r="1016" spans="1:6" x14ac:dyDescent="0.2">
      <c r="A1016" s="2">
        <v>1015</v>
      </c>
      <c r="B1016">
        <v>1100</v>
      </c>
      <c r="C1016" s="1">
        <v>46241</v>
      </c>
      <c r="D1016" s="1"/>
      <c r="E1016" t="s">
        <v>82</v>
      </c>
      <c r="F1016" t="str">
        <f t="shared" si="15"/>
        <v>Active</v>
      </c>
    </row>
    <row r="1017" spans="1:6" x14ac:dyDescent="0.2">
      <c r="A1017" s="2">
        <v>1016</v>
      </c>
      <c r="B1017">
        <v>1100</v>
      </c>
      <c r="C1017" s="1">
        <v>46241</v>
      </c>
      <c r="D1017" s="1"/>
      <c r="E1017" t="s">
        <v>82</v>
      </c>
      <c r="F1017" t="str">
        <f t="shared" si="15"/>
        <v>Active</v>
      </c>
    </row>
    <row r="1018" spans="1:6" x14ac:dyDescent="0.2">
      <c r="A1018" s="2">
        <v>1017</v>
      </c>
      <c r="B1018">
        <v>1100</v>
      </c>
      <c r="C1018" s="1">
        <v>46244</v>
      </c>
      <c r="D1018" s="1"/>
      <c r="E1018" t="s">
        <v>558</v>
      </c>
      <c r="F1018" t="str">
        <f t="shared" si="15"/>
        <v>Active</v>
      </c>
    </row>
    <row r="1019" spans="1:6" x14ac:dyDescent="0.2">
      <c r="A1019" s="2">
        <v>1018</v>
      </c>
      <c r="B1019">
        <v>1100</v>
      </c>
      <c r="C1019" s="1">
        <v>46244</v>
      </c>
      <c r="D1019" s="1"/>
      <c r="E1019" t="s">
        <v>82</v>
      </c>
      <c r="F1019" t="str">
        <f t="shared" si="15"/>
        <v>Active</v>
      </c>
    </row>
    <row r="1020" spans="1:6" x14ac:dyDescent="0.2">
      <c r="A1020" s="2">
        <v>1019</v>
      </c>
      <c r="B1020">
        <v>1100</v>
      </c>
      <c r="C1020" s="1">
        <v>46251</v>
      </c>
      <c r="D1020" s="1"/>
      <c r="E1020" t="s">
        <v>82</v>
      </c>
      <c r="F1020" t="str">
        <f t="shared" si="15"/>
        <v>Active</v>
      </c>
    </row>
    <row r="1021" spans="1:6" x14ac:dyDescent="0.2">
      <c r="A1021" s="2">
        <v>1020</v>
      </c>
      <c r="B1021">
        <v>1100</v>
      </c>
      <c r="C1021" s="1">
        <v>46251</v>
      </c>
      <c r="D1021" s="1"/>
      <c r="E1021" t="s">
        <v>82</v>
      </c>
      <c r="F1021" t="str">
        <f t="shared" si="15"/>
        <v>Active</v>
      </c>
    </row>
    <row r="1022" spans="1:6" x14ac:dyDescent="0.2">
      <c r="A1022" s="2">
        <v>1021</v>
      </c>
      <c r="B1022">
        <v>1100</v>
      </c>
      <c r="C1022" s="1">
        <v>46251</v>
      </c>
      <c r="D1022" s="1"/>
      <c r="E1022" t="s">
        <v>82</v>
      </c>
      <c r="F1022" t="str">
        <f t="shared" si="15"/>
        <v>Active</v>
      </c>
    </row>
    <row r="1023" spans="1:6" x14ac:dyDescent="0.2">
      <c r="A1023" s="2">
        <v>1022</v>
      </c>
      <c r="B1023">
        <v>1100</v>
      </c>
      <c r="C1023" s="1">
        <v>46251</v>
      </c>
      <c r="D1023" s="1"/>
      <c r="E1023" t="s">
        <v>82</v>
      </c>
      <c r="F1023" t="str">
        <f t="shared" si="15"/>
        <v>Active</v>
      </c>
    </row>
    <row r="1024" spans="1:6" x14ac:dyDescent="0.2">
      <c r="A1024" s="2">
        <v>1023</v>
      </c>
      <c r="B1024">
        <v>1100</v>
      </c>
      <c r="C1024" s="1">
        <v>46252</v>
      </c>
      <c r="D1024" s="1"/>
      <c r="E1024" t="s">
        <v>82</v>
      </c>
      <c r="F1024" t="str">
        <f t="shared" si="15"/>
        <v>Active</v>
      </c>
    </row>
    <row r="1025" spans="1:6" x14ac:dyDescent="0.2">
      <c r="A1025" s="2">
        <v>1024</v>
      </c>
      <c r="B1025">
        <v>1100</v>
      </c>
      <c r="C1025" s="1">
        <v>46252</v>
      </c>
      <c r="D1025" s="1"/>
      <c r="E1025" t="s">
        <v>82</v>
      </c>
      <c r="F1025" t="str">
        <f t="shared" si="15"/>
        <v>Active</v>
      </c>
    </row>
    <row r="1026" spans="1:6" x14ac:dyDescent="0.2">
      <c r="A1026" s="2">
        <v>1025</v>
      </c>
      <c r="B1026">
        <v>1100</v>
      </c>
      <c r="C1026" s="1">
        <v>46254</v>
      </c>
      <c r="D1026" s="1"/>
      <c r="E1026" t="s">
        <v>82</v>
      </c>
      <c r="F1026" t="str">
        <f t="shared" si="15"/>
        <v>Active</v>
      </c>
    </row>
    <row r="1027" spans="1:6" x14ac:dyDescent="0.2">
      <c r="A1027" s="2">
        <v>1026</v>
      </c>
      <c r="B1027">
        <v>1100</v>
      </c>
      <c r="C1027" s="1">
        <v>46259</v>
      </c>
      <c r="D1027" s="1"/>
      <c r="E1027" t="s">
        <v>82</v>
      </c>
      <c r="F1027" t="str">
        <f t="shared" ref="F1027:F1090" si="16">IF(D1027="","Active","Terminated")</f>
        <v>Active</v>
      </c>
    </row>
    <row r="1028" spans="1:6" x14ac:dyDescent="0.2">
      <c r="A1028" s="2">
        <v>1027</v>
      </c>
      <c r="B1028">
        <v>1100</v>
      </c>
      <c r="C1028" s="1">
        <v>46265</v>
      </c>
      <c r="D1028" s="1"/>
      <c r="E1028" t="s">
        <v>82</v>
      </c>
      <c r="F1028" t="str">
        <f t="shared" si="16"/>
        <v>Active</v>
      </c>
    </row>
    <row r="1029" spans="1:6" x14ac:dyDescent="0.2">
      <c r="A1029" s="2">
        <v>1028</v>
      </c>
      <c r="B1029">
        <v>1100</v>
      </c>
      <c r="C1029" s="1">
        <v>46272</v>
      </c>
      <c r="D1029" s="1"/>
      <c r="E1029" t="s">
        <v>82</v>
      </c>
      <c r="F1029" t="str">
        <f t="shared" si="16"/>
        <v>Active</v>
      </c>
    </row>
    <row r="1030" spans="1:6" x14ac:dyDescent="0.2">
      <c r="A1030" s="2">
        <v>1029</v>
      </c>
      <c r="B1030">
        <v>1100</v>
      </c>
      <c r="C1030" s="1">
        <v>46274</v>
      </c>
      <c r="D1030" s="1"/>
      <c r="E1030" t="s">
        <v>82</v>
      </c>
      <c r="F1030" t="str">
        <f t="shared" si="16"/>
        <v>Active</v>
      </c>
    </row>
    <row r="1031" spans="1:6" x14ac:dyDescent="0.2">
      <c r="A1031" s="2">
        <v>1030</v>
      </c>
      <c r="B1031">
        <v>1100</v>
      </c>
      <c r="C1031" s="1">
        <v>46274</v>
      </c>
      <c r="D1031" s="1"/>
      <c r="E1031" t="s">
        <v>82</v>
      </c>
      <c r="F1031" t="str">
        <f t="shared" si="16"/>
        <v>Active</v>
      </c>
    </row>
    <row r="1032" spans="1:6" x14ac:dyDescent="0.2">
      <c r="A1032" s="2">
        <v>1031</v>
      </c>
      <c r="B1032">
        <v>1100</v>
      </c>
      <c r="C1032" s="1">
        <v>46275</v>
      </c>
      <c r="D1032" s="1"/>
      <c r="E1032" t="s">
        <v>82</v>
      </c>
      <c r="F1032" t="str">
        <f t="shared" si="16"/>
        <v>Active</v>
      </c>
    </row>
    <row r="1033" spans="1:6" x14ac:dyDescent="0.2">
      <c r="A1033" s="2">
        <v>1032</v>
      </c>
      <c r="B1033">
        <v>1100</v>
      </c>
      <c r="C1033" s="1">
        <v>46279</v>
      </c>
      <c r="D1033" s="1"/>
      <c r="E1033" t="s">
        <v>82</v>
      </c>
      <c r="F1033" t="str">
        <f t="shared" si="16"/>
        <v>Active</v>
      </c>
    </row>
    <row r="1034" spans="1:6" x14ac:dyDescent="0.2">
      <c r="A1034" s="2">
        <v>1033</v>
      </c>
      <c r="B1034">
        <v>1100</v>
      </c>
      <c r="C1034" s="1">
        <v>46279</v>
      </c>
      <c r="D1034" s="1"/>
      <c r="E1034" t="s">
        <v>82</v>
      </c>
      <c r="F1034" t="str">
        <f t="shared" si="16"/>
        <v>Active</v>
      </c>
    </row>
    <row r="1035" spans="1:6" x14ac:dyDescent="0.2">
      <c r="A1035" s="2">
        <v>1034</v>
      </c>
      <c r="B1035">
        <v>1100</v>
      </c>
      <c r="C1035" s="1">
        <v>46281</v>
      </c>
      <c r="D1035" s="1"/>
      <c r="E1035" t="s">
        <v>558</v>
      </c>
      <c r="F1035" t="str">
        <f t="shared" si="16"/>
        <v>Active</v>
      </c>
    </row>
    <row r="1036" spans="1:6" x14ac:dyDescent="0.2">
      <c r="A1036" s="2">
        <v>1035</v>
      </c>
      <c r="B1036">
        <v>1100</v>
      </c>
      <c r="C1036" s="1">
        <v>46283</v>
      </c>
      <c r="D1036" s="1"/>
      <c r="E1036" t="s">
        <v>82</v>
      </c>
      <c r="F1036" t="str">
        <f t="shared" si="16"/>
        <v>Active</v>
      </c>
    </row>
    <row r="1037" spans="1:6" x14ac:dyDescent="0.2">
      <c r="A1037" s="2">
        <v>1036</v>
      </c>
      <c r="B1037">
        <v>1100</v>
      </c>
      <c r="C1037" s="1">
        <v>46283</v>
      </c>
      <c r="D1037" s="1"/>
      <c r="E1037" t="s">
        <v>82</v>
      </c>
      <c r="F1037" t="str">
        <f t="shared" si="16"/>
        <v>Active</v>
      </c>
    </row>
    <row r="1038" spans="1:6" x14ac:dyDescent="0.2">
      <c r="A1038" s="2">
        <v>1037</v>
      </c>
      <c r="B1038">
        <v>1100</v>
      </c>
      <c r="C1038" s="1">
        <v>46286</v>
      </c>
      <c r="D1038" s="1"/>
      <c r="E1038" t="s">
        <v>82</v>
      </c>
      <c r="F1038" t="str">
        <f t="shared" si="16"/>
        <v>Active</v>
      </c>
    </row>
    <row r="1039" spans="1:6" x14ac:dyDescent="0.2">
      <c r="A1039" s="2">
        <v>1038</v>
      </c>
      <c r="B1039">
        <v>1100</v>
      </c>
      <c r="C1039" s="1">
        <v>46286</v>
      </c>
      <c r="D1039" s="1"/>
      <c r="E1039" t="s">
        <v>82</v>
      </c>
      <c r="F1039" t="str">
        <f t="shared" si="16"/>
        <v>Active</v>
      </c>
    </row>
    <row r="1040" spans="1:6" x14ac:dyDescent="0.2">
      <c r="A1040" s="2">
        <v>1039</v>
      </c>
      <c r="B1040">
        <v>1100</v>
      </c>
      <c r="C1040" s="1">
        <v>46286</v>
      </c>
      <c r="D1040" s="1"/>
      <c r="E1040" t="s">
        <v>82</v>
      </c>
      <c r="F1040" t="str">
        <f t="shared" si="16"/>
        <v>Active</v>
      </c>
    </row>
    <row r="1041" spans="1:6" x14ac:dyDescent="0.2">
      <c r="A1041" s="2">
        <v>1040</v>
      </c>
      <c r="B1041">
        <v>1100</v>
      </c>
      <c r="C1041" s="1">
        <v>46287</v>
      </c>
      <c r="D1041" s="1"/>
      <c r="E1041" t="s">
        <v>82</v>
      </c>
      <c r="F1041" t="str">
        <f t="shared" si="16"/>
        <v>Active</v>
      </c>
    </row>
    <row r="1042" spans="1:6" x14ac:dyDescent="0.2">
      <c r="A1042" s="2">
        <v>1041</v>
      </c>
      <c r="B1042">
        <v>1100</v>
      </c>
      <c r="C1042" s="1">
        <v>46289</v>
      </c>
      <c r="D1042" s="1"/>
      <c r="E1042" t="s">
        <v>82</v>
      </c>
      <c r="F1042" t="str">
        <f t="shared" si="16"/>
        <v>Active</v>
      </c>
    </row>
    <row r="1043" spans="1:6" x14ac:dyDescent="0.2">
      <c r="A1043" s="2">
        <v>1042</v>
      </c>
      <c r="B1043">
        <v>1100</v>
      </c>
      <c r="C1043" s="1">
        <v>46289</v>
      </c>
      <c r="D1043" s="1"/>
      <c r="E1043" t="s">
        <v>82</v>
      </c>
      <c r="F1043" t="str">
        <f t="shared" si="16"/>
        <v>Active</v>
      </c>
    </row>
    <row r="1044" spans="1:6" x14ac:dyDescent="0.2">
      <c r="A1044" s="2">
        <v>1043</v>
      </c>
      <c r="B1044">
        <v>1100</v>
      </c>
      <c r="C1044" s="1">
        <v>46290</v>
      </c>
      <c r="D1044" s="1"/>
      <c r="E1044" t="s">
        <v>82</v>
      </c>
      <c r="F1044" t="str">
        <f t="shared" si="16"/>
        <v>Active</v>
      </c>
    </row>
    <row r="1045" spans="1:6" x14ac:dyDescent="0.2">
      <c r="A1045" s="2">
        <v>1044</v>
      </c>
      <c r="B1045">
        <v>1100</v>
      </c>
      <c r="C1045" s="1">
        <v>46294</v>
      </c>
      <c r="D1045" s="1"/>
      <c r="E1045" t="s">
        <v>82</v>
      </c>
      <c r="F1045" t="str">
        <f t="shared" si="16"/>
        <v>Active</v>
      </c>
    </row>
    <row r="1046" spans="1:6" x14ac:dyDescent="0.2">
      <c r="A1046" s="2">
        <v>1045</v>
      </c>
      <c r="B1046">
        <v>1100</v>
      </c>
      <c r="C1046" s="1">
        <v>46300</v>
      </c>
      <c r="D1046" s="1"/>
      <c r="E1046" t="s">
        <v>82</v>
      </c>
      <c r="F1046" t="str">
        <f t="shared" si="16"/>
        <v>Active</v>
      </c>
    </row>
    <row r="1047" spans="1:6" x14ac:dyDescent="0.2">
      <c r="A1047" s="2">
        <v>1046</v>
      </c>
      <c r="B1047">
        <v>1100</v>
      </c>
      <c r="C1047" s="1">
        <v>46300</v>
      </c>
      <c r="D1047" s="1"/>
      <c r="E1047" t="s">
        <v>82</v>
      </c>
      <c r="F1047" t="str">
        <f t="shared" si="16"/>
        <v>Active</v>
      </c>
    </row>
    <row r="1048" spans="1:6" x14ac:dyDescent="0.2">
      <c r="A1048" s="2">
        <v>1047</v>
      </c>
      <c r="B1048">
        <v>1100</v>
      </c>
      <c r="C1048" s="1">
        <v>46300</v>
      </c>
      <c r="D1048" s="1"/>
      <c r="E1048" t="s">
        <v>82</v>
      </c>
      <c r="F1048" t="str">
        <f t="shared" si="16"/>
        <v>Active</v>
      </c>
    </row>
    <row r="1049" spans="1:6" x14ac:dyDescent="0.2">
      <c r="A1049" s="2">
        <v>1048</v>
      </c>
      <c r="B1049">
        <v>1100</v>
      </c>
      <c r="C1049" s="1">
        <v>46300</v>
      </c>
      <c r="D1049" s="1"/>
      <c r="E1049" t="s">
        <v>82</v>
      </c>
      <c r="F1049" t="str">
        <f t="shared" si="16"/>
        <v>Active</v>
      </c>
    </row>
    <row r="1050" spans="1:6" x14ac:dyDescent="0.2">
      <c r="A1050" s="2">
        <v>1049</v>
      </c>
      <c r="B1050">
        <v>1100</v>
      </c>
      <c r="C1050" s="1">
        <v>46300</v>
      </c>
      <c r="D1050" s="1"/>
      <c r="E1050" t="s">
        <v>82</v>
      </c>
      <c r="F1050" t="str">
        <f t="shared" si="16"/>
        <v>Active</v>
      </c>
    </row>
    <row r="1051" spans="1:6" x14ac:dyDescent="0.2">
      <c r="A1051" s="2">
        <v>1050</v>
      </c>
      <c r="B1051">
        <v>500</v>
      </c>
      <c r="C1051" s="1">
        <v>44067</v>
      </c>
      <c r="D1051" s="1"/>
      <c r="E1051" t="s">
        <v>82</v>
      </c>
      <c r="F1051" t="str">
        <f t="shared" si="16"/>
        <v>Active</v>
      </c>
    </row>
    <row r="1052" spans="1:6" x14ac:dyDescent="0.2">
      <c r="A1052" s="2">
        <v>1051</v>
      </c>
      <c r="B1052">
        <v>500</v>
      </c>
      <c r="C1052" s="1">
        <v>44862</v>
      </c>
      <c r="D1052" s="1">
        <v>45593</v>
      </c>
      <c r="E1052" t="s">
        <v>558</v>
      </c>
      <c r="F1052" t="str">
        <f t="shared" si="16"/>
        <v>Terminated</v>
      </c>
    </row>
    <row r="1053" spans="1:6" x14ac:dyDescent="0.2">
      <c r="A1053" s="2">
        <v>1052</v>
      </c>
      <c r="B1053">
        <v>500</v>
      </c>
      <c r="C1053" s="1">
        <v>45392</v>
      </c>
      <c r="D1053" s="1">
        <v>46293</v>
      </c>
      <c r="E1053" t="s">
        <v>82</v>
      </c>
      <c r="F1053" t="str">
        <f t="shared" si="16"/>
        <v>Terminated</v>
      </c>
    </row>
    <row r="1054" spans="1:6" x14ac:dyDescent="0.2">
      <c r="A1054" s="2">
        <v>1053</v>
      </c>
      <c r="B1054">
        <v>500</v>
      </c>
      <c r="C1054" s="1">
        <v>45649</v>
      </c>
      <c r="D1054" s="1">
        <v>45764</v>
      </c>
      <c r="E1054" t="s">
        <v>82</v>
      </c>
      <c r="F1054" t="str">
        <f t="shared" si="16"/>
        <v>Terminated</v>
      </c>
    </row>
    <row r="1055" spans="1:6" x14ac:dyDescent="0.2">
      <c r="A1055" s="2">
        <v>1054</v>
      </c>
      <c r="B1055">
        <v>500</v>
      </c>
      <c r="C1055" s="1">
        <v>45897</v>
      </c>
      <c r="D1055" s="1"/>
      <c r="E1055" t="s">
        <v>82</v>
      </c>
      <c r="F1055" t="str">
        <f t="shared" si="16"/>
        <v>Active</v>
      </c>
    </row>
    <row r="1056" spans="1:6" x14ac:dyDescent="0.2">
      <c r="A1056" s="2">
        <v>1055</v>
      </c>
      <c r="B1056">
        <v>500</v>
      </c>
      <c r="C1056" s="1">
        <v>45905</v>
      </c>
      <c r="D1056" s="1"/>
      <c r="E1056" t="s">
        <v>82</v>
      </c>
      <c r="F1056" t="str">
        <f t="shared" si="16"/>
        <v>Active</v>
      </c>
    </row>
    <row r="1057" spans="1:6" x14ac:dyDescent="0.2">
      <c r="A1057" s="2">
        <v>1056</v>
      </c>
      <c r="B1057">
        <v>500</v>
      </c>
      <c r="C1057" s="1">
        <v>45909</v>
      </c>
      <c r="D1057" s="1"/>
      <c r="E1057" t="s">
        <v>82</v>
      </c>
      <c r="F1057" t="str">
        <f t="shared" si="16"/>
        <v>Active</v>
      </c>
    </row>
    <row r="1058" spans="1:6" x14ac:dyDescent="0.2">
      <c r="A1058" s="2">
        <v>1057</v>
      </c>
      <c r="B1058">
        <v>500</v>
      </c>
      <c r="C1058" s="1">
        <v>45926</v>
      </c>
      <c r="D1058" s="1"/>
      <c r="E1058" t="s">
        <v>82</v>
      </c>
      <c r="F1058" t="str">
        <f t="shared" si="16"/>
        <v>Active</v>
      </c>
    </row>
    <row r="1059" spans="1:6" x14ac:dyDescent="0.2">
      <c r="A1059" s="2">
        <v>1058</v>
      </c>
      <c r="B1059">
        <v>500</v>
      </c>
      <c r="C1059" s="1">
        <v>45968</v>
      </c>
      <c r="D1059" s="1"/>
      <c r="E1059" t="s">
        <v>82</v>
      </c>
      <c r="F1059" t="str">
        <f t="shared" si="16"/>
        <v>Active</v>
      </c>
    </row>
    <row r="1060" spans="1:6" x14ac:dyDescent="0.2">
      <c r="A1060" s="2">
        <v>1059</v>
      </c>
      <c r="B1060">
        <v>500</v>
      </c>
      <c r="C1060" s="1">
        <v>46014</v>
      </c>
      <c r="D1060" s="1"/>
      <c r="E1060" t="s">
        <v>82</v>
      </c>
      <c r="F1060" t="str">
        <f t="shared" si="16"/>
        <v>Active</v>
      </c>
    </row>
    <row r="1061" spans="1:6" x14ac:dyDescent="0.2">
      <c r="A1061" s="2">
        <v>1060</v>
      </c>
      <c r="B1061">
        <v>500</v>
      </c>
      <c r="C1061" s="1">
        <v>46030</v>
      </c>
      <c r="D1061" s="1"/>
      <c r="E1061" t="s">
        <v>82</v>
      </c>
      <c r="F1061" t="str">
        <f t="shared" si="16"/>
        <v>Active</v>
      </c>
    </row>
    <row r="1062" spans="1:6" x14ac:dyDescent="0.2">
      <c r="A1062" s="2">
        <v>1061</v>
      </c>
      <c r="B1062">
        <v>500</v>
      </c>
      <c r="C1062" s="1">
        <v>46070</v>
      </c>
      <c r="D1062" s="1"/>
      <c r="E1062" t="s">
        <v>82</v>
      </c>
      <c r="F1062" t="str">
        <f t="shared" si="16"/>
        <v>Active</v>
      </c>
    </row>
    <row r="1063" spans="1:6" x14ac:dyDescent="0.2">
      <c r="A1063" s="2">
        <v>1062</v>
      </c>
      <c r="B1063">
        <v>500</v>
      </c>
      <c r="C1063" s="1">
        <v>46163</v>
      </c>
      <c r="D1063" s="1"/>
      <c r="E1063" t="s">
        <v>82</v>
      </c>
      <c r="F1063" t="str">
        <f t="shared" si="16"/>
        <v>Active</v>
      </c>
    </row>
    <row r="1064" spans="1:6" x14ac:dyDescent="0.2">
      <c r="A1064" s="2">
        <v>1063</v>
      </c>
      <c r="B1064">
        <v>500</v>
      </c>
      <c r="C1064" s="1">
        <v>46196</v>
      </c>
      <c r="D1064" s="1"/>
      <c r="E1064" t="s">
        <v>82</v>
      </c>
      <c r="F1064" t="str">
        <f t="shared" si="16"/>
        <v>Active</v>
      </c>
    </row>
    <row r="1065" spans="1:6" x14ac:dyDescent="0.2">
      <c r="A1065" s="2">
        <v>1064</v>
      </c>
      <c r="B1065">
        <v>500</v>
      </c>
      <c r="C1065" s="1">
        <v>46209</v>
      </c>
      <c r="D1065" s="1"/>
      <c r="E1065" t="s">
        <v>82</v>
      </c>
      <c r="F1065" t="str">
        <f t="shared" si="16"/>
        <v>Active</v>
      </c>
    </row>
    <row r="1066" spans="1:6" x14ac:dyDescent="0.2">
      <c r="A1066" s="2">
        <v>1065</v>
      </c>
      <c r="B1066">
        <v>500</v>
      </c>
      <c r="C1066" s="1">
        <v>46224</v>
      </c>
      <c r="D1066" s="1"/>
      <c r="E1066" t="s">
        <v>82</v>
      </c>
      <c r="F1066" t="str">
        <f t="shared" si="16"/>
        <v>Active</v>
      </c>
    </row>
    <row r="1067" spans="1:6" x14ac:dyDescent="0.2">
      <c r="A1067" s="2">
        <v>1066</v>
      </c>
      <c r="B1067">
        <v>500</v>
      </c>
      <c r="C1067" s="1">
        <v>46240</v>
      </c>
      <c r="D1067" s="1"/>
      <c r="E1067" t="s">
        <v>82</v>
      </c>
      <c r="F1067" t="str">
        <f t="shared" si="16"/>
        <v>Active</v>
      </c>
    </row>
    <row r="1068" spans="1:6" x14ac:dyDescent="0.2">
      <c r="A1068" s="2">
        <v>1067</v>
      </c>
      <c r="B1068">
        <v>500</v>
      </c>
      <c r="C1068" s="1">
        <v>46246</v>
      </c>
      <c r="D1068" s="1"/>
      <c r="E1068" t="s">
        <v>82</v>
      </c>
      <c r="F1068" t="str">
        <f t="shared" si="16"/>
        <v>Active</v>
      </c>
    </row>
    <row r="1069" spans="1:6" x14ac:dyDescent="0.2">
      <c r="A1069" s="2">
        <v>1068</v>
      </c>
      <c r="B1069">
        <v>500</v>
      </c>
      <c r="C1069" s="1">
        <v>46254</v>
      </c>
      <c r="D1069" s="1"/>
      <c r="E1069" t="s">
        <v>82</v>
      </c>
      <c r="F1069" t="str">
        <f t="shared" si="16"/>
        <v>Active</v>
      </c>
    </row>
    <row r="1070" spans="1:6" x14ac:dyDescent="0.2">
      <c r="A1070" s="2">
        <v>1069</v>
      </c>
      <c r="B1070">
        <v>500</v>
      </c>
      <c r="C1070" s="1">
        <v>46272</v>
      </c>
      <c r="D1070" s="1"/>
      <c r="E1070" t="s">
        <v>82</v>
      </c>
      <c r="F1070" t="str">
        <f t="shared" si="16"/>
        <v>Active</v>
      </c>
    </row>
    <row r="1071" spans="1:6" x14ac:dyDescent="0.2">
      <c r="A1071" s="2">
        <v>1070</v>
      </c>
      <c r="B1071">
        <v>500</v>
      </c>
      <c r="C1071" s="1">
        <v>46275</v>
      </c>
      <c r="D1071" s="1"/>
      <c r="E1071" t="s">
        <v>557</v>
      </c>
      <c r="F1071" t="str">
        <f t="shared" si="16"/>
        <v>Active</v>
      </c>
    </row>
    <row r="1072" spans="1:6" x14ac:dyDescent="0.2">
      <c r="A1072" s="2">
        <v>1071</v>
      </c>
      <c r="B1072">
        <v>500</v>
      </c>
      <c r="C1072" s="1">
        <v>46290</v>
      </c>
      <c r="D1072" s="1"/>
      <c r="E1072" t="s">
        <v>82</v>
      </c>
      <c r="F1072" t="str">
        <f t="shared" si="16"/>
        <v>Active</v>
      </c>
    </row>
    <row r="1073" spans="1:6" x14ac:dyDescent="0.2">
      <c r="A1073" s="2">
        <v>1072</v>
      </c>
      <c r="B1073">
        <v>500</v>
      </c>
      <c r="C1073" s="1">
        <v>46290</v>
      </c>
      <c r="D1073" s="1"/>
      <c r="E1073" t="s">
        <v>82</v>
      </c>
      <c r="F1073" t="str">
        <f t="shared" si="16"/>
        <v>Active</v>
      </c>
    </row>
    <row r="1074" spans="1:6" x14ac:dyDescent="0.2">
      <c r="A1074" s="2">
        <v>1073</v>
      </c>
      <c r="B1074">
        <v>500</v>
      </c>
      <c r="C1074" s="1">
        <v>46294</v>
      </c>
      <c r="D1074" s="1"/>
      <c r="E1074" t="s">
        <v>558</v>
      </c>
      <c r="F1074" t="str">
        <f t="shared" si="16"/>
        <v>Active</v>
      </c>
    </row>
    <row r="1075" spans="1:6" x14ac:dyDescent="0.2">
      <c r="A1075" s="2">
        <v>1074</v>
      </c>
      <c r="B1075">
        <v>500</v>
      </c>
      <c r="C1075" s="1">
        <v>46294</v>
      </c>
      <c r="D1075" s="1"/>
      <c r="E1075" t="s">
        <v>557</v>
      </c>
      <c r="F1075" t="str">
        <f t="shared" si="16"/>
        <v>Active</v>
      </c>
    </row>
    <row r="1076" spans="1:6" x14ac:dyDescent="0.2">
      <c r="A1076" s="2">
        <v>1075</v>
      </c>
      <c r="B1076">
        <v>500</v>
      </c>
      <c r="C1076" s="1">
        <v>46294</v>
      </c>
      <c r="D1076" s="1"/>
      <c r="E1076" t="s">
        <v>82</v>
      </c>
      <c r="F1076" t="str">
        <f t="shared" si="16"/>
        <v>Active</v>
      </c>
    </row>
    <row r="1077" spans="1:6" x14ac:dyDescent="0.2">
      <c r="A1077" s="2">
        <v>1076</v>
      </c>
      <c r="B1077">
        <v>500</v>
      </c>
      <c r="C1077" s="1">
        <v>46297</v>
      </c>
      <c r="D1077" s="1"/>
      <c r="E1077" t="s">
        <v>82</v>
      </c>
      <c r="F1077" t="str">
        <f t="shared" si="16"/>
        <v>Active</v>
      </c>
    </row>
    <row r="1078" spans="1:6" x14ac:dyDescent="0.2">
      <c r="A1078" s="2">
        <v>1077</v>
      </c>
      <c r="B1078">
        <v>500</v>
      </c>
      <c r="C1078" s="1">
        <v>46300</v>
      </c>
      <c r="D1078" s="1"/>
      <c r="E1078" t="s">
        <v>82</v>
      </c>
      <c r="F1078" t="str">
        <f t="shared" si="16"/>
        <v>Active</v>
      </c>
    </row>
    <row r="1079" spans="1:6" x14ac:dyDescent="0.2">
      <c r="A1079" s="2">
        <v>1078</v>
      </c>
      <c r="B1079">
        <v>600</v>
      </c>
      <c r="C1079" s="1">
        <v>44070</v>
      </c>
      <c r="D1079" s="1"/>
      <c r="E1079" t="s">
        <v>82</v>
      </c>
      <c r="F1079" t="str">
        <f t="shared" si="16"/>
        <v>Active</v>
      </c>
    </row>
    <row r="1080" spans="1:6" x14ac:dyDescent="0.2">
      <c r="A1080" s="2">
        <v>1079</v>
      </c>
      <c r="B1080">
        <v>600</v>
      </c>
      <c r="C1080" s="1">
        <v>44208</v>
      </c>
      <c r="D1080" s="1">
        <v>44627</v>
      </c>
      <c r="E1080" t="s">
        <v>82</v>
      </c>
      <c r="F1080" t="str">
        <f t="shared" si="16"/>
        <v>Terminated</v>
      </c>
    </row>
    <row r="1081" spans="1:6" x14ac:dyDescent="0.2">
      <c r="A1081" s="2">
        <v>1080</v>
      </c>
      <c r="B1081">
        <v>600</v>
      </c>
      <c r="C1081" s="1">
        <v>44945</v>
      </c>
      <c r="D1081" s="1"/>
      <c r="E1081" t="s">
        <v>82</v>
      </c>
      <c r="F1081" t="str">
        <f t="shared" si="16"/>
        <v>Active</v>
      </c>
    </row>
    <row r="1082" spans="1:6" x14ac:dyDescent="0.2">
      <c r="A1082" s="2">
        <v>1081</v>
      </c>
      <c r="B1082">
        <v>600</v>
      </c>
      <c r="C1082" s="1">
        <v>45034</v>
      </c>
      <c r="D1082" s="1">
        <v>45754</v>
      </c>
      <c r="E1082" t="s">
        <v>82</v>
      </c>
      <c r="F1082" t="str">
        <f t="shared" si="16"/>
        <v>Terminated</v>
      </c>
    </row>
    <row r="1083" spans="1:6" x14ac:dyDescent="0.2">
      <c r="A1083" s="2">
        <v>1082</v>
      </c>
      <c r="B1083">
        <v>600</v>
      </c>
      <c r="C1083" s="1">
        <v>45418</v>
      </c>
      <c r="D1083" s="1">
        <v>46279</v>
      </c>
      <c r="E1083" t="s">
        <v>82</v>
      </c>
      <c r="F1083" t="str">
        <f t="shared" si="16"/>
        <v>Terminated</v>
      </c>
    </row>
    <row r="1084" spans="1:6" x14ac:dyDescent="0.2">
      <c r="A1084" s="2">
        <v>1083</v>
      </c>
      <c r="B1084">
        <v>600</v>
      </c>
      <c r="C1084" s="1">
        <v>45628</v>
      </c>
      <c r="D1084" s="1">
        <v>46202</v>
      </c>
      <c r="E1084" t="s">
        <v>82</v>
      </c>
      <c r="F1084" t="str">
        <f t="shared" si="16"/>
        <v>Terminated</v>
      </c>
    </row>
    <row r="1085" spans="1:6" x14ac:dyDescent="0.2">
      <c r="A1085" s="2">
        <v>1084</v>
      </c>
      <c r="B1085">
        <v>600</v>
      </c>
      <c r="C1085" s="1">
        <v>45646</v>
      </c>
      <c r="D1085" s="1"/>
      <c r="E1085" t="s">
        <v>82</v>
      </c>
      <c r="F1085" t="str">
        <f t="shared" si="16"/>
        <v>Active</v>
      </c>
    </row>
    <row r="1086" spans="1:6" x14ac:dyDescent="0.2">
      <c r="A1086" s="2">
        <v>1085</v>
      </c>
      <c r="B1086">
        <v>600</v>
      </c>
      <c r="C1086" s="1">
        <v>45754</v>
      </c>
      <c r="D1086" s="1">
        <v>46253</v>
      </c>
      <c r="E1086" t="s">
        <v>82</v>
      </c>
      <c r="F1086" t="str">
        <f t="shared" si="16"/>
        <v>Terminated</v>
      </c>
    </row>
    <row r="1087" spans="1:6" x14ac:dyDescent="0.2">
      <c r="A1087" s="2">
        <v>1086</v>
      </c>
      <c r="B1087">
        <v>600</v>
      </c>
      <c r="C1087" s="1">
        <v>45754</v>
      </c>
      <c r="D1087" s="1"/>
      <c r="E1087" t="s">
        <v>82</v>
      </c>
      <c r="F1087" t="str">
        <f t="shared" si="16"/>
        <v>Active</v>
      </c>
    </row>
    <row r="1088" spans="1:6" x14ac:dyDescent="0.2">
      <c r="A1088" s="2">
        <v>1087</v>
      </c>
      <c r="B1088">
        <v>600</v>
      </c>
      <c r="C1088" s="1">
        <v>45881</v>
      </c>
      <c r="D1088" s="1"/>
      <c r="E1088" t="s">
        <v>82</v>
      </c>
      <c r="F1088" t="str">
        <f t="shared" si="16"/>
        <v>Active</v>
      </c>
    </row>
    <row r="1089" spans="1:6" x14ac:dyDescent="0.2">
      <c r="A1089" s="2">
        <v>1088</v>
      </c>
      <c r="B1089">
        <v>600</v>
      </c>
      <c r="C1089" s="1">
        <v>45887</v>
      </c>
      <c r="D1089" s="1"/>
      <c r="E1089" t="s">
        <v>82</v>
      </c>
      <c r="F1089" t="str">
        <f t="shared" si="16"/>
        <v>Active</v>
      </c>
    </row>
    <row r="1090" spans="1:6" x14ac:dyDescent="0.2">
      <c r="A1090" s="2">
        <v>1089</v>
      </c>
      <c r="B1090">
        <v>600</v>
      </c>
      <c r="C1090" s="1">
        <v>45897</v>
      </c>
      <c r="D1090" s="1"/>
      <c r="E1090" t="s">
        <v>82</v>
      </c>
      <c r="F1090" t="str">
        <f t="shared" si="16"/>
        <v>Active</v>
      </c>
    </row>
    <row r="1091" spans="1:6" x14ac:dyDescent="0.2">
      <c r="A1091" s="2">
        <v>1090</v>
      </c>
      <c r="B1091">
        <v>600</v>
      </c>
      <c r="C1091" s="1">
        <v>45915</v>
      </c>
      <c r="D1091" s="1"/>
      <c r="E1091" t="s">
        <v>82</v>
      </c>
      <c r="F1091" t="str">
        <f t="shared" ref="F1091:F1154" si="17">IF(D1091="","Active","Terminated")</f>
        <v>Active</v>
      </c>
    </row>
    <row r="1092" spans="1:6" x14ac:dyDescent="0.2">
      <c r="A1092" s="2">
        <v>1091</v>
      </c>
      <c r="B1092">
        <v>600</v>
      </c>
      <c r="C1092" s="1">
        <v>45925</v>
      </c>
      <c r="D1092" s="1"/>
      <c r="E1092" t="s">
        <v>82</v>
      </c>
      <c r="F1092" t="str">
        <f t="shared" si="17"/>
        <v>Active</v>
      </c>
    </row>
    <row r="1093" spans="1:6" x14ac:dyDescent="0.2">
      <c r="A1093" s="2">
        <v>1092</v>
      </c>
      <c r="B1093">
        <v>600</v>
      </c>
      <c r="C1093" s="1">
        <v>46090</v>
      </c>
      <c r="D1093" s="1"/>
      <c r="E1093" t="s">
        <v>82</v>
      </c>
      <c r="F1093" t="str">
        <f t="shared" si="17"/>
        <v>Active</v>
      </c>
    </row>
    <row r="1094" spans="1:6" x14ac:dyDescent="0.2">
      <c r="A1094" s="2">
        <v>1093</v>
      </c>
      <c r="B1094">
        <v>600</v>
      </c>
      <c r="C1094" s="1">
        <v>46167</v>
      </c>
      <c r="D1094" s="1"/>
      <c r="E1094" t="s">
        <v>82</v>
      </c>
      <c r="F1094" t="str">
        <f t="shared" si="17"/>
        <v>Active</v>
      </c>
    </row>
    <row r="1095" spans="1:6" x14ac:dyDescent="0.2">
      <c r="A1095" s="2">
        <v>1094</v>
      </c>
      <c r="B1095">
        <v>600</v>
      </c>
      <c r="C1095" s="1">
        <v>46183</v>
      </c>
      <c r="D1095" s="1"/>
      <c r="E1095" t="s">
        <v>82</v>
      </c>
      <c r="F1095" t="str">
        <f t="shared" si="17"/>
        <v>Active</v>
      </c>
    </row>
    <row r="1096" spans="1:6" x14ac:dyDescent="0.2">
      <c r="A1096" s="2">
        <v>1095</v>
      </c>
      <c r="B1096">
        <v>600</v>
      </c>
      <c r="C1096" s="1">
        <v>46192</v>
      </c>
      <c r="D1096" s="1"/>
      <c r="E1096" t="s">
        <v>82</v>
      </c>
      <c r="F1096" t="str">
        <f t="shared" si="17"/>
        <v>Active</v>
      </c>
    </row>
    <row r="1097" spans="1:6" x14ac:dyDescent="0.2">
      <c r="A1097" s="2">
        <v>1096</v>
      </c>
      <c r="B1097">
        <v>600</v>
      </c>
      <c r="C1097" s="1">
        <v>46218</v>
      </c>
      <c r="D1097" s="1"/>
      <c r="E1097" t="s">
        <v>82</v>
      </c>
      <c r="F1097" t="str">
        <f t="shared" si="17"/>
        <v>Active</v>
      </c>
    </row>
    <row r="1098" spans="1:6" x14ac:dyDescent="0.2">
      <c r="A1098" s="2">
        <v>1097</v>
      </c>
      <c r="B1098">
        <v>600</v>
      </c>
      <c r="C1098" s="1">
        <v>46231</v>
      </c>
      <c r="D1098" s="1"/>
      <c r="E1098" t="s">
        <v>558</v>
      </c>
      <c r="F1098" t="str">
        <f t="shared" si="17"/>
        <v>Active</v>
      </c>
    </row>
    <row r="1099" spans="1:6" x14ac:dyDescent="0.2">
      <c r="A1099" s="2">
        <v>1098</v>
      </c>
      <c r="B1099">
        <v>600</v>
      </c>
      <c r="C1099" s="1">
        <v>46237</v>
      </c>
      <c r="D1099" s="1"/>
      <c r="E1099" t="s">
        <v>82</v>
      </c>
      <c r="F1099" t="str">
        <f t="shared" si="17"/>
        <v>Active</v>
      </c>
    </row>
    <row r="1100" spans="1:6" x14ac:dyDescent="0.2">
      <c r="A1100" s="2">
        <v>1099</v>
      </c>
      <c r="B1100">
        <v>600</v>
      </c>
      <c r="C1100" s="1">
        <v>46246</v>
      </c>
      <c r="D1100" s="1"/>
      <c r="E1100" t="s">
        <v>82</v>
      </c>
      <c r="F1100" t="str">
        <f t="shared" si="17"/>
        <v>Active</v>
      </c>
    </row>
    <row r="1101" spans="1:6" x14ac:dyDescent="0.2">
      <c r="A1101" s="2">
        <v>1100</v>
      </c>
      <c r="B1101">
        <v>600</v>
      </c>
      <c r="C1101" s="1">
        <v>46266</v>
      </c>
      <c r="D1101" s="1"/>
      <c r="E1101" t="s">
        <v>82</v>
      </c>
      <c r="F1101" t="str">
        <f t="shared" si="17"/>
        <v>Active</v>
      </c>
    </row>
    <row r="1102" spans="1:6" x14ac:dyDescent="0.2">
      <c r="A1102" s="2">
        <v>1101</v>
      </c>
      <c r="B1102">
        <v>600</v>
      </c>
      <c r="C1102" s="1">
        <v>46267</v>
      </c>
      <c r="D1102" s="1"/>
      <c r="E1102" t="s">
        <v>82</v>
      </c>
      <c r="F1102" t="str">
        <f t="shared" si="17"/>
        <v>Active</v>
      </c>
    </row>
    <row r="1103" spans="1:6" x14ac:dyDescent="0.2">
      <c r="A1103" s="2">
        <v>1102</v>
      </c>
      <c r="B1103">
        <v>600</v>
      </c>
      <c r="C1103" s="1">
        <v>46279</v>
      </c>
      <c r="D1103" s="1"/>
      <c r="E1103" t="s">
        <v>82</v>
      </c>
      <c r="F1103" t="str">
        <f t="shared" si="17"/>
        <v>Active</v>
      </c>
    </row>
    <row r="1104" spans="1:6" x14ac:dyDescent="0.2">
      <c r="A1104" s="2">
        <v>1103</v>
      </c>
      <c r="B1104">
        <v>600</v>
      </c>
      <c r="C1104" s="1">
        <v>46279</v>
      </c>
      <c r="D1104" s="1"/>
      <c r="E1104" t="s">
        <v>82</v>
      </c>
      <c r="F1104" t="str">
        <f t="shared" si="17"/>
        <v>Active</v>
      </c>
    </row>
    <row r="1105" spans="1:6" x14ac:dyDescent="0.2">
      <c r="A1105" s="2">
        <v>1104</v>
      </c>
      <c r="B1105">
        <v>600</v>
      </c>
      <c r="C1105" s="1">
        <v>46286</v>
      </c>
      <c r="D1105" s="1"/>
      <c r="E1105" t="s">
        <v>82</v>
      </c>
      <c r="F1105" t="str">
        <f t="shared" si="17"/>
        <v>Active</v>
      </c>
    </row>
    <row r="1106" spans="1:6" x14ac:dyDescent="0.2">
      <c r="A1106" s="2">
        <v>1105</v>
      </c>
      <c r="B1106">
        <v>600</v>
      </c>
      <c r="C1106" s="1">
        <v>46290</v>
      </c>
      <c r="D1106" s="1"/>
      <c r="E1106" t="s">
        <v>82</v>
      </c>
      <c r="F1106" t="str">
        <f t="shared" si="17"/>
        <v>Active</v>
      </c>
    </row>
    <row r="1107" spans="1:6" x14ac:dyDescent="0.2">
      <c r="A1107" s="2">
        <v>1106</v>
      </c>
      <c r="B1107">
        <v>600</v>
      </c>
      <c r="C1107" s="1">
        <v>46293</v>
      </c>
      <c r="D1107" s="1"/>
      <c r="E1107" t="s">
        <v>82</v>
      </c>
      <c r="F1107" t="str">
        <f t="shared" si="17"/>
        <v>Active</v>
      </c>
    </row>
    <row r="1108" spans="1:6" x14ac:dyDescent="0.2">
      <c r="A1108" s="2">
        <v>1107</v>
      </c>
      <c r="B1108">
        <v>600</v>
      </c>
      <c r="C1108" s="1">
        <v>46293</v>
      </c>
      <c r="D1108" s="1"/>
      <c r="E1108" t="s">
        <v>82</v>
      </c>
      <c r="F1108" t="str">
        <f t="shared" si="17"/>
        <v>Active</v>
      </c>
    </row>
    <row r="1109" spans="1:6" x14ac:dyDescent="0.2">
      <c r="A1109" s="2">
        <v>1108</v>
      </c>
      <c r="B1109">
        <v>600</v>
      </c>
      <c r="C1109" s="1">
        <v>46293</v>
      </c>
      <c r="D1109" s="1"/>
      <c r="E1109" t="s">
        <v>82</v>
      </c>
      <c r="F1109" t="str">
        <f t="shared" si="17"/>
        <v>Active</v>
      </c>
    </row>
    <row r="1110" spans="1:6" x14ac:dyDescent="0.2">
      <c r="A1110" s="2">
        <v>1109</v>
      </c>
      <c r="B1110">
        <v>600</v>
      </c>
      <c r="C1110" s="1">
        <v>46293</v>
      </c>
      <c r="D1110" s="1"/>
      <c r="E1110" t="s">
        <v>82</v>
      </c>
      <c r="F1110" t="str">
        <f t="shared" si="17"/>
        <v>Active</v>
      </c>
    </row>
    <row r="1111" spans="1:6" x14ac:dyDescent="0.2">
      <c r="A1111" s="2">
        <v>1110</v>
      </c>
      <c r="B1111">
        <v>600</v>
      </c>
      <c r="C1111" s="1">
        <v>46293</v>
      </c>
      <c r="D1111" s="1"/>
      <c r="E1111" t="s">
        <v>82</v>
      </c>
      <c r="F1111" t="str">
        <f t="shared" si="17"/>
        <v>Active</v>
      </c>
    </row>
    <row r="1112" spans="1:6" x14ac:dyDescent="0.2">
      <c r="A1112" s="2">
        <v>1111</v>
      </c>
      <c r="B1112">
        <v>600</v>
      </c>
      <c r="C1112" s="1">
        <v>46294</v>
      </c>
      <c r="D1112" s="1"/>
      <c r="E1112" t="s">
        <v>82</v>
      </c>
      <c r="F1112" t="str">
        <f t="shared" si="17"/>
        <v>Active</v>
      </c>
    </row>
    <row r="1113" spans="1:6" x14ac:dyDescent="0.2">
      <c r="A1113" s="2">
        <v>1112</v>
      </c>
      <c r="B1113">
        <v>600</v>
      </c>
      <c r="C1113" s="1">
        <v>46294</v>
      </c>
      <c r="D1113" s="1"/>
      <c r="E1113" t="s">
        <v>82</v>
      </c>
      <c r="F1113" t="str">
        <f t="shared" si="17"/>
        <v>Active</v>
      </c>
    </row>
    <row r="1114" spans="1:6" x14ac:dyDescent="0.2">
      <c r="A1114" s="2">
        <v>1113</v>
      </c>
      <c r="B1114">
        <v>600</v>
      </c>
      <c r="C1114" s="1">
        <v>46295</v>
      </c>
      <c r="D1114" s="1"/>
      <c r="E1114" t="s">
        <v>558</v>
      </c>
      <c r="F1114" t="str">
        <f t="shared" si="17"/>
        <v>Active</v>
      </c>
    </row>
    <row r="1115" spans="1:6" x14ac:dyDescent="0.2">
      <c r="A1115" s="2">
        <v>1114</v>
      </c>
      <c r="B1115">
        <v>600</v>
      </c>
      <c r="C1115" s="1">
        <v>46295</v>
      </c>
      <c r="D1115" s="1"/>
      <c r="E1115" t="s">
        <v>82</v>
      </c>
      <c r="F1115" t="str">
        <f t="shared" si="17"/>
        <v>Active</v>
      </c>
    </row>
    <row r="1116" spans="1:6" x14ac:dyDescent="0.2">
      <c r="A1116" s="2">
        <v>1115</v>
      </c>
      <c r="B1116">
        <v>600</v>
      </c>
      <c r="C1116" s="1">
        <v>46297</v>
      </c>
      <c r="D1116" s="1"/>
      <c r="E1116" t="s">
        <v>82</v>
      </c>
      <c r="F1116" t="str">
        <f t="shared" si="17"/>
        <v>Active</v>
      </c>
    </row>
    <row r="1117" spans="1:6" x14ac:dyDescent="0.2">
      <c r="A1117" s="2">
        <v>1116</v>
      </c>
      <c r="B1117">
        <v>600</v>
      </c>
      <c r="C1117" s="1">
        <v>46300</v>
      </c>
      <c r="D1117" s="1"/>
      <c r="E1117" t="s">
        <v>82</v>
      </c>
      <c r="F1117" t="str">
        <f t="shared" si="17"/>
        <v>Active</v>
      </c>
    </row>
    <row r="1118" spans="1:6" x14ac:dyDescent="0.2">
      <c r="A1118" s="2">
        <v>1117</v>
      </c>
      <c r="B1118">
        <v>600</v>
      </c>
      <c r="C1118" s="1">
        <v>46300</v>
      </c>
      <c r="D1118" s="1"/>
      <c r="E1118" t="s">
        <v>82</v>
      </c>
      <c r="F1118" t="str">
        <f t="shared" si="17"/>
        <v>Active</v>
      </c>
    </row>
    <row r="1119" spans="1:6" x14ac:dyDescent="0.2">
      <c r="A1119" s="2">
        <v>1118</v>
      </c>
      <c r="B1119">
        <v>600</v>
      </c>
      <c r="C1119" s="1">
        <v>46300</v>
      </c>
      <c r="D1119" s="1"/>
      <c r="E1119" t="s">
        <v>82</v>
      </c>
      <c r="F1119" t="str">
        <f t="shared" si="17"/>
        <v>Active</v>
      </c>
    </row>
    <row r="1120" spans="1:6" x14ac:dyDescent="0.2">
      <c r="A1120" s="2">
        <v>1119</v>
      </c>
      <c r="B1120">
        <v>600</v>
      </c>
      <c r="C1120" s="1">
        <v>46300</v>
      </c>
      <c r="D1120" s="1"/>
      <c r="E1120" t="s">
        <v>82</v>
      </c>
      <c r="F1120" t="str">
        <f t="shared" si="17"/>
        <v>Active</v>
      </c>
    </row>
    <row r="1121" spans="1:6" x14ac:dyDescent="0.2">
      <c r="A1121" s="2">
        <v>1120</v>
      </c>
      <c r="B1121">
        <v>600</v>
      </c>
      <c r="C1121" s="1">
        <v>46300</v>
      </c>
      <c r="D1121" s="1"/>
      <c r="E1121" t="s">
        <v>82</v>
      </c>
      <c r="F1121" t="str">
        <f t="shared" si="17"/>
        <v>Active</v>
      </c>
    </row>
    <row r="1122" spans="1:6" x14ac:dyDescent="0.2">
      <c r="A1122" s="2">
        <v>1121</v>
      </c>
      <c r="B1122">
        <v>600</v>
      </c>
      <c r="C1122" s="1">
        <v>46300</v>
      </c>
      <c r="D1122" s="1"/>
      <c r="E1122" t="s">
        <v>82</v>
      </c>
      <c r="F1122" t="str">
        <f t="shared" si="17"/>
        <v>Active</v>
      </c>
    </row>
    <row r="1123" spans="1:6" x14ac:dyDescent="0.2">
      <c r="A1123" s="2">
        <v>1122</v>
      </c>
      <c r="B1123">
        <v>600</v>
      </c>
      <c r="C1123" s="1">
        <v>46300</v>
      </c>
      <c r="D1123" s="1"/>
      <c r="E1123" t="s">
        <v>82</v>
      </c>
      <c r="F1123" t="str">
        <f t="shared" si="17"/>
        <v>Active</v>
      </c>
    </row>
    <row r="1124" spans="1:6" x14ac:dyDescent="0.2">
      <c r="A1124" s="2">
        <v>1123</v>
      </c>
      <c r="B1124">
        <v>700</v>
      </c>
      <c r="C1124" s="1">
        <v>44071</v>
      </c>
      <c r="D1124" s="1"/>
      <c r="E1124" t="s">
        <v>82</v>
      </c>
      <c r="F1124" t="str">
        <f t="shared" si="17"/>
        <v>Active</v>
      </c>
    </row>
    <row r="1125" spans="1:6" x14ac:dyDescent="0.2">
      <c r="A1125" s="2">
        <v>1124</v>
      </c>
      <c r="B1125">
        <v>700</v>
      </c>
      <c r="C1125" s="1">
        <v>44403</v>
      </c>
      <c r="D1125" s="1">
        <v>44524</v>
      </c>
      <c r="E1125" t="s">
        <v>558</v>
      </c>
      <c r="F1125" t="str">
        <f t="shared" si="17"/>
        <v>Terminated</v>
      </c>
    </row>
    <row r="1126" spans="1:6" x14ac:dyDescent="0.2">
      <c r="A1126" s="2">
        <v>1125</v>
      </c>
      <c r="B1126">
        <v>700</v>
      </c>
      <c r="C1126" s="1">
        <v>44480</v>
      </c>
      <c r="D1126" s="1">
        <v>45069</v>
      </c>
      <c r="E1126" t="s">
        <v>82</v>
      </c>
      <c r="F1126" t="str">
        <f t="shared" si="17"/>
        <v>Terminated</v>
      </c>
    </row>
    <row r="1127" spans="1:6" x14ac:dyDescent="0.2">
      <c r="A1127" s="2">
        <v>1126</v>
      </c>
      <c r="B1127">
        <v>700</v>
      </c>
      <c r="C1127" s="1">
        <v>44820</v>
      </c>
      <c r="D1127" s="1">
        <v>45327</v>
      </c>
      <c r="E1127" t="s">
        <v>82</v>
      </c>
      <c r="F1127" t="str">
        <f t="shared" si="17"/>
        <v>Terminated</v>
      </c>
    </row>
    <row r="1128" spans="1:6" x14ac:dyDescent="0.2">
      <c r="A1128" s="2">
        <v>1127</v>
      </c>
      <c r="B1128">
        <v>700</v>
      </c>
      <c r="C1128" s="1">
        <v>45230</v>
      </c>
      <c r="D1128" s="1"/>
      <c r="E1128" t="s">
        <v>82</v>
      </c>
      <c r="F1128" t="str">
        <f t="shared" si="17"/>
        <v>Active</v>
      </c>
    </row>
    <row r="1129" spans="1:6" x14ac:dyDescent="0.2">
      <c r="A1129" s="2">
        <v>1128</v>
      </c>
      <c r="B1129">
        <v>700</v>
      </c>
      <c r="C1129" s="1">
        <v>45287</v>
      </c>
      <c r="D1129" s="1"/>
      <c r="E1129" t="s">
        <v>82</v>
      </c>
      <c r="F1129" t="str">
        <f t="shared" si="17"/>
        <v>Active</v>
      </c>
    </row>
    <row r="1130" spans="1:6" x14ac:dyDescent="0.2">
      <c r="A1130" s="2">
        <v>1129</v>
      </c>
      <c r="B1130">
        <v>700</v>
      </c>
      <c r="C1130" s="1">
        <v>45551</v>
      </c>
      <c r="D1130" s="1">
        <v>45974</v>
      </c>
      <c r="E1130" t="s">
        <v>82</v>
      </c>
      <c r="F1130" t="str">
        <f t="shared" si="17"/>
        <v>Terminated</v>
      </c>
    </row>
    <row r="1131" spans="1:6" x14ac:dyDescent="0.2">
      <c r="A1131" s="2">
        <v>1130</v>
      </c>
      <c r="B1131">
        <v>700</v>
      </c>
      <c r="C1131" s="1">
        <v>45579</v>
      </c>
      <c r="D1131" s="1"/>
      <c r="E1131" t="s">
        <v>82</v>
      </c>
      <c r="F1131" t="str">
        <f t="shared" si="17"/>
        <v>Active</v>
      </c>
    </row>
    <row r="1132" spans="1:6" x14ac:dyDescent="0.2">
      <c r="A1132" s="2">
        <v>1131</v>
      </c>
      <c r="B1132">
        <v>700</v>
      </c>
      <c r="C1132" s="1">
        <v>45678</v>
      </c>
      <c r="D1132" s="1"/>
      <c r="E1132" t="s">
        <v>82</v>
      </c>
      <c r="F1132" t="str">
        <f t="shared" si="17"/>
        <v>Active</v>
      </c>
    </row>
    <row r="1133" spans="1:6" x14ac:dyDescent="0.2">
      <c r="A1133" s="2">
        <v>1132</v>
      </c>
      <c r="B1133">
        <v>700</v>
      </c>
      <c r="C1133" s="1">
        <v>45743</v>
      </c>
      <c r="D1133" s="1"/>
      <c r="E1133" t="s">
        <v>82</v>
      </c>
      <c r="F1133" t="str">
        <f t="shared" si="17"/>
        <v>Active</v>
      </c>
    </row>
    <row r="1134" spans="1:6" x14ac:dyDescent="0.2">
      <c r="A1134" s="2">
        <v>1133</v>
      </c>
      <c r="B1134">
        <v>700</v>
      </c>
      <c r="C1134" s="1">
        <v>45758</v>
      </c>
      <c r="D1134" s="1"/>
      <c r="E1134" t="s">
        <v>82</v>
      </c>
      <c r="F1134" t="str">
        <f t="shared" si="17"/>
        <v>Active</v>
      </c>
    </row>
    <row r="1135" spans="1:6" x14ac:dyDescent="0.2">
      <c r="A1135" s="2">
        <v>1134</v>
      </c>
      <c r="B1135">
        <v>700</v>
      </c>
      <c r="C1135" s="1">
        <v>45791</v>
      </c>
      <c r="D1135" s="1"/>
      <c r="E1135" t="s">
        <v>82</v>
      </c>
      <c r="F1135" t="str">
        <f t="shared" si="17"/>
        <v>Active</v>
      </c>
    </row>
    <row r="1136" spans="1:6" x14ac:dyDescent="0.2">
      <c r="A1136" s="2">
        <v>1135</v>
      </c>
      <c r="B1136">
        <v>700</v>
      </c>
      <c r="C1136" s="1">
        <v>45811</v>
      </c>
      <c r="D1136" s="1"/>
      <c r="E1136" t="s">
        <v>82</v>
      </c>
      <c r="F1136" t="str">
        <f t="shared" si="17"/>
        <v>Active</v>
      </c>
    </row>
    <row r="1137" spans="1:6" x14ac:dyDescent="0.2">
      <c r="A1137" s="2">
        <v>1136</v>
      </c>
      <c r="B1137">
        <v>700</v>
      </c>
      <c r="C1137" s="1">
        <v>45890</v>
      </c>
      <c r="D1137" s="1"/>
      <c r="E1137" t="s">
        <v>82</v>
      </c>
      <c r="F1137" t="str">
        <f t="shared" si="17"/>
        <v>Active</v>
      </c>
    </row>
    <row r="1138" spans="1:6" x14ac:dyDescent="0.2">
      <c r="A1138" s="2">
        <v>1137</v>
      </c>
      <c r="B1138">
        <v>700</v>
      </c>
      <c r="C1138" s="1">
        <v>45891</v>
      </c>
      <c r="D1138" s="1"/>
      <c r="E1138" t="s">
        <v>82</v>
      </c>
      <c r="F1138" t="str">
        <f t="shared" si="17"/>
        <v>Active</v>
      </c>
    </row>
    <row r="1139" spans="1:6" x14ac:dyDescent="0.2">
      <c r="A1139" s="2">
        <v>1138</v>
      </c>
      <c r="B1139">
        <v>700</v>
      </c>
      <c r="C1139" s="1">
        <v>45895</v>
      </c>
      <c r="D1139" s="1"/>
      <c r="E1139" t="s">
        <v>82</v>
      </c>
      <c r="F1139" t="str">
        <f t="shared" si="17"/>
        <v>Active</v>
      </c>
    </row>
    <row r="1140" spans="1:6" x14ac:dyDescent="0.2">
      <c r="A1140" s="2">
        <v>1139</v>
      </c>
      <c r="B1140">
        <v>700</v>
      </c>
      <c r="C1140" s="1">
        <v>45929</v>
      </c>
      <c r="D1140" s="1"/>
      <c r="E1140" t="s">
        <v>82</v>
      </c>
      <c r="F1140" t="str">
        <f t="shared" si="17"/>
        <v>Active</v>
      </c>
    </row>
    <row r="1141" spans="1:6" x14ac:dyDescent="0.2">
      <c r="A1141" s="2">
        <v>1140</v>
      </c>
      <c r="B1141">
        <v>700</v>
      </c>
      <c r="C1141" s="1">
        <v>45943</v>
      </c>
      <c r="D1141" s="1"/>
      <c r="E1141" t="s">
        <v>82</v>
      </c>
      <c r="F1141" t="str">
        <f t="shared" si="17"/>
        <v>Active</v>
      </c>
    </row>
    <row r="1142" spans="1:6" x14ac:dyDescent="0.2">
      <c r="A1142" s="2">
        <v>1141</v>
      </c>
      <c r="B1142">
        <v>700</v>
      </c>
      <c r="C1142" s="1">
        <v>46050</v>
      </c>
      <c r="D1142" s="1"/>
      <c r="E1142" t="s">
        <v>82</v>
      </c>
      <c r="F1142" t="str">
        <f t="shared" si="17"/>
        <v>Active</v>
      </c>
    </row>
    <row r="1143" spans="1:6" x14ac:dyDescent="0.2">
      <c r="A1143" s="2">
        <v>1142</v>
      </c>
      <c r="B1143">
        <v>700</v>
      </c>
      <c r="C1143" s="1">
        <v>46059</v>
      </c>
      <c r="D1143" s="1"/>
      <c r="E1143" t="s">
        <v>82</v>
      </c>
      <c r="F1143" t="str">
        <f t="shared" si="17"/>
        <v>Active</v>
      </c>
    </row>
    <row r="1144" spans="1:6" x14ac:dyDescent="0.2">
      <c r="A1144" s="2">
        <v>1143</v>
      </c>
      <c r="B1144">
        <v>700</v>
      </c>
      <c r="C1144" s="1">
        <v>46062</v>
      </c>
      <c r="D1144" s="1"/>
      <c r="E1144" t="s">
        <v>82</v>
      </c>
      <c r="F1144" t="str">
        <f t="shared" si="17"/>
        <v>Active</v>
      </c>
    </row>
    <row r="1145" spans="1:6" x14ac:dyDescent="0.2">
      <c r="A1145" s="2">
        <v>1144</v>
      </c>
      <c r="B1145">
        <v>700</v>
      </c>
      <c r="C1145" s="1">
        <v>46062</v>
      </c>
      <c r="D1145" s="1"/>
      <c r="E1145" t="s">
        <v>82</v>
      </c>
      <c r="F1145" t="str">
        <f t="shared" si="17"/>
        <v>Active</v>
      </c>
    </row>
    <row r="1146" spans="1:6" x14ac:dyDescent="0.2">
      <c r="A1146" s="2">
        <v>1145</v>
      </c>
      <c r="B1146">
        <v>700</v>
      </c>
      <c r="C1146" s="1">
        <v>46104</v>
      </c>
      <c r="D1146" s="1"/>
      <c r="E1146" t="s">
        <v>82</v>
      </c>
      <c r="F1146" t="str">
        <f t="shared" si="17"/>
        <v>Active</v>
      </c>
    </row>
    <row r="1147" spans="1:6" x14ac:dyDescent="0.2">
      <c r="A1147" s="2">
        <v>1146</v>
      </c>
      <c r="B1147">
        <v>700</v>
      </c>
      <c r="C1147" s="1">
        <v>46105</v>
      </c>
      <c r="D1147" s="1"/>
      <c r="E1147" t="s">
        <v>82</v>
      </c>
      <c r="F1147" t="str">
        <f t="shared" si="17"/>
        <v>Active</v>
      </c>
    </row>
    <row r="1148" spans="1:6" x14ac:dyDescent="0.2">
      <c r="A1148" s="2">
        <v>1147</v>
      </c>
      <c r="B1148">
        <v>700</v>
      </c>
      <c r="C1148" s="1">
        <v>46183</v>
      </c>
      <c r="D1148" s="1"/>
      <c r="E1148" t="s">
        <v>558</v>
      </c>
      <c r="F1148" t="str">
        <f t="shared" si="17"/>
        <v>Active</v>
      </c>
    </row>
    <row r="1149" spans="1:6" x14ac:dyDescent="0.2">
      <c r="A1149" s="2">
        <v>1148</v>
      </c>
      <c r="B1149">
        <v>700</v>
      </c>
      <c r="C1149" s="1">
        <v>46216</v>
      </c>
      <c r="D1149" s="1"/>
      <c r="E1149" t="s">
        <v>82</v>
      </c>
      <c r="F1149" t="str">
        <f t="shared" si="17"/>
        <v>Active</v>
      </c>
    </row>
    <row r="1150" spans="1:6" x14ac:dyDescent="0.2">
      <c r="A1150" s="2">
        <v>1149</v>
      </c>
      <c r="B1150">
        <v>700</v>
      </c>
      <c r="C1150" s="1">
        <v>46238</v>
      </c>
      <c r="D1150" s="1"/>
      <c r="E1150" t="s">
        <v>82</v>
      </c>
      <c r="F1150" t="str">
        <f t="shared" si="17"/>
        <v>Active</v>
      </c>
    </row>
    <row r="1151" spans="1:6" x14ac:dyDescent="0.2">
      <c r="A1151" s="2">
        <v>1150</v>
      </c>
      <c r="B1151">
        <v>700</v>
      </c>
      <c r="C1151" s="1">
        <v>46244</v>
      </c>
      <c r="D1151" s="1"/>
      <c r="E1151" t="s">
        <v>82</v>
      </c>
      <c r="F1151" t="str">
        <f t="shared" si="17"/>
        <v>Active</v>
      </c>
    </row>
    <row r="1152" spans="1:6" x14ac:dyDescent="0.2">
      <c r="A1152" s="2">
        <v>1151</v>
      </c>
      <c r="B1152">
        <v>700</v>
      </c>
      <c r="C1152" s="1">
        <v>46260</v>
      </c>
      <c r="D1152" s="1"/>
      <c r="E1152" t="s">
        <v>82</v>
      </c>
      <c r="F1152" t="str">
        <f t="shared" si="17"/>
        <v>Active</v>
      </c>
    </row>
    <row r="1153" spans="1:6" x14ac:dyDescent="0.2">
      <c r="A1153" s="2">
        <v>1152</v>
      </c>
      <c r="B1153">
        <v>900</v>
      </c>
      <c r="C1153" s="1">
        <v>44249</v>
      </c>
      <c r="D1153" s="1"/>
      <c r="E1153" t="s">
        <v>82</v>
      </c>
      <c r="F1153" t="str">
        <f t="shared" si="17"/>
        <v>Active</v>
      </c>
    </row>
    <row r="1154" spans="1:6" x14ac:dyDescent="0.2">
      <c r="A1154" s="2">
        <v>1153</v>
      </c>
      <c r="B1154">
        <v>900</v>
      </c>
      <c r="C1154" s="1">
        <v>44249</v>
      </c>
      <c r="D1154" s="1">
        <v>44498</v>
      </c>
      <c r="E1154" t="s">
        <v>82</v>
      </c>
      <c r="F1154" t="str">
        <f t="shared" si="17"/>
        <v>Terminated</v>
      </c>
    </row>
    <row r="1155" spans="1:6" x14ac:dyDescent="0.2">
      <c r="A1155" s="2">
        <v>1154</v>
      </c>
      <c r="B1155">
        <v>900</v>
      </c>
      <c r="C1155" s="1">
        <v>44328</v>
      </c>
      <c r="D1155" s="1"/>
      <c r="E1155" t="s">
        <v>82</v>
      </c>
      <c r="F1155" t="str">
        <f t="shared" ref="F1155:F1218" si="18">IF(D1155="","Active","Terminated")</f>
        <v>Active</v>
      </c>
    </row>
    <row r="1156" spans="1:6" x14ac:dyDescent="0.2">
      <c r="A1156" s="2">
        <v>1155</v>
      </c>
      <c r="B1156">
        <v>900</v>
      </c>
      <c r="C1156" s="1">
        <v>44342</v>
      </c>
      <c r="D1156" s="1">
        <v>44483</v>
      </c>
      <c r="E1156" t="s">
        <v>82</v>
      </c>
      <c r="F1156" t="str">
        <f t="shared" si="18"/>
        <v>Terminated</v>
      </c>
    </row>
    <row r="1157" spans="1:6" x14ac:dyDescent="0.2">
      <c r="A1157" s="2">
        <v>1156</v>
      </c>
      <c r="B1157">
        <v>900</v>
      </c>
      <c r="C1157" s="1">
        <v>44354</v>
      </c>
      <c r="D1157" s="1">
        <v>44519</v>
      </c>
      <c r="E1157" t="s">
        <v>82</v>
      </c>
      <c r="F1157" t="str">
        <f t="shared" si="18"/>
        <v>Terminated</v>
      </c>
    </row>
    <row r="1158" spans="1:6" x14ac:dyDescent="0.2">
      <c r="A1158" s="2">
        <v>1157</v>
      </c>
      <c r="B1158">
        <v>900</v>
      </c>
      <c r="C1158" s="1">
        <v>44561</v>
      </c>
      <c r="D1158" s="1"/>
      <c r="E1158" t="s">
        <v>82</v>
      </c>
      <c r="F1158" t="str">
        <f t="shared" si="18"/>
        <v>Active</v>
      </c>
    </row>
    <row r="1159" spans="1:6" x14ac:dyDescent="0.2">
      <c r="A1159" s="2">
        <v>1158</v>
      </c>
      <c r="B1159">
        <v>900</v>
      </c>
      <c r="C1159" s="1">
        <v>44574</v>
      </c>
      <c r="D1159" s="1">
        <v>44784</v>
      </c>
      <c r="E1159" t="s">
        <v>82</v>
      </c>
      <c r="F1159" t="str">
        <f t="shared" si="18"/>
        <v>Terminated</v>
      </c>
    </row>
    <row r="1160" spans="1:6" x14ac:dyDescent="0.2">
      <c r="A1160" s="2">
        <v>1159</v>
      </c>
      <c r="B1160">
        <v>900</v>
      </c>
      <c r="C1160" s="1">
        <v>44753</v>
      </c>
      <c r="D1160" s="1">
        <v>45118</v>
      </c>
      <c r="E1160" t="s">
        <v>82</v>
      </c>
      <c r="F1160" t="str">
        <f t="shared" si="18"/>
        <v>Terminated</v>
      </c>
    </row>
    <row r="1161" spans="1:6" x14ac:dyDescent="0.2">
      <c r="A1161" s="2">
        <v>1160</v>
      </c>
      <c r="B1161">
        <v>900</v>
      </c>
      <c r="C1161" s="1">
        <v>44880</v>
      </c>
      <c r="D1161" s="1">
        <v>45244</v>
      </c>
      <c r="E1161" t="s">
        <v>557</v>
      </c>
      <c r="F1161" t="str">
        <f t="shared" si="18"/>
        <v>Terminated</v>
      </c>
    </row>
    <row r="1162" spans="1:6" x14ac:dyDescent="0.2">
      <c r="A1162" s="2">
        <v>1161</v>
      </c>
      <c r="B1162">
        <v>900</v>
      </c>
      <c r="C1162" s="1">
        <v>44904</v>
      </c>
      <c r="D1162" s="1">
        <v>45364</v>
      </c>
      <c r="E1162" t="s">
        <v>557</v>
      </c>
      <c r="F1162" t="str">
        <f t="shared" si="18"/>
        <v>Terminated</v>
      </c>
    </row>
    <row r="1163" spans="1:6" x14ac:dyDescent="0.2">
      <c r="A1163" s="2">
        <v>1162</v>
      </c>
      <c r="B1163">
        <v>900</v>
      </c>
      <c r="C1163" s="1">
        <v>44977</v>
      </c>
      <c r="D1163" s="1">
        <v>45422</v>
      </c>
      <c r="E1163" t="s">
        <v>82</v>
      </c>
      <c r="F1163" t="str">
        <f t="shared" si="18"/>
        <v>Terminated</v>
      </c>
    </row>
    <row r="1164" spans="1:6" x14ac:dyDescent="0.2">
      <c r="A1164" s="2">
        <v>1163</v>
      </c>
      <c r="B1164">
        <v>900</v>
      </c>
      <c r="C1164" s="1">
        <v>45281</v>
      </c>
      <c r="D1164" s="1">
        <v>45727</v>
      </c>
      <c r="E1164" t="s">
        <v>82</v>
      </c>
      <c r="F1164" t="str">
        <f t="shared" si="18"/>
        <v>Terminated</v>
      </c>
    </row>
    <row r="1165" spans="1:6" x14ac:dyDescent="0.2">
      <c r="A1165" s="2">
        <v>1164</v>
      </c>
      <c r="B1165">
        <v>900</v>
      </c>
      <c r="C1165" s="1">
        <v>45306</v>
      </c>
      <c r="D1165" s="1">
        <v>45492</v>
      </c>
      <c r="E1165" t="s">
        <v>82</v>
      </c>
      <c r="F1165" t="str">
        <f t="shared" si="18"/>
        <v>Terminated</v>
      </c>
    </row>
    <row r="1166" spans="1:6" x14ac:dyDescent="0.2">
      <c r="A1166" s="2">
        <v>1165</v>
      </c>
      <c r="B1166">
        <v>900</v>
      </c>
      <c r="C1166" s="1">
        <v>45376</v>
      </c>
      <c r="D1166" s="1">
        <v>45435</v>
      </c>
      <c r="E1166" t="s">
        <v>82</v>
      </c>
      <c r="F1166" t="str">
        <f t="shared" si="18"/>
        <v>Terminated</v>
      </c>
    </row>
    <row r="1167" spans="1:6" x14ac:dyDescent="0.2">
      <c r="A1167" s="2">
        <v>1166</v>
      </c>
      <c r="B1167">
        <v>900</v>
      </c>
      <c r="C1167" s="1">
        <v>45422</v>
      </c>
      <c r="D1167" s="1">
        <v>45922</v>
      </c>
      <c r="E1167" t="s">
        <v>82</v>
      </c>
      <c r="F1167" t="str">
        <f t="shared" si="18"/>
        <v>Terminated</v>
      </c>
    </row>
    <row r="1168" spans="1:6" x14ac:dyDescent="0.2">
      <c r="A1168" s="2">
        <v>1167</v>
      </c>
      <c r="B1168">
        <v>900</v>
      </c>
      <c r="C1168" s="1">
        <v>45427</v>
      </c>
      <c r="D1168" s="1">
        <v>45835</v>
      </c>
      <c r="E1168" t="s">
        <v>557</v>
      </c>
      <c r="F1168" t="str">
        <f t="shared" si="18"/>
        <v>Terminated</v>
      </c>
    </row>
    <row r="1169" spans="1:6" x14ac:dyDescent="0.2">
      <c r="A1169" s="2">
        <v>1168</v>
      </c>
      <c r="B1169">
        <v>900</v>
      </c>
      <c r="C1169" s="1">
        <v>45530</v>
      </c>
      <c r="D1169" s="1">
        <v>46111</v>
      </c>
      <c r="E1169" t="s">
        <v>82</v>
      </c>
      <c r="F1169" t="str">
        <f t="shared" si="18"/>
        <v>Terminated</v>
      </c>
    </row>
    <row r="1170" spans="1:6" x14ac:dyDescent="0.2">
      <c r="A1170" s="2">
        <v>1169</v>
      </c>
      <c r="B1170">
        <v>900</v>
      </c>
      <c r="C1170" s="1">
        <v>45533</v>
      </c>
      <c r="D1170" s="1">
        <v>45637</v>
      </c>
      <c r="E1170" t="s">
        <v>82</v>
      </c>
      <c r="F1170" t="str">
        <f t="shared" si="18"/>
        <v>Terminated</v>
      </c>
    </row>
    <row r="1171" spans="1:6" x14ac:dyDescent="0.2">
      <c r="A1171" s="2">
        <v>1170</v>
      </c>
      <c r="B1171">
        <v>900</v>
      </c>
      <c r="C1171" s="1">
        <v>45579</v>
      </c>
      <c r="D1171" s="1"/>
      <c r="E1171" t="s">
        <v>82</v>
      </c>
      <c r="F1171" t="str">
        <f t="shared" si="18"/>
        <v>Active</v>
      </c>
    </row>
    <row r="1172" spans="1:6" x14ac:dyDescent="0.2">
      <c r="A1172" s="2">
        <v>1171</v>
      </c>
      <c r="B1172">
        <v>900</v>
      </c>
      <c r="C1172" s="1">
        <v>45733</v>
      </c>
      <c r="D1172" s="1">
        <v>45859</v>
      </c>
      <c r="E1172" t="s">
        <v>82</v>
      </c>
      <c r="F1172" t="str">
        <f t="shared" si="18"/>
        <v>Terminated</v>
      </c>
    </row>
    <row r="1173" spans="1:6" x14ac:dyDescent="0.2">
      <c r="A1173" s="2">
        <v>1172</v>
      </c>
      <c r="B1173">
        <v>900</v>
      </c>
      <c r="C1173" s="1">
        <v>45772</v>
      </c>
      <c r="D1173" s="1">
        <v>45938</v>
      </c>
      <c r="E1173" t="s">
        <v>82</v>
      </c>
      <c r="F1173" t="str">
        <f t="shared" si="18"/>
        <v>Terminated</v>
      </c>
    </row>
    <row r="1174" spans="1:6" x14ac:dyDescent="0.2">
      <c r="A1174" s="2">
        <v>1173</v>
      </c>
      <c r="B1174">
        <v>900</v>
      </c>
      <c r="C1174" s="1">
        <v>45775</v>
      </c>
      <c r="D1174" s="1"/>
      <c r="E1174" t="s">
        <v>82</v>
      </c>
      <c r="F1174" t="str">
        <f t="shared" si="18"/>
        <v>Active</v>
      </c>
    </row>
    <row r="1175" spans="1:6" x14ac:dyDescent="0.2">
      <c r="A1175" s="2">
        <v>1174</v>
      </c>
      <c r="B1175">
        <v>900</v>
      </c>
      <c r="C1175" s="1">
        <v>45777</v>
      </c>
      <c r="D1175" s="1"/>
      <c r="E1175" t="s">
        <v>82</v>
      </c>
      <c r="F1175" t="str">
        <f t="shared" si="18"/>
        <v>Active</v>
      </c>
    </row>
    <row r="1176" spans="1:6" x14ac:dyDescent="0.2">
      <c r="A1176" s="2">
        <v>1175</v>
      </c>
      <c r="B1176">
        <v>900</v>
      </c>
      <c r="C1176" s="1">
        <v>45803</v>
      </c>
      <c r="D1176" s="1">
        <v>46055</v>
      </c>
      <c r="E1176" t="s">
        <v>82</v>
      </c>
      <c r="F1176" t="str">
        <f t="shared" si="18"/>
        <v>Terminated</v>
      </c>
    </row>
    <row r="1177" spans="1:6" x14ac:dyDescent="0.2">
      <c r="A1177" s="2">
        <v>1176</v>
      </c>
      <c r="B1177">
        <v>900</v>
      </c>
      <c r="C1177" s="1">
        <v>45813</v>
      </c>
      <c r="D1177" s="1"/>
      <c r="E1177" t="s">
        <v>82</v>
      </c>
      <c r="F1177" t="str">
        <f t="shared" si="18"/>
        <v>Active</v>
      </c>
    </row>
    <row r="1178" spans="1:6" x14ac:dyDescent="0.2">
      <c r="A1178" s="2">
        <v>1177</v>
      </c>
      <c r="B1178">
        <v>900</v>
      </c>
      <c r="C1178" s="1">
        <v>45828</v>
      </c>
      <c r="D1178" s="1">
        <v>46196</v>
      </c>
      <c r="E1178" t="s">
        <v>82</v>
      </c>
      <c r="F1178" t="str">
        <f t="shared" si="18"/>
        <v>Terminated</v>
      </c>
    </row>
    <row r="1179" spans="1:6" x14ac:dyDescent="0.2">
      <c r="A1179" s="2">
        <v>1178</v>
      </c>
      <c r="B1179">
        <v>900</v>
      </c>
      <c r="C1179" s="1">
        <v>45833</v>
      </c>
      <c r="D1179" s="1"/>
      <c r="E1179" t="s">
        <v>82</v>
      </c>
      <c r="F1179" t="str">
        <f t="shared" si="18"/>
        <v>Active</v>
      </c>
    </row>
    <row r="1180" spans="1:6" x14ac:dyDescent="0.2">
      <c r="A1180" s="2">
        <v>1179</v>
      </c>
      <c r="B1180">
        <v>900</v>
      </c>
      <c r="C1180" s="1">
        <v>45839</v>
      </c>
      <c r="D1180" s="1"/>
      <c r="E1180" t="s">
        <v>82</v>
      </c>
      <c r="F1180" t="str">
        <f t="shared" si="18"/>
        <v>Active</v>
      </c>
    </row>
    <row r="1181" spans="1:6" x14ac:dyDescent="0.2">
      <c r="A1181" s="2">
        <v>1180</v>
      </c>
      <c r="B1181">
        <v>900</v>
      </c>
      <c r="C1181" s="1">
        <v>45926</v>
      </c>
      <c r="D1181" s="1"/>
      <c r="E1181" t="s">
        <v>82</v>
      </c>
      <c r="F1181" t="str">
        <f t="shared" si="18"/>
        <v>Active</v>
      </c>
    </row>
    <row r="1182" spans="1:6" x14ac:dyDescent="0.2">
      <c r="A1182" s="2">
        <v>1181</v>
      </c>
      <c r="B1182">
        <v>900</v>
      </c>
      <c r="C1182" s="1">
        <v>45936</v>
      </c>
      <c r="D1182" s="1"/>
      <c r="E1182" t="s">
        <v>82</v>
      </c>
      <c r="F1182" t="str">
        <f t="shared" si="18"/>
        <v>Active</v>
      </c>
    </row>
    <row r="1183" spans="1:6" x14ac:dyDescent="0.2">
      <c r="A1183" s="2">
        <v>1182</v>
      </c>
      <c r="B1183">
        <v>900</v>
      </c>
      <c r="C1183" s="1">
        <v>45944</v>
      </c>
      <c r="D1183" s="1"/>
      <c r="E1183" t="s">
        <v>82</v>
      </c>
      <c r="F1183" t="str">
        <f t="shared" si="18"/>
        <v>Active</v>
      </c>
    </row>
    <row r="1184" spans="1:6" x14ac:dyDescent="0.2">
      <c r="A1184" s="2">
        <v>1183</v>
      </c>
      <c r="B1184">
        <v>900</v>
      </c>
      <c r="C1184" s="1">
        <v>45951</v>
      </c>
      <c r="D1184" s="1"/>
      <c r="E1184" t="s">
        <v>82</v>
      </c>
      <c r="F1184" t="str">
        <f t="shared" si="18"/>
        <v>Active</v>
      </c>
    </row>
    <row r="1185" spans="1:6" x14ac:dyDescent="0.2">
      <c r="A1185" s="2">
        <v>1184</v>
      </c>
      <c r="B1185">
        <v>900</v>
      </c>
      <c r="C1185" s="1">
        <v>45959</v>
      </c>
      <c r="D1185" s="1"/>
      <c r="E1185" t="s">
        <v>82</v>
      </c>
      <c r="F1185" t="str">
        <f t="shared" si="18"/>
        <v>Active</v>
      </c>
    </row>
    <row r="1186" spans="1:6" x14ac:dyDescent="0.2">
      <c r="A1186" s="2">
        <v>1185</v>
      </c>
      <c r="B1186">
        <v>900</v>
      </c>
      <c r="C1186" s="1">
        <v>45967</v>
      </c>
      <c r="D1186" s="1"/>
      <c r="E1186" t="s">
        <v>82</v>
      </c>
      <c r="F1186" t="str">
        <f t="shared" si="18"/>
        <v>Active</v>
      </c>
    </row>
    <row r="1187" spans="1:6" x14ac:dyDescent="0.2">
      <c r="A1187" s="2">
        <v>1186</v>
      </c>
      <c r="B1187">
        <v>900</v>
      </c>
      <c r="C1187" s="1">
        <v>45980</v>
      </c>
      <c r="D1187" s="1"/>
      <c r="E1187" t="s">
        <v>82</v>
      </c>
      <c r="F1187" t="str">
        <f t="shared" si="18"/>
        <v>Active</v>
      </c>
    </row>
    <row r="1188" spans="1:6" x14ac:dyDescent="0.2">
      <c r="A1188" s="2">
        <v>1187</v>
      </c>
      <c r="B1188">
        <v>900</v>
      </c>
      <c r="C1188" s="1">
        <v>45981</v>
      </c>
      <c r="D1188" s="1">
        <v>46020</v>
      </c>
      <c r="E1188" t="s">
        <v>557</v>
      </c>
      <c r="F1188" t="str">
        <f t="shared" si="18"/>
        <v>Terminated</v>
      </c>
    </row>
    <row r="1189" spans="1:6" x14ac:dyDescent="0.2">
      <c r="A1189" s="2">
        <v>1188</v>
      </c>
      <c r="B1189">
        <v>900</v>
      </c>
      <c r="C1189" s="1">
        <v>45982</v>
      </c>
      <c r="D1189" s="1"/>
      <c r="E1189" t="s">
        <v>82</v>
      </c>
      <c r="F1189" t="str">
        <f t="shared" si="18"/>
        <v>Active</v>
      </c>
    </row>
    <row r="1190" spans="1:6" x14ac:dyDescent="0.2">
      <c r="A1190" s="2">
        <v>1189</v>
      </c>
      <c r="B1190">
        <v>900</v>
      </c>
      <c r="C1190" s="1">
        <v>45985</v>
      </c>
      <c r="D1190" s="1"/>
      <c r="E1190" t="s">
        <v>82</v>
      </c>
      <c r="F1190" t="str">
        <f t="shared" si="18"/>
        <v>Active</v>
      </c>
    </row>
    <row r="1191" spans="1:6" x14ac:dyDescent="0.2">
      <c r="A1191" s="2">
        <v>1190</v>
      </c>
      <c r="B1191">
        <v>900</v>
      </c>
      <c r="C1191" s="1">
        <v>45987</v>
      </c>
      <c r="D1191" s="1"/>
      <c r="E1191" t="s">
        <v>82</v>
      </c>
      <c r="F1191" t="str">
        <f t="shared" si="18"/>
        <v>Active</v>
      </c>
    </row>
    <row r="1192" spans="1:6" x14ac:dyDescent="0.2">
      <c r="A1192" s="2">
        <v>1191</v>
      </c>
      <c r="B1192">
        <v>900</v>
      </c>
      <c r="C1192" s="1">
        <v>45996</v>
      </c>
      <c r="D1192" s="1"/>
      <c r="E1192" t="s">
        <v>82</v>
      </c>
      <c r="F1192" t="str">
        <f t="shared" si="18"/>
        <v>Active</v>
      </c>
    </row>
    <row r="1193" spans="1:6" x14ac:dyDescent="0.2">
      <c r="A1193" s="2">
        <v>1192</v>
      </c>
      <c r="B1193">
        <v>900</v>
      </c>
      <c r="C1193" s="1">
        <v>45999</v>
      </c>
      <c r="D1193" s="1"/>
      <c r="E1193" t="s">
        <v>82</v>
      </c>
      <c r="F1193" t="str">
        <f t="shared" si="18"/>
        <v>Active</v>
      </c>
    </row>
    <row r="1194" spans="1:6" x14ac:dyDescent="0.2">
      <c r="A1194" s="2">
        <v>1193</v>
      </c>
      <c r="B1194">
        <v>900</v>
      </c>
      <c r="C1194" s="1">
        <v>46003</v>
      </c>
      <c r="D1194" s="1">
        <v>46044</v>
      </c>
      <c r="E1194" t="s">
        <v>82</v>
      </c>
      <c r="F1194" t="str">
        <f t="shared" si="18"/>
        <v>Terminated</v>
      </c>
    </row>
    <row r="1195" spans="1:6" x14ac:dyDescent="0.2">
      <c r="A1195" s="2">
        <v>1194</v>
      </c>
      <c r="B1195">
        <v>900</v>
      </c>
      <c r="C1195" s="1">
        <v>46007</v>
      </c>
      <c r="D1195" s="1"/>
      <c r="E1195" t="s">
        <v>82</v>
      </c>
      <c r="F1195" t="str">
        <f t="shared" si="18"/>
        <v>Active</v>
      </c>
    </row>
    <row r="1196" spans="1:6" x14ac:dyDescent="0.2">
      <c r="A1196" s="2">
        <v>1195</v>
      </c>
      <c r="B1196">
        <v>900</v>
      </c>
      <c r="C1196" s="1">
        <v>46020</v>
      </c>
      <c r="D1196" s="1"/>
      <c r="E1196" t="s">
        <v>82</v>
      </c>
      <c r="F1196" t="str">
        <f t="shared" si="18"/>
        <v>Active</v>
      </c>
    </row>
    <row r="1197" spans="1:6" x14ac:dyDescent="0.2">
      <c r="A1197" s="2">
        <v>1196</v>
      </c>
      <c r="B1197">
        <v>900</v>
      </c>
      <c r="C1197" s="1">
        <v>46027</v>
      </c>
      <c r="D1197" s="1"/>
      <c r="E1197" t="s">
        <v>82</v>
      </c>
      <c r="F1197" t="str">
        <f t="shared" si="18"/>
        <v>Active</v>
      </c>
    </row>
    <row r="1198" spans="1:6" x14ac:dyDescent="0.2">
      <c r="A1198" s="2">
        <v>1197</v>
      </c>
      <c r="B1198">
        <v>900</v>
      </c>
      <c r="C1198" s="1">
        <v>46031</v>
      </c>
      <c r="D1198" s="1"/>
      <c r="E1198" t="s">
        <v>82</v>
      </c>
      <c r="F1198" t="str">
        <f t="shared" si="18"/>
        <v>Active</v>
      </c>
    </row>
    <row r="1199" spans="1:6" x14ac:dyDescent="0.2">
      <c r="A1199" s="2">
        <v>1198</v>
      </c>
      <c r="B1199">
        <v>900</v>
      </c>
      <c r="C1199" s="1">
        <v>46036</v>
      </c>
      <c r="D1199" s="1"/>
      <c r="E1199" t="s">
        <v>82</v>
      </c>
      <c r="F1199" t="str">
        <f t="shared" si="18"/>
        <v>Active</v>
      </c>
    </row>
    <row r="1200" spans="1:6" x14ac:dyDescent="0.2">
      <c r="A1200" s="2">
        <v>1199</v>
      </c>
      <c r="B1200">
        <v>900</v>
      </c>
      <c r="C1200" s="1">
        <v>46041</v>
      </c>
      <c r="D1200" s="1">
        <v>46224</v>
      </c>
      <c r="E1200" t="s">
        <v>82</v>
      </c>
      <c r="F1200" t="str">
        <f t="shared" si="18"/>
        <v>Terminated</v>
      </c>
    </row>
    <row r="1201" spans="1:6" x14ac:dyDescent="0.2">
      <c r="A1201" s="2">
        <v>1200</v>
      </c>
      <c r="B1201">
        <v>900</v>
      </c>
      <c r="C1201" s="1">
        <v>46048</v>
      </c>
      <c r="D1201" s="1"/>
      <c r="E1201" t="s">
        <v>82</v>
      </c>
      <c r="F1201" t="str">
        <f t="shared" si="18"/>
        <v>Active</v>
      </c>
    </row>
    <row r="1202" spans="1:6" x14ac:dyDescent="0.2">
      <c r="A1202" s="2">
        <v>1201</v>
      </c>
      <c r="B1202">
        <v>900</v>
      </c>
      <c r="C1202" s="1">
        <v>46062</v>
      </c>
      <c r="D1202" s="1"/>
      <c r="E1202" t="s">
        <v>82</v>
      </c>
      <c r="F1202" t="str">
        <f t="shared" si="18"/>
        <v>Active</v>
      </c>
    </row>
    <row r="1203" spans="1:6" x14ac:dyDescent="0.2">
      <c r="A1203" s="2">
        <v>1202</v>
      </c>
      <c r="B1203">
        <v>900</v>
      </c>
      <c r="C1203" s="1">
        <v>46062</v>
      </c>
      <c r="D1203" s="1"/>
      <c r="E1203" t="s">
        <v>82</v>
      </c>
      <c r="F1203" t="str">
        <f t="shared" si="18"/>
        <v>Active</v>
      </c>
    </row>
    <row r="1204" spans="1:6" x14ac:dyDescent="0.2">
      <c r="A1204" s="2">
        <v>1203</v>
      </c>
      <c r="B1204">
        <v>900</v>
      </c>
      <c r="C1204" s="1">
        <v>46076</v>
      </c>
      <c r="D1204" s="1"/>
      <c r="E1204" t="s">
        <v>82</v>
      </c>
      <c r="F1204" t="str">
        <f t="shared" si="18"/>
        <v>Active</v>
      </c>
    </row>
    <row r="1205" spans="1:6" x14ac:dyDescent="0.2">
      <c r="A1205" s="2">
        <v>1204</v>
      </c>
      <c r="B1205">
        <v>900</v>
      </c>
      <c r="C1205" s="1">
        <v>46083</v>
      </c>
      <c r="D1205" s="1"/>
      <c r="E1205" t="s">
        <v>82</v>
      </c>
      <c r="F1205" t="str">
        <f t="shared" si="18"/>
        <v>Active</v>
      </c>
    </row>
    <row r="1206" spans="1:6" x14ac:dyDescent="0.2">
      <c r="A1206" s="2">
        <v>1205</v>
      </c>
      <c r="B1206">
        <v>900</v>
      </c>
      <c r="C1206" s="1">
        <v>46111</v>
      </c>
      <c r="D1206" s="1"/>
      <c r="E1206" t="s">
        <v>82</v>
      </c>
      <c r="F1206" t="str">
        <f t="shared" si="18"/>
        <v>Active</v>
      </c>
    </row>
    <row r="1207" spans="1:6" x14ac:dyDescent="0.2">
      <c r="A1207" s="2">
        <v>1206</v>
      </c>
      <c r="B1207">
        <v>900</v>
      </c>
      <c r="C1207" s="1">
        <v>46111</v>
      </c>
      <c r="D1207" s="1"/>
      <c r="E1207" t="s">
        <v>82</v>
      </c>
      <c r="F1207" t="str">
        <f t="shared" si="18"/>
        <v>Active</v>
      </c>
    </row>
    <row r="1208" spans="1:6" x14ac:dyDescent="0.2">
      <c r="A1208" s="2">
        <v>1207</v>
      </c>
      <c r="B1208">
        <v>900</v>
      </c>
      <c r="C1208" s="1">
        <v>46112</v>
      </c>
      <c r="D1208" s="1"/>
      <c r="E1208" t="s">
        <v>82</v>
      </c>
      <c r="F1208" t="str">
        <f t="shared" si="18"/>
        <v>Active</v>
      </c>
    </row>
    <row r="1209" spans="1:6" x14ac:dyDescent="0.2">
      <c r="A1209" s="2">
        <v>1208</v>
      </c>
      <c r="B1209">
        <v>900</v>
      </c>
      <c r="C1209" s="1">
        <v>46115</v>
      </c>
      <c r="D1209" s="1"/>
      <c r="E1209" t="s">
        <v>82</v>
      </c>
      <c r="F1209" t="str">
        <f t="shared" si="18"/>
        <v>Active</v>
      </c>
    </row>
    <row r="1210" spans="1:6" x14ac:dyDescent="0.2">
      <c r="A1210" s="2">
        <v>1209</v>
      </c>
      <c r="B1210">
        <v>900</v>
      </c>
      <c r="C1210" s="1">
        <v>46119</v>
      </c>
      <c r="D1210" s="1"/>
      <c r="E1210" t="s">
        <v>82</v>
      </c>
      <c r="F1210" t="str">
        <f t="shared" si="18"/>
        <v>Active</v>
      </c>
    </row>
    <row r="1211" spans="1:6" x14ac:dyDescent="0.2">
      <c r="A1211" s="2">
        <v>1210</v>
      </c>
      <c r="B1211">
        <v>900</v>
      </c>
      <c r="C1211" s="1">
        <v>46149</v>
      </c>
      <c r="D1211" s="1"/>
      <c r="E1211" t="s">
        <v>82</v>
      </c>
      <c r="F1211" t="str">
        <f t="shared" si="18"/>
        <v>Active</v>
      </c>
    </row>
    <row r="1212" spans="1:6" x14ac:dyDescent="0.2">
      <c r="A1212" s="2">
        <v>1211</v>
      </c>
      <c r="B1212">
        <v>900</v>
      </c>
      <c r="C1212" s="1">
        <v>46156</v>
      </c>
      <c r="D1212" s="1"/>
      <c r="E1212" t="s">
        <v>82</v>
      </c>
      <c r="F1212" t="str">
        <f t="shared" si="18"/>
        <v>Active</v>
      </c>
    </row>
    <row r="1213" spans="1:6" x14ac:dyDescent="0.2">
      <c r="A1213" s="2">
        <v>1212</v>
      </c>
      <c r="B1213">
        <v>900</v>
      </c>
      <c r="C1213" s="1">
        <v>46167</v>
      </c>
      <c r="D1213" s="1"/>
      <c r="E1213" t="s">
        <v>82</v>
      </c>
      <c r="F1213" t="str">
        <f t="shared" si="18"/>
        <v>Active</v>
      </c>
    </row>
    <row r="1214" spans="1:6" x14ac:dyDescent="0.2">
      <c r="A1214" s="2">
        <v>1213</v>
      </c>
      <c r="B1214">
        <v>900</v>
      </c>
      <c r="C1214" s="1">
        <v>46169</v>
      </c>
      <c r="D1214" s="1"/>
      <c r="E1214" t="s">
        <v>82</v>
      </c>
      <c r="F1214" t="str">
        <f t="shared" si="18"/>
        <v>Active</v>
      </c>
    </row>
    <row r="1215" spans="1:6" x14ac:dyDescent="0.2">
      <c r="A1215" s="2">
        <v>1214</v>
      </c>
      <c r="B1215">
        <v>900</v>
      </c>
      <c r="C1215" s="1">
        <v>46177</v>
      </c>
      <c r="D1215" s="1"/>
      <c r="E1215" t="s">
        <v>82</v>
      </c>
      <c r="F1215" t="str">
        <f t="shared" si="18"/>
        <v>Active</v>
      </c>
    </row>
    <row r="1216" spans="1:6" x14ac:dyDescent="0.2">
      <c r="A1216" s="2">
        <v>1215</v>
      </c>
      <c r="B1216">
        <v>900</v>
      </c>
      <c r="C1216" s="1">
        <v>46188</v>
      </c>
      <c r="D1216" s="1"/>
      <c r="E1216" t="s">
        <v>82</v>
      </c>
      <c r="F1216" t="str">
        <f t="shared" si="18"/>
        <v>Active</v>
      </c>
    </row>
    <row r="1217" spans="1:6" x14ac:dyDescent="0.2">
      <c r="A1217" s="2">
        <v>1216</v>
      </c>
      <c r="B1217">
        <v>900</v>
      </c>
      <c r="C1217" s="1">
        <v>46195</v>
      </c>
      <c r="D1217" s="1"/>
      <c r="E1217" t="s">
        <v>82</v>
      </c>
      <c r="F1217" t="str">
        <f t="shared" si="18"/>
        <v>Active</v>
      </c>
    </row>
    <row r="1218" spans="1:6" x14ac:dyDescent="0.2">
      <c r="A1218" s="2">
        <v>1217</v>
      </c>
      <c r="B1218">
        <v>900</v>
      </c>
      <c r="C1218" s="1">
        <v>46197</v>
      </c>
      <c r="D1218" s="1"/>
      <c r="E1218" t="s">
        <v>82</v>
      </c>
      <c r="F1218" t="str">
        <f t="shared" si="18"/>
        <v>Active</v>
      </c>
    </row>
    <row r="1219" spans="1:6" x14ac:dyDescent="0.2">
      <c r="A1219" s="2">
        <v>1218</v>
      </c>
      <c r="B1219">
        <v>900</v>
      </c>
      <c r="C1219" s="1">
        <v>46218</v>
      </c>
      <c r="D1219" s="1"/>
      <c r="E1219" t="s">
        <v>82</v>
      </c>
      <c r="F1219" t="str">
        <f t="shared" ref="F1219:F1282" si="19">IF(D1219="","Active","Terminated")</f>
        <v>Active</v>
      </c>
    </row>
    <row r="1220" spans="1:6" x14ac:dyDescent="0.2">
      <c r="A1220" s="2">
        <v>1219</v>
      </c>
      <c r="B1220">
        <v>900</v>
      </c>
      <c r="C1220" s="1">
        <v>46218</v>
      </c>
      <c r="D1220" s="1"/>
      <c r="E1220" t="s">
        <v>82</v>
      </c>
      <c r="F1220" t="str">
        <f t="shared" si="19"/>
        <v>Active</v>
      </c>
    </row>
    <row r="1221" spans="1:6" x14ac:dyDescent="0.2">
      <c r="A1221" s="2">
        <v>1220</v>
      </c>
      <c r="B1221">
        <v>900</v>
      </c>
      <c r="C1221" s="1">
        <v>46223</v>
      </c>
      <c r="D1221" s="1"/>
      <c r="E1221" t="s">
        <v>82</v>
      </c>
      <c r="F1221" t="str">
        <f t="shared" si="19"/>
        <v>Active</v>
      </c>
    </row>
    <row r="1222" spans="1:6" x14ac:dyDescent="0.2">
      <c r="A1222" s="2">
        <v>1221</v>
      </c>
      <c r="B1222">
        <v>900</v>
      </c>
      <c r="C1222" s="1">
        <v>46224</v>
      </c>
      <c r="D1222" s="1"/>
      <c r="E1222" t="s">
        <v>82</v>
      </c>
      <c r="F1222" t="str">
        <f t="shared" si="19"/>
        <v>Active</v>
      </c>
    </row>
    <row r="1223" spans="1:6" x14ac:dyDescent="0.2">
      <c r="A1223" s="2">
        <v>1222</v>
      </c>
      <c r="B1223">
        <v>900</v>
      </c>
      <c r="C1223" s="1">
        <v>46226</v>
      </c>
      <c r="D1223" s="1"/>
      <c r="E1223" t="s">
        <v>82</v>
      </c>
      <c r="F1223" t="str">
        <f t="shared" si="19"/>
        <v>Active</v>
      </c>
    </row>
    <row r="1224" spans="1:6" x14ac:dyDescent="0.2">
      <c r="A1224" s="2">
        <v>1223</v>
      </c>
      <c r="B1224">
        <v>900</v>
      </c>
      <c r="C1224" s="1">
        <v>46232</v>
      </c>
      <c r="D1224" s="1"/>
      <c r="E1224" t="s">
        <v>82</v>
      </c>
      <c r="F1224" t="str">
        <f t="shared" si="19"/>
        <v>Active</v>
      </c>
    </row>
    <row r="1225" spans="1:6" x14ac:dyDescent="0.2">
      <c r="A1225" s="2">
        <v>1224</v>
      </c>
      <c r="B1225">
        <v>900</v>
      </c>
      <c r="C1225" s="1">
        <v>46234</v>
      </c>
      <c r="D1225" s="1"/>
      <c r="E1225" t="s">
        <v>82</v>
      </c>
      <c r="F1225" t="str">
        <f t="shared" si="19"/>
        <v>Active</v>
      </c>
    </row>
    <row r="1226" spans="1:6" x14ac:dyDescent="0.2">
      <c r="A1226" s="2">
        <v>1225</v>
      </c>
      <c r="B1226">
        <v>900</v>
      </c>
      <c r="C1226" s="1">
        <v>46237</v>
      </c>
      <c r="D1226" s="1"/>
      <c r="E1226" t="s">
        <v>82</v>
      </c>
      <c r="F1226" t="str">
        <f t="shared" si="19"/>
        <v>Active</v>
      </c>
    </row>
    <row r="1227" spans="1:6" x14ac:dyDescent="0.2">
      <c r="A1227" s="2">
        <v>1226</v>
      </c>
      <c r="B1227">
        <v>900</v>
      </c>
      <c r="C1227" s="1">
        <v>46244</v>
      </c>
      <c r="D1227" s="1"/>
      <c r="E1227" t="s">
        <v>82</v>
      </c>
      <c r="F1227" t="str">
        <f t="shared" si="19"/>
        <v>Active</v>
      </c>
    </row>
    <row r="1228" spans="1:6" x14ac:dyDescent="0.2">
      <c r="A1228" s="2">
        <v>1227</v>
      </c>
      <c r="B1228">
        <v>900</v>
      </c>
      <c r="C1228" s="1">
        <v>46247</v>
      </c>
      <c r="D1228" s="1"/>
      <c r="E1228" t="s">
        <v>82</v>
      </c>
      <c r="F1228" t="str">
        <f t="shared" si="19"/>
        <v>Active</v>
      </c>
    </row>
    <row r="1229" spans="1:6" x14ac:dyDescent="0.2">
      <c r="A1229" s="2">
        <v>1228</v>
      </c>
      <c r="B1229">
        <v>900</v>
      </c>
      <c r="C1229" s="1">
        <v>46258</v>
      </c>
      <c r="D1229" s="1"/>
      <c r="E1229" t="s">
        <v>82</v>
      </c>
      <c r="F1229" t="str">
        <f t="shared" si="19"/>
        <v>Active</v>
      </c>
    </row>
    <row r="1230" spans="1:6" x14ac:dyDescent="0.2">
      <c r="A1230" s="2">
        <v>1229</v>
      </c>
      <c r="B1230">
        <v>900</v>
      </c>
      <c r="C1230" s="1">
        <v>46262</v>
      </c>
      <c r="D1230" s="1"/>
      <c r="E1230" t="s">
        <v>82</v>
      </c>
      <c r="F1230" t="str">
        <f t="shared" si="19"/>
        <v>Active</v>
      </c>
    </row>
    <row r="1231" spans="1:6" x14ac:dyDescent="0.2">
      <c r="A1231" s="2">
        <v>1230</v>
      </c>
      <c r="B1231">
        <v>900</v>
      </c>
      <c r="C1231" s="1">
        <v>46265</v>
      </c>
      <c r="D1231" s="1"/>
      <c r="E1231" t="s">
        <v>82</v>
      </c>
      <c r="F1231" t="str">
        <f t="shared" si="19"/>
        <v>Active</v>
      </c>
    </row>
    <row r="1232" spans="1:6" x14ac:dyDescent="0.2">
      <c r="A1232" s="2">
        <v>1231</v>
      </c>
      <c r="B1232">
        <v>900</v>
      </c>
      <c r="C1232" s="1">
        <v>46265</v>
      </c>
      <c r="D1232" s="1"/>
      <c r="E1232" t="s">
        <v>82</v>
      </c>
      <c r="F1232" t="str">
        <f t="shared" si="19"/>
        <v>Active</v>
      </c>
    </row>
    <row r="1233" spans="1:6" x14ac:dyDescent="0.2">
      <c r="A1233" s="2">
        <v>1232</v>
      </c>
      <c r="B1233">
        <v>900</v>
      </c>
      <c r="C1233" s="1">
        <v>46266</v>
      </c>
      <c r="D1233" s="1"/>
      <c r="E1233" t="s">
        <v>82</v>
      </c>
      <c r="F1233" t="str">
        <f t="shared" si="19"/>
        <v>Active</v>
      </c>
    </row>
    <row r="1234" spans="1:6" x14ac:dyDescent="0.2">
      <c r="A1234" s="2">
        <v>1233</v>
      </c>
      <c r="B1234">
        <v>900</v>
      </c>
      <c r="C1234" s="1">
        <v>46269</v>
      </c>
      <c r="D1234" s="1"/>
      <c r="E1234" t="s">
        <v>82</v>
      </c>
      <c r="F1234" t="str">
        <f t="shared" si="19"/>
        <v>Active</v>
      </c>
    </row>
    <row r="1235" spans="1:6" x14ac:dyDescent="0.2">
      <c r="A1235" s="2">
        <v>1234</v>
      </c>
      <c r="B1235">
        <v>900</v>
      </c>
      <c r="C1235" s="1">
        <v>46272</v>
      </c>
      <c r="D1235" s="1"/>
      <c r="E1235" t="s">
        <v>557</v>
      </c>
      <c r="F1235" t="str">
        <f t="shared" si="19"/>
        <v>Active</v>
      </c>
    </row>
    <row r="1236" spans="1:6" x14ac:dyDescent="0.2">
      <c r="A1236" s="2">
        <v>1235</v>
      </c>
      <c r="B1236">
        <v>900</v>
      </c>
      <c r="C1236" s="1">
        <v>46274</v>
      </c>
      <c r="D1236" s="1"/>
      <c r="E1236" t="s">
        <v>82</v>
      </c>
      <c r="F1236" t="str">
        <f t="shared" si="19"/>
        <v>Active</v>
      </c>
    </row>
    <row r="1237" spans="1:6" x14ac:dyDescent="0.2">
      <c r="A1237" s="2">
        <v>1236</v>
      </c>
      <c r="B1237">
        <v>900</v>
      </c>
      <c r="C1237" s="1">
        <v>46275</v>
      </c>
      <c r="D1237" s="1"/>
      <c r="E1237" t="s">
        <v>82</v>
      </c>
      <c r="F1237" t="str">
        <f t="shared" si="19"/>
        <v>Active</v>
      </c>
    </row>
    <row r="1238" spans="1:6" x14ac:dyDescent="0.2">
      <c r="A1238" s="2">
        <v>1237</v>
      </c>
      <c r="B1238">
        <v>900</v>
      </c>
      <c r="C1238" s="1">
        <v>46275</v>
      </c>
      <c r="D1238" s="1"/>
      <c r="E1238" t="s">
        <v>82</v>
      </c>
      <c r="F1238" t="str">
        <f t="shared" si="19"/>
        <v>Active</v>
      </c>
    </row>
    <row r="1239" spans="1:6" x14ac:dyDescent="0.2">
      <c r="A1239" s="2">
        <v>1238</v>
      </c>
      <c r="B1239">
        <v>900</v>
      </c>
      <c r="C1239" s="1">
        <v>46276</v>
      </c>
      <c r="D1239" s="1"/>
      <c r="E1239" t="s">
        <v>82</v>
      </c>
      <c r="F1239" t="str">
        <f t="shared" si="19"/>
        <v>Active</v>
      </c>
    </row>
    <row r="1240" spans="1:6" x14ac:dyDescent="0.2">
      <c r="A1240" s="2">
        <v>1239</v>
      </c>
      <c r="B1240">
        <v>900</v>
      </c>
      <c r="C1240" s="1">
        <v>46279</v>
      </c>
      <c r="D1240" s="1"/>
      <c r="E1240" t="s">
        <v>82</v>
      </c>
      <c r="F1240" t="str">
        <f t="shared" si="19"/>
        <v>Active</v>
      </c>
    </row>
    <row r="1241" spans="1:6" x14ac:dyDescent="0.2">
      <c r="A1241" s="2">
        <v>1240</v>
      </c>
      <c r="B1241">
        <v>900</v>
      </c>
      <c r="C1241" s="1">
        <v>46279</v>
      </c>
      <c r="D1241" s="1"/>
      <c r="E1241" t="s">
        <v>82</v>
      </c>
      <c r="F1241" t="str">
        <f t="shared" si="19"/>
        <v>Active</v>
      </c>
    </row>
    <row r="1242" spans="1:6" x14ac:dyDescent="0.2">
      <c r="A1242" s="2">
        <v>1241</v>
      </c>
      <c r="B1242">
        <v>900</v>
      </c>
      <c r="C1242" s="1">
        <v>46279</v>
      </c>
      <c r="D1242" s="1"/>
      <c r="E1242" t="s">
        <v>82</v>
      </c>
      <c r="F1242" t="str">
        <f t="shared" si="19"/>
        <v>Active</v>
      </c>
    </row>
    <row r="1243" spans="1:6" x14ac:dyDescent="0.2">
      <c r="A1243" s="2">
        <v>1242</v>
      </c>
      <c r="B1243">
        <v>900</v>
      </c>
      <c r="C1243" s="1">
        <v>46279</v>
      </c>
      <c r="D1243" s="1"/>
      <c r="E1243" t="s">
        <v>82</v>
      </c>
      <c r="F1243" t="str">
        <f t="shared" si="19"/>
        <v>Active</v>
      </c>
    </row>
    <row r="1244" spans="1:6" x14ac:dyDescent="0.2">
      <c r="A1244" s="2">
        <v>1243</v>
      </c>
      <c r="B1244">
        <v>900</v>
      </c>
      <c r="C1244" s="1">
        <v>46279</v>
      </c>
      <c r="D1244" s="1"/>
      <c r="E1244" t="s">
        <v>82</v>
      </c>
      <c r="F1244" t="str">
        <f t="shared" si="19"/>
        <v>Active</v>
      </c>
    </row>
    <row r="1245" spans="1:6" x14ac:dyDescent="0.2">
      <c r="A1245" s="2">
        <v>1244</v>
      </c>
      <c r="B1245">
        <v>900</v>
      </c>
      <c r="C1245" s="1">
        <v>46280</v>
      </c>
      <c r="D1245" s="1"/>
      <c r="E1245" t="s">
        <v>82</v>
      </c>
      <c r="F1245" t="str">
        <f t="shared" si="19"/>
        <v>Active</v>
      </c>
    </row>
    <row r="1246" spans="1:6" x14ac:dyDescent="0.2">
      <c r="A1246" s="2">
        <v>1245</v>
      </c>
      <c r="B1246">
        <v>900</v>
      </c>
      <c r="C1246" s="1">
        <v>46281</v>
      </c>
      <c r="D1246" s="1"/>
      <c r="E1246" t="s">
        <v>557</v>
      </c>
      <c r="F1246" t="str">
        <f t="shared" si="19"/>
        <v>Active</v>
      </c>
    </row>
    <row r="1247" spans="1:6" x14ac:dyDescent="0.2">
      <c r="A1247" s="2">
        <v>1246</v>
      </c>
      <c r="B1247">
        <v>900</v>
      </c>
      <c r="C1247" s="1">
        <v>46281</v>
      </c>
      <c r="D1247" s="1"/>
      <c r="E1247" t="s">
        <v>82</v>
      </c>
      <c r="F1247" t="str">
        <f t="shared" si="19"/>
        <v>Active</v>
      </c>
    </row>
    <row r="1248" spans="1:6" x14ac:dyDescent="0.2">
      <c r="A1248" s="2">
        <v>1247</v>
      </c>
      <c r="B1248">
        <v>900</v>
      </c>
      <c r="C1248" s="1">
        <v>46286</v>
      </c>
      <c r="D1248" s="1"/>
      <c r="E1248" t="s">
        <v>82</v>
      </c>
      <c r="F1248" t="str">
        <f t="shared" si="19"/>
        <v>Active</v>
      </c>
    </row>
    <row r="1249" spans="1:6" x14ac:dyDescent="0.2">
      <c r="A1249" s="2">
        <v>1248</v>
      </c>
      <c r="B1249">
        <v>900</v>
      </c>
      <c r="C1249" s="1">
        <v>46286</v>
      </c>
      <c r="D1249" s="1"/>
      <c r="E1249" t="s">
        <v>557</v>
      </c>
      <c r="F1249" t="str">
        <f t="shared" si="19"/>
        <v>Active</v>
      </c>
    </row>
    <row r="1250" spans="1:6" x14ac:dyDescent="0.2">
      <c r="A1250" s="2">
        <v>1249</v>
      </c>
      <c r="B1250">
        <v>900</v>
      </c>
      <c r="C1250" s="1">
        <v>46288</v>
      </c>
      <c r="D1250" s="1"/>
      <c r="E1250" t="s">
        <v>82</v>
      </c>
      <c r="F1250" t="str">
        <f t="shared" si="19"/>
        <v>Active</v>
      </c>
    </row>
    <row r="1251" spans="1:6" x14ac:dyDescent="0.2">
      <c r="A1251" s="2">
        <v>1250</v>
      </c>
      <c r="B1251">
        <v>900</v>
      </c>
      <c r="C1251" s="1">
        <v>46288</v>
      </c>
      <c r="D1251" s="1"/>
      <c r="E1251" t="s">
        <v>82</v>
      </c>
      <c r="F1251" t="str">
        <f t="shared" si="19"/>
        <v>Active</v>
      </c>
    </row>
    <row r="1252" spans="1:6" x14ac:dyDescent="0.2">
      <c r="A1252" s="2">
        <v>1251</v>
      </c>
      <c r="B1252">
        <v>900</v>
      </c>
      <c r="C1252" s="1">
        <v>46288</v>
      </c>
      <c r="D1252" s="1"/>
      <c r="E1252" t="s">
        <v>82</v>
      </c>
      <c r="F1252" t="str">
        <f t="shared" si="19"/>
        <v>Active</v>
      </c>
    </row>
    <row r="1253" spans="1:6" x14ac:dyDescent="0.2">
      <c r="A1253" s="2">
        <v>1252</v>
      </c>
      <c r="B1253">
        <v>900</v>
      </c>
      <c r="C1253" s="1">
        <v>46290</v>
      </c>
      <c r="D1253" s="1"/>
      <c r="E1253" t="s">
        <v>82</v>
      </c>
      <c r="F1253" t="str">
        <f t="shared" si="19"/>
        <v>Active</v>
      </c>
    </row>
    <row r="1254" spans="1:6" x14ac:dyDescent="0.2">
      <c r="A1254" s="2">
        <v>1253</v>
      </c>
      <c r="B1254">
        <v>900</v>
      </c>
      <c r="C1254" s="1">
        <v>46290</v>
      </c>
      <c r="D1254" s="1"/>
      <c r="E1254" t="s">
        <v>82</v>
      </c>
      <c r="F1254" t="str">
        <f t="shared" si="19"/>
        <v>Active</v>
      </c>
    </row>
    <row r="1255" spans="1:6" x14ac:dyDescent="0.2">
      <c r="A1255" s="2">
        <v>1254</v>
      </c>
      <c r="B1255">
        <v>900</v>
      </c>
      <c r="C1255" s="1">
        <v>46293</v>
      </c>
      <c r="D1255" s="1"/>
      <c r="E1255" t="s">
        <v>82</v>
      </c>
      <c r="F1255" t="str">
        <f t="shared" si="19"/>
        <v>Active</v>
      </c>
    </row>
    <row r="1256" spans="1:6" x14ac:dyDescent="0.2">
      <c r="A1256" s="2">
        <v>1255</v>
      </c>
      <c r="B1256">
        <v>900</v>
      </c>
      <c r="C1256" s="1">
        <v>46293</v>
      </c>
      <c r="D1256" s="1"/>
      <c r="E1256" t="s">
        <v>82</v>
      </c>
      <c r="F1256" t="str">
        <f t="shared" si="19"/>
        <v>Active</v>
      </c>
    </row>
    <row r="1257" spans="1:6" x14ac:dyDescent="0.2">
      <c r="A1257" s="2">
        <v>1256</v>
      </c>
      <c r="B1257">
        <v>900</v>
      </c>
      <c r="C1257" s="1">
        <v>46294</v>
      </c>
      <c r="D1257" s="1"/>
      <c r="E1257" t="s">
        <v>82</v>
      </c>
      <c r="F1257" t="str">
        <f t="shared" si="19"/>
        <v>Active</v>
      </c>
    </row>
    <row r="1258" spans="1:6" x14ac:dyDescent="0.2">
      <c r="A1258" s="2">
        <v>1257</v>
      </c>
      <c r="B1258">
        <v>900</v>
      </c>
      <c r="C1258" s="1">
        <v>46294</v>
      </c>
      <c r="D1258" s="1"/>
      <c r="E1258" t="s">
        <v>82</v>
      </c>
      <c r="F1258" t="str">
        <f t="shared" si="19"/>
        <v>Active</v>
      </c>
    </row>
    <row r="1259" spans="1:6" x14ac:dyDescent="0.2">
      <c r="A1259" s="2">
        <v>1258</v>
      </c>
      <c r="B1259">
        <v>900</v>
      </c>
      <c r="C1259" s="1">
        <v>46295</v>
      </c>
      <c r="D1259" s="1"/>
      <c r="E1259" t="s">
        <v>82</v>
      </c>
      <c r="F1259" t="str">
        <f t="shared" si="19"/>
        <v>Active</v>
      </c>
    </row>
    <row r="1260" spans="1:6" x14ac:dyDescent="0.2">
      <c r="A1260" s="2">
        <v>1259</v>
      </c>
      <c r="B1260">
        <v>900</v>
      </c>
      <c r="C1260" s="1">
        <v>46295</v>
      </c>
      <c r="D1260" s="1"/>
      <c r="E1260" t="s">
        <v>82</v>
      </c>
      <c r="F1260" t="str">
        <f t="shared" si="19"/>
        <v>Active</v>
      </c>
    </row>
    <row r="1261" spans="1:6" x14ac:dyDescent="0.2">
      <c r="A1261" s="2">
        <v>1260</v>
      </c>
      <c r="B1261">
        <v>900</v>
      </c>
      <c r="C1261" s="1">
        <v>46295</v>
      </c>
      <c r="D1261" s="1"/>
      <c r="E1261" t="s">
        <v>82</v>
      </c>
      <c r="F1261" t="str">
        <f t="shared" si="19"/>
        <v>Active</v>
      </c>
    </row>
    <row r="1262" spans="1:6" x14ac:dyDescent="0.2">
      <c r="A1262" s="2">
        <v>1261</v>
      </c>
      <c r="B1262">
        <v>900</v>
      </c>
      <c r="C1262" s="1">
        <v>46295</v>
      </c>
      <c r="D1262" s="1"/>
      <c r="E1262" t="s">
        <v>557</v>
      </c>
      <c r="F1262" t="str">
        <f t="shared" si="19"/>
        <v>Active</v>
      </c>
    </row>
    <row r="1263" spans="1:6" x14ac:dyDescent="0.2">
      <c r="A1263" s="2">
        <v>1262</v>
      </c>
      <c r="B1263">
        <v>900</v>
      </c>
      <c r="C1263" s="1">
        <v>46296</v>
      </c>
      <c r="D1263" s="1"/>
      <c r="E1263" t="s">
        <v>82</v>
      </c>
      <c r="F1263" t="str">
        <f t="shared" si="19"/>
        <v>Active</v>
      </c>
    </row>
    <row r="1264" spans="1:6" x14ac:dyDescent="0.2">
      <c r="A1264" s="2">
        <v>1263</v>
      </c>
      <c r="B1264">
        <v>900</v>
      </c>
      <c r="C1264" s="1">
        <v>46296</v>
      </c>
      <c r="D1264" s="1"/>
      <c r="E1264" t="s">
        <v>557</v>
      </c>
      <c r="F1264" t="str">
        <f t="shared" si="19"/>
        <v>Active</v>
      </c>
    </row>
    <row r="1265" spans="1:6" x14ac:dyDescent="0.2">
      <c r="A1265" s="2">
        <v>1264</v>
      </c>
      <c r="B1265">
        <v>900</v>
      </c>
      <c r="C1265" s="1">
        <v>46296</v>
      </c>
      <c r="D1265" s="1"/>
      <c r="E1265" t="s">
        <v>82</v>
      </c>
      <c r="F1265" t="str">
        <f t="shared" si="19"/>
        <v>Active</v>
      </c>
    </row>
    <row r="1266" spans="1:6" x14ac:dyDescent="0.2">
      <c r="A1266" s="2">
        <v>1265</v>
      </c>
      <c r="B1266">
        <v>900</v>
      </c>
      <c r="C1266" s="1">
        <v>46296</v>
      </c>
      <c r="D1266" s="1"/>
      <c r="E1266" t="s">
        <v>82</v>
      </c>
      <c r="F1266" t="str">
        <f t="shared" si="19"/>
        <v>Active</v>
      </c>
    </row>
    <row r="1267" spans="1:6" x14ac:dyDescent="0.2">
      <c r="A1267" s="2">
        <v>1266</v>
      </c>
      <c r="B1267">
        <v>900</v>
      </c>
      <c r="C1267" s="1">
        <v>46296</v>
      </c>
      <c r="D1267" s="1"/>
      <c r="E1267" t="s">
        <v>557</v>
      </c>
      <c r="F1267" t="str">
        <f t="shared" si="19"/>
        <v>Active</v>
      </c>
    </row>
    <row r="1268" spans="1:6" x14ac:dyDescent="0.2">
      <c r="A1268" s="2">
        <v>1267</v>
      </c>
      <c r="B1268">
        <v>900</v>
      </c>
      <c r="C1268" s="1">
        <v>46296</v>
      </c>
      <c r="D1268" s="1"/>
      <c r="E1268" t="s">
        <v>82</v>
      </c>
      <c r="F1268" t="str">
        <f t="shared" si="19"/>
        <v>Active</v>
      </c>
    </row>
    <row r="1269" spans="1:6" x14ac:dyDescent="0.2">
      <c r="A1269" s="2">
        <v>1268</v>
      </c>
      <c r="B1269">
        <v>900</v>
      </c>
      <c r="C1269" s="1">
        <v>46296</v>
      </c>
      <c r="D1269" s="1"/>
      <c r="E1269" t="s">
        <v>82</v>
      </c>
      <c r="F1269" t="str">
        <f t="shared" si="19"/>
        <v>Active</v>
      </c>
    </row>
    <row r="1270" spans="1:6" x14ac:dyDescent="0.2">
      <c r="A1270" s="2">
        <v>1269</v>
      </c>
      <c r="B1270">
        <v>900</v>
      </c>
      <c r="C1270" s="1">
        <v>46296</v>
      </c>
      <c r="D1270" s="1"/>
      <c r="E1270" t="s">
        <v>82</v>
      </c>
      <c r="F1270" t="str">
        <f t="shared" si="19"/>
        <v>Active</v>
      </c>
    </row>
    <row r="1271" spans="1:6" x14ac:dyDescent="0.2">
      <c r="A1271" s="2">
        <v>1270</v>
      </c>
      <c r="B1271">
        <v>900</v>
      </c>
      <c r="C1271" s="1">
        <v>46296</v>
      </c>
      <c r="D1271" s="1"/>
      <c r="E1271" t="s">
        <v>82</v>
      </c>
      <c r="F1271" t="str">
        <f t="shared" si="19"/>
        <v>Active</v>
      </c>
    </row>
    <row r="1272" spans="1:6" x14ac:dyDescent="0.2">
      <c r="A1272" s="2">
        <v>1271</v>
      </c>
      <c r="B1272">
        <v>900</v>
      </c>
      <c r="C1272" s="1">
        <v>46296</v>
      </c>
      <c r="D1272" s="1"/>
      <c r="E1272" t="s">
        <v>82</v>
      </c>
      <c r="F1272" t="str">
        <f t="shared" si="19"/>
        <v>Active</v>
      </c>
    </row>
    <row r="1273" spans="1:6" x14ac:dyDescent="0.2">
      <c r="A1273" s="2">
        <v>1272</v>
      </c>
      <c r="B1273">
        <v>900</v>
      </c>
      <c r="C1273" s="1">
        <v>46297</v>
      </c>
      <c r="D1273" s="1"/>
      <c r="E1273" t="s">
        <v>82</v>
      </c>
      <c r="F1273" t="str">
        <f t="shared" si="19"/>
        <v>Active</v>
      </c>
    </row>
    <row r="1274" spans="1:6" x14ac:dyDescent="0.2">
      <c r="A1274" s="2">
        <v>1273</v>
      </c>
      <c r="B1274">
        <v>900</v>
      </c>
      <c r="C1274" s="1">
        <v>46297</v>
      </c>
      <c r="D1274" s="1"/>
      <c r="E1274" t="s">
        <v>82</v>
      </c>
      <c r="F1274" t="str">
        <f t="shared" si="19"/>
        <v>Active</v>
      </c>
    </row>
    <row r="1275" spans="1:6" x14ac:dyDescent="0.2">
      <c r="A1275" s="2">
        <v>1274</v>
      </c>
      <c r="B1275">
        <v>900</v>
      </c>
      <c r="C1275" s="1">
        <v>46297</v>
      </c>
      <c r="D1275" s="1"/>
      <c r="E1275" t="s">
        <v>82</v>
      </c>
      <c r="F1275" t="str">
        <f t="shared" si="19"/>
        <v>Active</v>
      </c>
    </row>
    <row r="1276" spans="1:6" x14ac:dyDescent="0.2">
      <c r="A1276" s="2">
        <v>1275</v>
      </c>
      <c r="B1276">
        <v>900</v>
      </c>
      <c r="C1276" s="1">
        <v>46297</v>
      </c>
      <c r="D1276" s="1"/>
      <c r="E1276" t="s">
        <v>557</v>
      </c>
      <c r="F1276" t="str">
        <f t="shared" si="19"/>
        <v>Active</v>
      </c>
    </row>
    <row r="1277" spans="1:6" x14ac:dyDescent="0.2">
      <c r="A1277" s="2">
        <v>1276</v>
      </c>
      <c r="B1277">
        <v>900</v>
      </c>
      <c r="C1277" s="1">
        <v>46297</v>
      </c>
      <c r="D1277" s="1"/>
      <c r="E1277" t="s">
        <v>82</v>
      </c>
      <c r="F1277" t="str">
        <f t="shared" si="19"/>
        <v>Active</v>
      </c>
    </row>
    <row r="1278" spans="1:6" x14ac:dyDescent="0.2">
      <c r="A1278" s="2">
        <v>1277</v>
      </c>
      <c r="B1278">
        <v>900</v>
      </c>
      <c r="C1278" s="1">
        <v>46297</v>
      </c>
      <c r="D1278" s="1"/>
      <c r="E1278" t="s">
        <v>557</v>
      </c>
      <c r="F1278" t="str">
        <f t="shared" si="19"/>
        <v>Active</v>
      </c>
    </row>
    <row r="1279" spans="1:6" x14ac:dyDescent="0.2">
      <c r="A1279" s="2">
        <v>1278</v>
      </c>
      <c r="B1279">
        <v>900</v>
      </c>
      <c r="C1279" s="1">
        <v>46297</v>
      </c>
      <c r="D1279" s="1"/>
      <c r="E1279" t="s">
        <v>82</v>
      </c>
      <c r="F1279" t="str">
        <f t="shared" si="19"/>
        <v>Active</v>
      </c>
    </row>
    <row r="1280" spans="1:6" x14ac:dyDescent="0.2">
      <c r="A1280" s="2">
        <v>1279</v>
      </c>
      <c r="B1280">
        <v>900</v>
      </c>
      <c r="C1280" s="1">
        <v>46297</v>
      </c>
      <c r="D1280" s="1"/>
      <c r="E1280" t="s">
        <v>82</v>
      </c>
      <c r="F1280" t="str">
        <f t="shared" si="19"/>
        <v>Active</v>
      </c>
    </row>
    <row r="1281" spans="1:6" x14ac:dyDescent="0.2">
      <c r="A1281" s="2">
        <v>1280</v>
      </c>
      <c r="B1281">
        <v>900</v>
      </c>
      <c r="C1281" s="1">
        <v>46297</v>
      </c>
      <c r="D1281" s="1"/>
      <c r="E1281" t="s">
        <v>82</v>
      </c>
      <c r="F1281" t="str">
        <f t="shared" si="19"/>
        <v>Active</v>
      </c>
    </row>
    <row r="1282" spans="1:6" x14ac:dyDescent="0.2">
      <c r="A1282" s="2">
        <v>1281</v>
      </c>
      <c r="B1282">
        <v>900</v>
      </c>
      <c r="C1282" s="1">
        <v>46297</v>
      </c>
      <c r="D1282" s="1"/>
      <c r="E1282" t="s">
        <v>82</v>
      </c>
      <c r="F1282" t="str">
        <f t="shared" si="19"/>
        <v>Active</v>
      </c>
    </row>
    <row r="1283" spans="1:6" x14ac:dyDescent="0.2">
      <c r="A1283" s="2">
        <v>1282</v>
      </c>
      <c r="B1283">
        <v>900</v>
      </c>
      <c r="C1283" s="1">
        <v>46300</v>
      </c>
      <c r="D1283" s="1"/>
      <c r="E1283" t="s">
        <v>82</v>
      </c>
      <c r="F1283" t="str">
        <f t="shared" ref="F1283:F1346" si="20">IF(D1283="","Active","Terminated")</f>
        <v>Active</v>
      </c>
    </row>
    <row r="1284" spans="1:6" x14ac:dyDescent="0.2">
      <c r="A1284" s="2">
        <v>1283</v>
      </c>
      <c r="B1284">
        <v>900</v>
      </c>
      <c r="C1284" s="1">
        <v>46300</v>
      </c>
      <c r="D1284" s="1"/>
      <c r="E1284" t="s">
        <v>82</v>
      </c>
      <c r="F1284" t="str">
        <f t="shared" si="20"/>
        <v>Active</v>
      </c>
    </row>
    <row r="1285" spans="1:6" x14ac:dyDescent="0.2">
      <c r="A1285" s="2">
        <v>1284</v>
      </c>
      <c r="B1285">
        <v>900</v>
      </c>
      <c r="C1285" s="1">
        <v>46300</v>
      </c>
      <c r="D1285" s="1"/>
      <c r="E1285" t="s">
        <v>82</v>
      </c>
      <c r="F1285" t="str">
        <f t="shared" si="20"/>
        <v>Active</v>
      </c>
    </row>
    <row r="1286" spans="1:6" x14ac:dyDescent="0.2">
      <c r="A1286" s="2">
        <v>1285</v>
      </c>
      <c r="B1286">
        <v>900</v>
      </c>
      <c r="C1286" s="1">
        <v>46300</v>
      </c>
      <c r="D1286" s="1"/>
      <c r="E1286" t="s">
        <v>82</v>
      </c>
      <c r="F1286" t="str">
        <f t="shared" si="20"/>
        <v>Active</v>
      </c>
    </row>
    <row r="1287" spans="1:6" x14ac:dyDescent="0.2">
      <c r="A1287" s="2">
        <v>1286</v>
      </c>
      <c r="B1287">
        <v>900</v>
      </c>
      <c r="C1287" s="1">
        <v>46300</v>
      </c>
      <c r="D1287" s="1"/>
      <c r="E1287" t="s">
        <v>557</v>
      </c>
      <c r="F1287" t="str">
        <f t="shared" si="20"/>
        <v>Active</v>
      </c>
    </row>
    <row r="1288" spans="1:6" x14ac:dyDescent="0.2">
      <c r="A1288" s="2">
        <v>1287</v>
      </c>
      <c r="B1288">
        <v>900</v>
      </c>
      <c r="C1288" s="1">
        <v>46300</v>
      </c>
      <c r="D1288" s="1"/>
      <c r="E1288" t="s">
        <v>82</v>
      </c>
      <c r="F1288" t="str">
        <f t="shared" si="20"/>
        <v>Active</v>
      </c>
    </row>
    <row r="1289" spans="1:6" x14ac:dyDescent="0.2">
      <c r="A1289" s="2">
        <v>1288</v>
      </c>
      <c r="B1289">
        <v>900</v>
      </c>
      <c r="C1289" s="1">
        <v>46300</v>
      </c>
      <c r="D1289" s="1"/>
      <c r="E1289" t="s">
        <v>82</v>
      </c>
      <c r="F1289" t="str">
        <f t="shared" si="20"/>
        <v>Active</v>
      </c>
    </row>
    <row r="1290" spans="1:6" x14ac:dyDescent="0.2">
      <c r="A1290" s="2">
        <v>1289</v>
      </c>
      <c r="B1290">
        <v>900</v>
      </c>
      <c r="C1290" s="1">
        <v>46300</v>
      </c>
      <c r="D1290" s="1"/>
      <c r="E1290" t="s">
        <v>82</v>
      </c>
      <c r="F1290" t="str">
        <f t="shared" si="20"/>
        <v>Active</v>
      </c>
    </row>
    <row r="1291" spans="1:6" x14ac:dyDescent="0.2">
      <c r="A1291" s="2">
        <v>1290</v>
      </c>
      <c r="B1291">
        <v>900</v>
      </c>
      <c r="C1291" s="1">
        <v>46300</v>
      </c>
      <c r="D1291" s="1"/>
      <c r="E1291" t="s">
        <v>82</v>
      </c>
      <c r="F1291" t="str">
        <f t="shared" si="20"/>
        <v>Active</v>
      </c>
    </row>
    <row r="1292" spans="1:6" x14ac:dyDescent="0.2">
      <c r="A1292" s="2">
        <v>1291</v>
      </c>
      <c r="B1292">
        <v>900</v>
      </c>
      <c r="C1292" s="1">
        <v>46300</v>
      </c>
      <c r="D1292" s="1"/>
      <c r="E1292" t="s">
        <v>82</v>
      </c>
      <c r="F1292" t="str">
        <f t="shared" si="20"/>
        <v>Active</v>
      </c>
    </row>
    <row r="1293" spans="1:6" x14ac:dyDescent="0.2">
      <c r="A1293" s="2">
        <v>1292</v>
      </c>
      <c r="B1293">
        <v>900</v>
      </c>
      <c r="C1293" s="1">
        <v>46300</v>
      </c>
      <c r="D1293" s="1"/>
      <c r="E1293" t="s">
        <v>82</v>
      </c>
      <c r="F1293" t="str">
        <f t="shared" si="20"/>
        <v>Active</v>
      </c>
    </row>
    <row r="1294" spans="1:6" x14ac:dyDescent="0.2">
      <c r="A1294" s="2">
        <v>1293</v>
      </c>
      <c r="B1294">
        <v>900</v>
      </c>
      <c r="C1294" s="1">
        <v>46300</v>
      </c>
      <c r="D1294" s="1"/>
      <c r="E1294" t="s">
        <v>82</v>
      </c>
      <c r="F1294" t="str">
        <f t="shared" si="20"/>
        <v>Active</v>
      </c>
    </row>
    <row r="1295" spans="1:6" x14ac:dyDescent="0.2">
      <c r="A1295" s="2">
        <v>1294</v>
      </c>
      <c r="B1295">
        <v>1000</v>
      </c>
      <c r="C1295" s="1">
        <v>44235</v>
      </c>
      <c r="D1295" s="1"/>
      <c r="E1295" t="s">
        <v>82</v>
      </c>
      <c r="F1295" t="str">
        <f t="shared" si="20"/>
        <v>Active</v>
      </c>
    </row>
    <row r="1296" spans="1:6" x14ac:dyDescent="0.2">
      <c r="A1296" s="2">
        <v>1295</v>
      </c>
      <c r="B1296">
        <v>1000</v>
      </c>
      <c r="C1296" s="1">
        <v>44424</v>
      </c>
      <c r="D1296" s="1">
        <v>44637</v>
      </c>
      <c r="E1296" t="s">
        <v>82</v>
      </c>
      <c r="F1296" t="str">
        <f t="shared" si="20"/>
        <v>Terminated</v>
      </c>
    </row>
    <row r="1297" spans="1:6" x14ac:dyDescent="0.2">
      <c r="A1297" s="2">
        <v>1296</v>
      </c>
      <c r="B1297">
        <v>1000</v>
      </c>
      <c r="C1297" s="1">
        <v>44480</v>
      </c>
      <c r="D1297" s="1">
        <v>44648</v>
      </c>
      <c r="E1297" t="s">
        <v>82</v>
      </c>
      <c r="F1297" t="str">
        <f t="shared" si="20"/>
        <v>Terminated</v>
      </c>
    </row>
    <row r="1298" spans="1:6" x14ac:dyDescent="0.2">
      <c r="A1298" s="2">
        <v>1297</v>
      </c>
      <c r="B1298">
        <v>1000</v>
      </c>
      <c r="C1298" s="1">
        <v>44916</v>
      </c>
      <c r="D1298" s="1">
        <v>45663</v>
      </c>
      <c r="E1298" t="s">
        <v>82</v>
      </c>
      <c r="F1298" t="str">
        <f t="shared" si="20"/>
        <v>Terminated</v>
      </c>
    </row>
    <row r="1299" spans="1:6" x14ac:dyDescent="0.2">
      <c r="A1299" s="2">
        <v>1298</v>
      </c>
      <c r="B1299">
        <v>1000</v>
      </c>
      <c r="C1299" s="1">
        <v>45138</v>
      </c>
      <c r="D1299" s="1"/>
      <c r="E1299" t="s">
        <v>82</v>
      </c>
      <c r="F1299" t="str">
        <f t="shared" si="20"/>
        <v>Active</v>
      </c>
    </row>
    <row r="1300" spans="1:6" x14ac:dyDescent="0.2">
      <c r="A1300" s="2">
        <v>1299</v>
      </c>
      <c r="B1300">
        <v>1000</v>
      </c>
      <c r="C1300" s="1">
        <v>45146</v>
      </c>
      <c r="D1300" s="1"/>
      <c r="E1300" t="s">
        <v>82</v>
      </c>
      <c r="F1300" t="str">
        <f t="shared" si="20"/>
        <v>Active</v>
      </c>
    </row>
    <row r="1301" spans="1:6" x14ac:dyDescent="0.2">
      <c r="A1301" s="2">
        <v>1300</v>
      </c>
      <c r="B1301">
        <v>1000</v>
      </c>
      <c r="C1301" s="1">
        <v>45355</v>
      </c>
      <c r="D1301" s="1"/>
      <c r="E1301" t="s">
        <v>82</v>
      </c>
      <c r="F1301" t="str">
        <f t="shared" si="20"/>
        <v>Active</v>
      </c>
    </row>
    <row r="1302" spans="1:6" x14ac:dyDescent="0.2">
      <c r="A1302" s="2">
        <v>1301</v>
      </c>
      <c r="B1302">
        <v>1000</v>
      </c>
      <c r="C1302" s="1">
        <v>45453</v>
      </c>
      <c r="D1302" s="1"/>
      <c r="E1302" t="s">
        <v>82</v>
      </c>
      <c r="F1302" t="str">
        <f t="shared" si="20"/>
        <v>Active</v>
      </c>
    </row>
    <row r="1303" spans="1:6" x14ac:dyDescent="0.2">
      <c r="A1303" s="2">
        <v>1302</v>
      </c>
      <c r="B1303">
        <v>1000</v>
      </c>
      <c r="C1303" s="1">
        <v>45454</v>
      </c>
      <c r="D1303" s="1"/>
      <c r="E1303" t="s">
        <v>82</v>
      </c>
      <c r="F1303" t="str">
        <f t="shared" si="20"/>
        <v>Active</v>
      </c>
    </row>
    <row r="1304" spans="1:6" x14ac:dyDescent="0.2">
      <c r="A1304" s="2">
        <v>1303</v>
      </c>
      <c r="B1304">
        <v>1000</v>
      </c>
      <c r="C1304" s="1">
        <v>45559</v>
      </c>
      <c r="D1304" s="1"/>
      <c r="E1304" t="s">
        <v>82</v>
      </c>
      <c r="F1304" t="str">
        <f t="shared" si="20"/>
        <v>Active</v>
      </c>
    </row>
    <row r="1305" spans="1:6" x14ac:dyDescent="0.2">
      <c r="A1305" s="2">
        <v>1304</v>
      </c>
      <c r="B1305">
        <v>1000</v>
      </c>
      <c r="C1305" s="1">
        <v>45561</v>
      </c>
      <c r="D1305" s="1"/>
      <c r="E1305" t="s">
        <v>82</v>
      </c>
      <c r="F1305" t="str">
        <f t="shared" si="20"/>
        <v>Active</v>
      </c>
    </row>
    <row r="1306" spans="1:6" x14ac:dyDescent="0.2">
      <c r="A1306" s="2">
        <v>1305</v>
      </c>
      <c r="B1306">
        <v>1000</v>
      </c>
      <c r="C1306" s="1">
        <v>45581</v>
      </c>
      <c r="D1306" s="1"/>
      <c r="E1306" t="s">
        <v>82</v>
      </c>
      <c r="F1306" t="str">
        <f t="shared" si="20"/>
        <v>Active</v>
      </c>
    </row>
    <row r="1307" spans="1:6" x14ac:dyDescent="0.2">
      <c r="A1307" s="2">
        <v>1306</v>
      </c>
      <c r="B1307">
        <v>1000</v>
      </c>
      <c r="C1307" s="1">
        <v>45664</v>
      </c>
      <c r="D1307" s="1"/>
      <c r="E1307" t="s">
        <v>82</v>
      </c>
      <c r="F1307" t="str">
        <f t="shared" si="20"/>
        <v>Active</v>
      </c>
    </row>
    <row r="1308" spans="1:6" x14ac:dyDescent="0.2">
      <c r="A1308" s="2">
        <v>1307</v>
      </c>
      <c r="B1308">
        <v>1000</v>
      </c>
      <c r="C1308" s="1">
        <v>45719</v>
      </c>
      <c r="D1308" s="1"/>
      <c r="E1308" t="s">
        <v>82</v>
      </c>
      <c r="F1308" t="str">
        <f t="shared" si="20"/>
        <v>Active</v>
      </c>
    </row>
    <row r="1309" spans="1:6" x14ac:dyDescent="0.2">
      <c r="A1309" s="2">
        <v>1308</v>
      </c>
      <c r="B1309">
        <v>1000</v>
      </c>
      <c r="C1309" s="1">
        <v>45765</v>
      </c>
      <c r="D1309" s="1"/>
      <c r="E1309" t="s">
        <v>82</v>
      </c>
      <c r="F1309" t="str">
        <f t="shared" si="20"/>
        <v>Active</v>
      </c>
    </row>
    <row r="1310" spans="1:6" x14ac:dyDescent="0.2">
      <c r="A1310" s="2">
        <v>1309</v>
      </c>
      <c r="B1310">
        <v>1000</v>
      </c>
      <c r="C1310" s="1">
        <v>45832</v>
      </c>
      <c r="D1310" s="1"/>
      <c r="E1310" t="s">
        <v>82</v>
      </c>
      <c r="F1310" t="str">
        <f t="shared" si="20"/>
        <v>Active</v>
      </c>
    </row>
    <row r="1311" spans="1:6" x14ac:dyDescent="0.2">
      <c r="A1311" s="2">
        <v>1310</v>
      </c>
      <c r="B1311">
        <v>1000</v>
      </c>
      <c r="C1311" s="1">
        <v>45852</v>
      </c>
      <c r="D1311" s="1"/>
      <c r="E1311" t="s">
        <v>82</v>
      </c>
      <c r="F1311" t="str">
        <f t="shared" si="20"/>
        <v>Active</v>
      </c>
    </row>
    <row r="1312" spans="1:6" x14ac:dyDescent="0.2">
      <c r="A1312" s="2">
        <v>1311</v>
      </c>
      <c r="B1312">
        <v>1000</v>
      </c>
      <c r="C1312" s="1">
        <v>45863</v>
      </c>
      <c r="D1312" s="1"/>
      <c r="E1312" t="s">
        <v>82</v>
      </c>
      <c r="F1312" t="str">
        <f t="shared" si="20"/>
        <v>Active</v>
      </c>
    </row>
    <row r="1313" spans="1:6" x14ac:dyDescent="0.2">
      <c r="A1313" s="2">
        <v>1312</v>
      </c>
      <c r="B1313">
        <v>1000</v>
      </c>
      <c r="C1313" s="1">
        <v>45901</v>
      </c>
      <c r="D1313" s="1"/>
      <c r="E1313" t="s">
        <v>82</v>
      </c>
      <c r="F1313" t="str">
        <f t="shared" si="20"/>
        <v>Active</v>
      </c>
    </row>
    <row r="1314" spans="1:6" x14ac:dyDescent="0.2">
      <c r="A1314" s="2">
        <v>1313</v>
      </c>
      <c r="B1314">
        <v>1000</v>
      </c>
      <c r="C1314" s="1">
        <v>46013</v>
      </c>
      <c r="D1314" s="1"/>
      <c r="E1314" t="s">
        <v>82</v>
      </c>
      <c r="F1314" t="str">
        <f t="shared" si="20"/>
        <v>Active</v>
      </c>
    </row>
    <row r="1315" spans="1:6" x14ac:dyDescent="0.2">
      <c r="A1315" s="2">
        <v>1314</v>
      </c>
      <c r="B1315">
        <v>1000</v>
      </c>
      <c r="C1315" s="1">
        <v>46037</v>
      </c>
      <c r="D1315" s="1">
        <v>46140</v>
      </c>
      <c r="E1315" t="s">
        <v>82</v>
      </c>
      <c r="F1315" t="str">
        <f t="shared" si="20"/>
        <v>Terminated</v>
      </c>
    </row>
    <row r="1316" spans="1:6" x14ac:dyDescent="0.2">
      <c r="A1316" s="2">
        <v>1315</v>
      </c>
      <c r="B1316">
        <v>1000</v>
      </c>
      <c r="C1316" s="1">
        <v>46051</v>
      </c>
      <c r="D1316" s="1"/>
      <c r="E1316" t="s">
        <v>557</v>
      </c>
      <c r="F1316" t="str">
        <f t="shared" si="20"/>
        <v>Active</v>
      </c>
    </row>
    <row r="1317" spans="1:6" x14ac:dyDescent="0.2">
      <c r="A1317" s="2">
        <v>1316</v>
      </c>
      <c r="B1317">
        <v>1000</v>
      </c>
      <c r="C1317" s="1">
        <v>46112</v>
      </c>
      <c r="D1317" s="1"/>
      <c r="E1317" t="s">
        <v>82</v>
      </c>
      <c r="F1317" t="str">
        <f t="shared" si="20"/>
        <v>Active</v>
      </c>
    </row>
    <row r="1318" spans="1:6" x14ac:dyDescent="0.2">
      <c r="A1318" s="2">
        <v>1317</v>
      </c>
      <c r="B1318">
        <v>1000</v>
      </c>
      <c r="C1318" s="1">
        <v>46128</v>
      </c>
      <c r="D1318" s="1"/>
      <c r="E1318" t="s">
        <v>82</v>
      </c>
      <c r="F1318" t="str">
        <f t="shared" si="20"/>
        <v>Active</v>
      </c>
    </row>
    <row r="1319" spans="1:6" x14ac:dyDescent="0.2">
      <c r="A1319" s="2">
        <v>1318</v>
      </c>
      <c r="B1319">
        <v>1000</v>
      </c>
      <c r="C1319" s="1">
        <v>46139</v>
      </c>
      <c r="D1319" s="1"/>
      <c r="E1319" t="s">
        <v>82</v>
      </c>
      <c r="F1319" t="str">
        <f t="shared" si="20"/>
        <v>Active</v>
      </c>
    </row>
    <row r="1320" spans="1:6" x14ac:dyDescent="0.2">
      <c r="A1320" s="2">
        <v>1319</v>
      </c>
      <c r="B1320">
        <v>1000</v>
      </c>
      <c r="C1320" s="1">
        <v>46185</v>
      </c>
      <c r="D1320" s="1"/>
      <c r="E1320" t="s">
        <v>82</v>
      </c>
      <c r="F1320" t="str">
        <f t="shared" si="20"/>
        <v>Active</v>
      </c>
    </row>
    <row r="1321" spans="1:6" x14ac:dyDescent="0.2">
      <c r="A1321" s="2">
        <v>1320</v>
      </c>
      <c r="B1321">
        <v>1000</v>
      </c>
      <c r="C1321" s="1">
        <v>46188</v>
      </c>
      <c r="D1321" s="1"/>
      <c r="E1321" t="s">
        <v>82</v>
      </c>
      <c r="F1321" t="str">
        <f t="shared" si="20"/>
        <v>Active</v>
      </c>
    </row>
    <row r="1322" spans="1:6" x14ac:dyDescent="0.2">
      <c r="A1322" s="2">
        <v>1321</v>
      </c>
      <c r="B1322">
        <v>1000</v>
      </c>
      <c r="C1322" s="1">
        <v>46195</v>
      </c>
      <c r="D1322" s="1">
        <v>46286</v>
      </c>
      <c r="E1322" t="s">
        <v>82</v>
      </c>
      <c r="F1322" t="str">
        <f t="shared" si="20"/>
        <v>Terminated</v>
      </c>
    </row>
    <row r="1323" spans="1:6" x14ac:dyDescent="0.2">
      <c r="A1323" s="2">
        <v>1322</v>
      </c>
      <c r="B1323">
        <v>1000</v>
      </c>
      <c r="C1323" s="1">
        <v>46195</v>
      </c>
      <c r="D1323" s="1"/>
      <c r="E1323" t="s">
        <v>82</v>
      </c>
      <c r="F1323" t="str">
        <f t="shared" si="20"/>
        <v>Active</v>
      </c>
    </row>
    <row r="1324" spans="1:6" x14ac:dyDescent="0.2">
      <c r="A1324" s="2">
        <v>1323</v>
      </c>
      <c r="B1324">
        <v>1000</v>
      </c>
      <c r="C1324" s="1">
        <v>46195</v>
      </c>
      <c r="D1324" s="1"/>
      <c r="E1324" t="s">
        <v>82</v>
      </c>
      <c r="F1324" t="str">
        <f t="shared" si="20"/>
        <v>Active</v>
      </c>
    </row>
    <row r="1325" spans="1:6" x14ac:dyDescent="0.2">
      <c r="A1325" s="2">
        <v>1324</v>
      </c>
      <c r="B1325">
        <v>1000</v>
      </c>
      <c r="C1325" s="1">
        <v>46202</v>
      </c>
      <c r="D1325" s="1"/>
      <c r="E1325" t="s">
        <v>82</v>
      </c>
      <c r="F1325" t="str">
        <f t="shared" si="20"/>
        <v>Active</v>
      </c>
    </row>
    <row r="1326" spans="1:6" x14ac:dyDescent="0.2">
      <c r="A1326" s="2">
        <v>1325</v>
      </c>
      <c r="B1326">
        <v>1000</v>
      </c>
      <c r="C1326" s="1">
        <v>46209</v>
      </c>
      <c r="D1326" s="1"/>
      <c r="E1326" t="s">
        <v>82</v>
      </c>
      <c r="F1326" t="str">
        <f t="shared" si="20"/>
        <v>Active</v>
      </c>
    </row>
    <row r="1327" spans="1:6" x14ac:dyDescent="0.2">
      <c r="A1327" s="2">
        <v>1326</v>
      </c>
      <c r="B1327">
        <v>1000</v>
      </c>
      <c r="C1327" s="1">
        <v>46224</v>
      </c>
      <c r="D1327" s="1"/>
      <c r="E1327" t="s">
        <v>82</v>
      </c>
      <c r="F1327" t="str">
        <f t="shared" si="20"/>
        <v>Active</v>
      </c>
    </row>
    <row r="1328" spans="1:6" x14ac:dyDescent="0.2">
      <c r="A1328" s="2">
        <v>1327</v>
      </c>
      <c r="B1328">
        <v>1000</v>
      </c>
      <c r="C1328" s="1">
        <v>46230</v>
      </c>
      <c r="D1328" s="1"/>
      <c r="E1328" t="s">
        <v>557</v>
      </c>
      <c r="F1328" t="str">
        <f t="shared" si="20"/>
        <v>Active</v>
      </c>
    </row>
    <row r="1329" spans="1:6" x14ac:dyDescent="0.2">
      <c r="A1329" s="2">
        <v>1328</v>
      </c>
      <c r="B1329">
        <v>1000</v>
      </c>
      <c r="C1329" s="1">
        <v>46251</v>
      </c>
      <c r="D1329" s="1"/>
      <c r="E1329" t="s">
        <v>82</v>
      </c>
      <c r="F1329" t="str">
        <f t="shared" si="20"/>
        <v>Active</v>
      </c>
    </row>
    <row r="1330" spans="1:6" x14ac:dyDescent="0.2">
      <c r="A1330" s="2">
        <v>1329</v>
      </c>
      <c r="B1330">
        <v>1200</v>
      </c>
      <c r="C1330" s="1">
        <v>45096</v>
      </c>
      <c r="D1330" s="1"/>
      <c r="E1330" t="s">
        <v>82</v>
      </c>
      <c r="F1330" t="str">
        <f t="shared" si="20"/>
        <v>Active</v>
      </c>
    </row>
    <row r="1331" spans="1:6" x14ac:dyDescent="0.2">
      <c r="A1331" s="2">
        <v>1330</v>
      </c>
      <c r="B1331">
        <v>1200</v>
      </c>
      <c r="C1331" s="1">
        <v>45103</v>
      </c>
      <c r="D1331" s="1">
        <v>45352</v>
      </c>
      <c r="E1331" t="s">
        <v>82</v>
      </c>
      <c r="F1331" t="str">
        <f t="shared" si="20"/>
        <v>Terminated</v>
      </c>
    </row>
    <row r="1332" spans="1:6" x14ac:dyDescent="0.2">
      <c r="A1332" s="2">
        <v>1331</v>
      </c>
      <c r="B1332">
        <v>1200</v>
      </c>
      <c r="C1332" s="1">
        <v>45126</v>
      </c>
      <c r="D1332" s="1">
        <v>45950</v>
      </c>
      <c r="E1332" t="s">
        <v>82</v>
      </c>
      <c r="F1332" t="str">
        <f t="shared" si="20"/>
        <v>Terminated</v>
      </c>
    </row>
    <row r="1333" spans="1:6" x14ac:dyDescent="0.2">
      <c r="A1333" s="2">
        <v>1332</v>
      </c>
      <c r="B1333">
        <v>1200</v>
      </c>
      <c r="C1333" s="1">
        <v>45299</v>
      </c>
      <c r="D1333" s="1">
        <v>45743</v>
      </c>
      <c r="E1333" t="s">
        <v>82</v>
      </c>
      <c r="F1333" t="str">
        <f t="shared" si="20"/>
        <v>Terminated</v>
      </c>
    </row>
    <row r="1334" spans="1:6" x14ac:dyDescent="0.2">
      <c r="A1334" s="2">
        <v>1333</v>
      </c>
      <c r="B1334">
        <v>1200</v>
      </c>
      <c r="C1334" s="1">
        <v>45420</v>
      </c>
      <c r="D1334" s="1">
        <v>45643</v>
      </c>
      <c r="E1334" t="s">
        <v>82</v>
      </c>
      <c r="F1334" t="str">
        <f t="shared" si="20"/>
        <v>Terminated</v>
      </c>
    </row>
    <row r="1335" spans="1:6" x14ac:dyDescent="0.2">
      <c r="A1335" s="2">
        <v>1334</v>
      </c>
      <c r="B1335">
        <v>1200</v>
      </c>
      <c r="C1335" s="1">
        <v>45531</v>
      </c>
      <c r="D1335" s="1"/>
      <c r="E1335" t="s">
        <v>82</v>
      </c>
      <c r="F1335" t="str">
        <f t="shared" si="20"/>
        <v>Active</v>
      </c>
    </row>
    <row r="1336" spans="1:6" x14ac:dyDescent="0.2">
      <c r="A1336" s="2">
        <v>1335</v>
      </c>
      <c r="B1336">
        <v>1200</v>
      </c>
      <c r="C1336" s="1">
        <v>45551</v>
      </c>
      <c r="D1336" s="1"/>
      <c r="E1336" t="s">
        <v>82</v>
      </c>
      <c r="F1336" t="str">
        <f t="shared" si="20"/>
        <v>Active</v>
      </c>
    </row>
    <row r="1337" spans="1:6" x14ac:dyDescent="0.2">
      <c r="A1337" s="2">
        <v>1336</v>
      </c>
      <c r="B1337">
        <v>1200</v>
      </c>
      <c r="C1337" s="1">
        <v>45565</v>
      </c>
      <c r="D1337" s="1"/>
      <c r="E1337" t="s">
        <v>82</v>
      </c>
      <c r="F1337" t="str">
        <f t="shared" si="20"/>
        <v>Active</v>
      </c>
    </row>
    <row r="1338" spans="1:6" x14ac:dyDescent="0.2">
      <c r="A1338" s="2">
        <v>1337</v>
      </c>
      <c r="B1338">
        <v>1200</v>
      </c>
      <c r="C1338" s="1">
        <v>45589</v>
      </c>
      <c r="D1338" s="1">
        <v>45910</v>
      </c>
      <c r="E1338" t="s">
        <v>557</v>
      </c>
      <c r="F1338" t="str">
        <f t="shared" si="20"/>
        <v>Terminated</v>
      </c>
    </row>
    <row r="1339" spans="1:6" x14ac:dyDescent="0.2">
      <c r="A1339" s="2">
        <v>1338</v>
      </c>
      <c r="B1339">
        <v>1200</v>
      </c>
      <c r="C1339" s="1">
        <v>45681</v>
      </c>
      <c r="D1339" s="1"/>
      <c r="E1339" t="s">
        <v>82</v>
      </c>
      <c r="F1339" t="str">
        <f t="shared" si="20"/>
        <v>Active</v>
      </c>
    </row>
    <row r="1340" spans="1:6" x14ac:dyDescent="0.2">
      <c r="A1340" s="2">
        <v>1339</v>
      </c>
      <c r="B1340">
        <v>1200</v>
      </c>
      <c r="C1340" s="1">
        <v>45685</v>
      </c>
      <c r="D1340" s="1"/>
      <c r="E1340" t="s">
        <v>82</v>
      </c>
      <c r="F1340" t="str">
        <f t="shared" si="20"/>
        <v>Active</v>
      </c>
    </row>
    <row r="1341" spans="1:6" x14ac:dyDescent="0.2">
      <c r="A1341" s="2">
        <v>1340</v>
      </c>
      <c r="B1341">
        <v>1200</v>
      </c>
      <c r="C1341" s="1">
        <v>45741</v>
      </c>
      <c r="D1341" s="1"/>
      <c r="E1341" t="s">
        <v>557</v>
      </c>
      <c r="F1341" t="str">
        <f t="shared" si="20"/>
        <v>Active</v>
      </c>
    </row>
    <row r="1342" spans="1:6" x14ac:dyDescent="0.2">
      <c r="A1342" s="2">
        <v>1341</v>
      </c>
      <c r="B1342">
        <v>1200</v>
      </c>
      <c r="C1342" s="1">
        <v>45775</v>
      </c>
      <c r="D1342" s="1"/>
      <c r="E1342" t="s">
        <v>557</v>
      </c>
      <c r="F1342" t="str">
        <f t="shared" si="20"/>
        <v>Active</v>
      </c>
    </row>
    <row r="1343" spans="1:6" x14ac:dyDescent="0.2">
      <c r="A1343" s="2">
        <v>1342</v>
      </c>
      <c r="B1343">
        <v>1200</v>
      </c>
      <c r="C1343" s="1">
        <v>45789</v>
      </c>
      <c r="D1343" s="1"/>
      <c r="E1343" t="s">
        <v>82</v>
      </c>
      <c r="F1343" t="str">
        <f t="shared" si="20"/>
        <v>Active</v>
      </c>
    </row>
    <row r="1344" spans="1:6" x14ac:dyDescent="0.2">
      <c r="A1344" s="2">
        <v>1343</v>
      </c>
      <c r="B1344">
        <v>1200</v>
      </c>
      <c r="C1344" s="1">
        <v>45803</v>
      </c>
      <c r="D1344" s="1">
        <v>46237</v>
      </c>
      <c r="E1344" t="s">
        <v>82</v>
      </c>
      <c r="F1344" t="str">
        <f t="shared" si="20"/>
        <v>Terminated</v>
      </c>
    </row>
    <row r="1345" spans="1:6" x14ac:dyDescent="0.2">
      <c r="A1345" s="2">
        <v>1344</v>
      </c>
      <c r="B1345">
        <v>1200</v>
      </c>
      <c r="C1345" s="1">
        <v>45866</v>
      </c>
      <c r="D1345" s="1"/>
      <c r="E1345" t="s">
        <v>82</v>
      </c>
      <c r="F1345" t="str">
        <f t="shared" si="20"/>
        <v>Active</v>
      </c>
    </row>
    <row r="1346" spans="1:6" x14ac:dyDescent="0.2">
      <c r="A1346" s="2">
        <v>1345</v>
      </c>
      <c r="B1346">
        <v>1200</v>
      </c>
      <c r="C1346" s="1">
        <v>45870</v>
      </c>
      <c r="D1346" s="1"/>
      <c r="E1346" t="s">
        <v>82</v>
      </c>
      <c r="F1346" t="str">
        <f t="shared" si="20"/>
        <v>Active</v>
      </c>
    </row>
    <row r="1347" spans="1:6" x14ac:dyDescent="0.2">
      <c r="A1347" s="2">
        <v>1346</v>
      </c>
      <c r="B1347">
        <v>1200</v>
      </c>
      <c r="C1347" s="1">
        <v>45945</v>
      </c>
      <c r="D1347" s="1"/>
      <c r="E1347" t="s">
        <v>558</v>
      </c>
      <c r="F1347" t="str">
        <f t="shared" ref="F1347:F1410" si="21">IF(D1347="","Active","Terminated")</f>
        <v>Active</v>
      </c>
    </row>
    <row r="1348" spans="1:6" x14ac:dyDescent="0.2">
      <c r="A1348" s="2">
        <v>1347</v>
      </c>
      <c r="B1348">
        <v>1200</v>
      </c>
      <c r="C1348" s="1">
        <v>45947</v>
      </c>
      <c r="D1348" s="1"/>
      <c r="E1348" t="s">
        <v>82</v>
      </c>
      <c r="F1348" t="str">
        <f t="shared" si="21"/>
        <v>Active</v>
      </c>
    </row>
    <row r="1349" spans="1:6" x14ac:dyDescent="0.2">
      <c r="A1349" s="2">
        <v>1348</v>
      </c>
      <c r="B1349">
        <v>1200</v>
      </c>
      <c r="C1349" s="1">
        <v>45960</v>
      </c>
      <c r="D1349" s="1">
        <v>46034</v>
      </c>
      <c r="E1349" t="s">
        <v>82</v>
      </c>
      <c r="F1349" t="str">
        <f t="shared" si="21"/>
        <v>Terminated</v>
      </c>
    </row>
    <row r="1350" spans="1:6" x14ac:dyDescent="0.2">
      <c r="A1350" s="2">
        <v>1349</v>
      </c>
      <c r="B1350">
        <v>1200</v>
      </c>
      <c r="C1350" s="1">
        <v>45961</v>
      </c>
      <c r="D1350" s="1"/>
      <c r="E1350" t="s">
        <v>82</v>
      </c>
      <c r="F1350" t="str">
        <f t="shared" si="21"/>
        <v>Active</v>
      </c>
    </row>
    <row r="1351" spans="1:6" x14ac:dyDescent="0.2">
      <c r="A1351" s="2">
        <v>1350</v>
      </c>
      <c r="B1351">
        <v>1200</v>
      </c>
      <c r="C1351" s="1">
        <v>45964</v>
      </c>
      <c r="D1351" s="1"/>
      <c r="E1351" t="s">
        <v>82</v>
      </c>
      <c r="F1351" t="str">
        <f t="shared" si="21"/>
        <v>Active</v>
      </c>
    </row>
    <row r="1352" spans="1:6" x14ac:dyDescent="0.2">
      <c r="A1352" s="2">
        <v>1351</v>
      </c>
      <c r="B1352">
        <v>1200</v>
      </c>
      <c r="C1352" s="1">
        <v>45968</v>
      </c>
      <c r="D1352" s="1"/>
      <c r="E1352" t="s">
        <v>82</v>
      </c>
      <c r="F1352" t="str">
        <f t="shared" si="21"/>
        <v>Active</v>
      </c>
    </row>
    <row r="1353" spans="1:6" x14ac:dyDescent="0.2">
      <c r="A1353" s="2">
        <v>1352</v>
      </c>
      <c r="B1353">
        <v>1200</v>
      </c>
      <c r="C1353" s="1">
        <v>45978</v>
      </c>
      <c r="D1353" s="1"/>
      <c r="E1353" t="s">
        <v>557</v>
      </c>
      <c r="F1353" t="str">
        <f t="shared" si="21"/>
        <v>Active</v>
      </c>
    </row>
    <row r="1354" spans="1:6" x14ac:dyDescent="0.2">
      <c r="A1354" s="2">
        <v>1353</v>
      </c>
      <c r="B1354">
        <v>1200</v>
      </c>
      <c r="C1354" s="1">
        <v>45995</v>
      </c>
      <c r="D1354" s="1"/>
      <c r="E1354" t="s">
        <v>82</v>
      </c>
      <c r="F1354" t="str">
        <f t="shared" si="21"/>
        <v>Active</v>
      </c>
    </row>
    <row r="1355" spans="1:6" x14ac:dyDescent="0.2">
      <c r="A1355" s="2">
        <v>1354</v>
      </c>
      <c r="B1355">
        <v>1200</v>
      </c>
      <c r="C1355" s="1">
        <v>45999</v>
      </c>
      <c r="D1355" s="1"/>
      <c r="E1355" t="s">
        <v>82</v>
      </c>
      <c r="F1355" t="str">
        <f t="shared" si="21"/>
        <v>Active</v>
      </c>
    </row>
    <row r="1356" spans="1:6" x14ac:dyDescent="0.2">
      <c r="A1356" s="2">
        <v>1355</v>
      </c>
      <c r="B1356">
        <v>1200</v>
      </c>
      <c r="C1356" s="1">
        <v>45999</v>
      </c>
      <c r="D1356" s="1"/>
      <c r="E1356" t="s">
        <v>82</v>
      </c>
      <c r="F1356" t="str">
        <f t="shared" si="21"/>
        <v>Active</v>
      </c>
    </row>
    <row r="1357" spans="1:6" x14ac:dyDescent="0.2">
      <c r="A1357" s="2">
        <v>1356</v>
      </c>
      <c r="B1357">
        <v>1200</v>
      </c>
      <c r="C1357" s="1">
        <v>46023</v>
      </c>
      <c r="D1357" s="1"/>
      <c r="E1357" t="s">
        <v>82</v>
      </c>
      <c r="F1357" t="str">
        <f t="shared" si="21"/>
        <v>Active</v>
      </c>
    </row>
    <row r="1358" spans="1:6" x14ac:dyDescent="0.2">
      <c r="A1358" s="2">
        <v>1357</v>
      </c>
      <c r="B1358">
        <v>1200</v>
      </c>
      <c r="C1358" s="1">
        <v>46031</v>
      </c>
      <c r="D1358" s="1"/>
      <c r="E1358" t="s">
        <v>82</v>
      </c>
      <c r="F1358" t="str">
        <f t="shared" si="21"/>
        <v>Active</v>
      </c>
    </row>
    <row r="1359" spans="1:6" x14ac:dyDescent="0.2">
      <c r="A1359" s="2">
        <v>1358</v>
      </c>
      <c r="B1359">
        <v>1200</v>
      </c>
      <c r="C1359" s="1">
        <v>46059</v>
      </c>
      <c r="D1359" s="1"/>
      <c r="E1359" t="s">
        <v>82</v>
      </c>
      <c r="F1359" t="str">
        <f t="shared" si="21"/>
        <v>Active</v>
      </c>
    </row>
    <row r="1360" spans="1:6" x14ac:dyDescent="0.2">
      <c r="A1360" s="2">
        <v>1359</v>
      </c>
      <c r="B1360">
        <v>1200</v>
      </c>
      <c r="C1360" s="1">
        <v>46062</v>
      </c>
      <c r="D1360" s="1"/>
      <c r="E1360" t="s">
        <v>82</v>
      </c>
      <c r="F1360" t="str">
        <f t="shared" si="21"/>
        <v>Active</v>
      </c>
    </row>
    <row r="1361" spans="1:6" x14ac:dyDescent="0.2">
      <c r="A1361" s="2">
        <v>1360</v>
      </c>
      <c r="B1361">
        <v>1200</v>
      </c>
      <c r="C1361" s="1">
        <v>46064</v>
      </c>
      <c r="D1361" s="1"/>
      <c r="E1361" t="s">
        <v>82</v>
      </c>
      <c r="F1361" t="str">
        <f t="shared" si="21"/>
        <v>Active</v>
      </c>
    </row>
    <row r="1362" spans="1:6" x14ac:dyDescent="0.2">
      <c r="A1362" s="2">
        <v>1361</v>
      </c>
      <c r="B1362">
        <v>1200</v>
      </c>
      <c r="C1362" s="1">
        <v>46080</v>
      </c>
      <c r="D1362" s="1"/>
      <c r="E1362" t="s">
        <v>82</v>
      </c>
      <c r="F1362" t="str">
        <f t="shared" si="21"/>
        <v>Active</v>
      </c>
    </row>
    <row r="1363" spans="1:6" x14ac:dyDescent="0.2">
      <c r="A1363" s="2">
        <v>1362</v>
      </c>
      <c r="B1363">
        <v>1200</v>
      </c>
      <c r="C1363" s="1">
        <v>46085</v>
      </c>
      <c r="D1363" s="1"/>
      <c r="E1363" t="s">
        <v>82</v>
      </c>
      <c r="F1363" t="str">
        <f t="shared" si="21"/>
        <v>Active</v>
      </c>
    </row>
    <row r="1364" spans="1:6" x14ac:dyDescent="0.2">
      <c r="A1364" s="2">
        <v>1363</v>
      </c>
      <c r="B1364">
        <v>1200</v>
      </c>
      <c r="C1364" s="1">
        <v>46106</v>
      </c>
      <c r="D1364" s="1"/>
      <c r="E1364" t="s">
        <v>82</v>
      </c>
      <c r="F1364" t="str">
        <f t="shared" si="21"/>
        <v>Active</v>
      </c>
    </row>
    <row r="1365" spans="1:6" x14ac:dyDescent="0.2">
      <c r="A1365" s="2">
        <v>1364</v>
      </c>
      <c r="B1365">
        <v>1200</v>
      </c>
      <c r="C1365" s="1">
        <v>46108</v>
      </c>
      <c r="D1365" s="1"/>
      <c r="E1365" t="s">
        <v>82</v>
      </c>
      <c r="F1365" t="str">
        <f t="shared" si="21"/>
        <v>Active</v>
      </c>
    </row>
    <row r="1366" spans="1:6" x14ac:dyDescent="0.2">
      <c r="A1366" s="2">
        <v>1365</v>
      </c>
      <c r="B1366">
        <v>1200</v>
      </c>
      <c r="C1366" s="1">
        <v>46125</v>
      </c>
      <c r="D1366" s="1"/>
      <c r="E1366" t="s">
        <v>82</v>
      </c>
      <c r="F1366" t="str">
        <f t="shared" si="21"/>
        <v>Active</v>
      </c>
    </row>
    <row r="1367" spans="1:6" x14ac:dyDescent="0.2">
      <c r="A1367" s="2">
        <v>1366</v>
      </c>
      <c r="B1367">
        <v>1200</v>
      </c>
      <c r="C1367" s="1">
        <v>46128</v>
      </c>
      <c r="D1367" s="1"/>
      <c r="E1367" t="s">
        <v>82</v>
      </c>
      <c r="F1367" t="str">
        <f t="shared" si="21"/>
        <v>Active</v>
      </c>
    </row>
    <row r="1368" spans="1:6" x14ac:dyDescent="0.2">
      <c r="A1368" s="2">
        <v>1367</v>
      </c>
      <c r="B1368">
        <v>1200</v>
      </c>
      <c r="C1368" s="1">
        <v>46133</v>
      </c>
      <c r="D1368" s="1"/>
      <c r="E1368" t="s">
        <v>82</v>
      </c>
      <c r="F1368" t="str">
        <f t="shared" si="21"/>
        <v>Active</v>
      </c>
    </row>
    <row r="1369" spans="1:6" x14ac:dyDescent="0.2">
      <c r="A1369" s="2">
        <v>1368</v>
      </c>
      <c r="B1369">
        <v>1200</v>
      </c>
      <c r="C1369" s="1">
        <v>46143</v>
      </c>
      <c r="D1369" s="1">
        <v>46252</v>
      </c>
      <c r="E1369" t="s">
        <v>82</v>
      </c>
      <c r="F1369" t="str">
        <f t="shared" si="21"/>
        <v>Terminated</v>
      </c>
    </row>
    <row r="1370" spans="1:6" x14ac:dyDescent="0.2">
      <c r="A1370" s="2">
        <v>1369</v>
      </c>
      <c r="B1370">
        <v>1200</v>
      </c>
      <c r="C1370" s="1">
        <v>46146</v>
      </c>
      <c r="D1370" s="1"/>
      <c r="E1370" t="s">
        <v>82</v>
      </c>
      <c r="F1370" t="str">
        <f t="shared" si="21"/>
        <v>Active</v>
      </c>
    </row>
    <row r="1371" spans="1:6" x14ac:dyDescent="0.2">
      <c r="A1371" s="2">
        <v>1370</v>
      </c>
      <c r="B1371">
        <v>1200</v>
      </c>
      <c r="C1371" s="1">
        <v>46155</v>
      </c>
      <c r="D1371" s="1"/>
      <c r="E1371" t="s">
        <v>82</v>
      </c>
      <c r="F1371" t="str">
        <f t="shared" si="21"/>
        <v>Active</v>
      </c>
    </row>
    <row r="1372" spans="1:6" x14ac:dyDescent="0.2">
      <c r="A1372" s="2">
        <v>1371</v>
      </c>
      <c r="B1372">
        <v>1200</v>
      </c>
      <c r="C1372" s="1">
        <v>46156</v>
      </c>
      <c r="D1372" s="1"/>
      <c r="E1372" t="s">
        <v>82</v>
      </c>
      <c r="F1372" t="str">
        <f t="shared" si="21"/>
        <v>Active</v>
      </c>
    </row>
    <row r="1373" spans="1:6" x14ac:dyDescent="0.2">
      <c r="A1373" s="2">
        <v>1372</v>
      </c>
      <c r="B1373">
        <v>1200</v>
      </c>
      <c r="C1373" s="1">
        <v>46167</v>
      </c>
      <c r="D1373" s="1"/>
      <c r="E1373" t="s">
        <v>557</v>
      </c>
      <c r="F1373" t="str">
        <f t="shared" si="21"/>
        <v>Active</v>
      </c>
    </row>
    <row r="1374" spans="1:6" x14ac:dyDescent="0.2">
      <c r="A1374" s="2">
        <v>1373</v>
      </c>
      <c r="B1374">
        <v>1200</v>
      </c>
      <c r="C1374" s="1">
        <v>46168</v>
      </c>
      <c r="D1374" s="1"/>
      <c r="E1374" t="s">
        <v>82</v>
      </c>
      <c r="F1374" t="str">
        <f t="shared" si="21"/>
        <v>Active</v>
      </c>
    </row>
    <row r="1375" spans="1:6" x14ac:dyDescent="0.2">
      <c r="A1375" s="2">
        <v>1374</v>
      </c>
      <c r="B1375">
        <v>1200</v>
      </c>
      <c r="C1375" s="1">
        <v>46170</v>
      </c>
      <c r="D1375" s="1"/>
      <c r="E1375" t="s">
        <v>82</v>
      </c>
      <c r="F1375" t="str">
        <f t="shared" si="21"/>
        <v>Active</v>
      </c>
    </row>
    <row r="1376" spans="1:6" x14ac:dyDescent="0.2">
      <c r="A1376" s="2">
        <v>1375</v>
      </c>
      <c r="B1376">
        <v>1200</v>
      </c>
      <c r="C1376" s="1">
        <v>46177</v>
      </c>
      <c r="D1376" s="1"/>
      <c r="E1376" t="s">
        <v>82</v>
      </c>
      <c r="F1376" t="str">
        <f t="shared" si="21"/>
        <v>Active</v>
      </c>
    </row>
    <row r="1377" spans="1:6" x14ac:dyDescent="0.2">
      <c r="A1377" s="2">
        <v>1376</v>
      </c>
      <c r="B1377">
        <v>1200</v>
      </c>
      <c r="C1377" s="1">
        <v>46195</v>
      </c>
      <c r="D1377" s="1"/>
      <c r="E1377" t="s">
        <v>82</v>
      </c>
      <c r="F1377" t="str">
        <f t="shared" si="21"/>
        <v>Active</v>
      </c>
    </row>
    <row r="1378" spans="1:6" x14ac:dyDescent="0.2">
      <c r="A1378" s="2">
        <v>1377</v>
      </c>
      <c r="B1378">
        <v>1200</v>
      </c>
      <c r="C1378" s="1">
        <v>46198</v>
      </c>
      <c r="D1378" s="1"/>
      <c r="E1378" t="s">
        <v>82</v>
      </c>
      <c r="F1378" t="str">
        <f t="shared" si="21"/>
        <v>Active</v>
      </c>
    </row>
    <row r="1379" spans="1:6" x14ac:dyDescent="0.2">
      <c r="A1379" s="2">
        <v>1378</v>
      </c>
      <c r="B1379">
        <v>1200</v>
      </c>
      <c r="C1379" s="1">
        <v>46210</v>
      </c>
      <c r="D1379" s="1"/>
      <c r="E1379" t="s">
        <v>82</v>
      </c>
      <c r="F1379" t="str">
        <f t="shared" si="21"/>
        <v>Active</v>
      </c>
    </row>
    <row r="1380" spans="1:6" x14ac:dyDescent="0.2">
      <c r="A1380" s="2">
        <v>1379</v>
      </c>
      <c r="B1380">
        <v>1200</v>
      </c>
      <c r="C1380" s="1">
        <v>46230</v>
      </c>
      <c r="D1380" s="1"/>
      <c r="E1380" t="s">
        <v>82</v>
      </c>
      <c r="F1380" t="str">
        <f t="shared" si="21"/>
        <v>Active</v>
      </c>
    </row>
    <row r="1381" spans="1:6" x14ac:dyDescent="0.2">
      <c r="A1381" s="2">
        <v>1380</v>
      </c>
      <c r="B1381">
        <v>1200</v>
      </c>
      <c r="C1381" s="1">
        <v>46234</v>
      </c>
      <c r="D1381" s="1"/>
      <c r="E1381" t="s">
        <v>82</v>
      </c>
      <c r="F1381" t="str">
        <f t="shared" si="21"/>
        <v>Active</v>
      </c>
    </row>
    <row r="1382" spans="1:6" x14ac:dyDescent="0.2">
      <c r="A1382" s="2">
        <v>1381</v>
      </c>
      <c r="B1382">
        <v>1200</v>
      </c>
      <c r="C1382" s="1">
        <v>46244</v>
      </c>
      <c r="D1382" s="1"/>
      <c r="E1382" t="s">
        <v>82</v>
      </c>
      <c r="F1382" t="str">
        <f t="shared" si="21"/>
        <v>Active</v>
      </c>
    </row>
    <row r="1383" spans="1:6" x14ac:dyDescent="0.2">
      <c r="A1383" s="2">
        <v>1382</v>
      </c>
      <c r="B1383">
        <v>1200</v>
      </c>
      <c r="C1383" s="1">
        <v>46251</v>
      </c>
      <c r="D1383" s="1"/>
      <c r="E1383" t="s">
        <v>82</v>
      </c>
      <c r="F1383" t="str">
        <f t="shared" si="21"/>
        <v>Active</v>
      </c>
    </row>
    <row r="1384" spans="1:6" x14ac:dyDescent="0.2">
      <c r="A1384" s="2">
        <v>1383</v>
      </c>
      <c r="B1384">
        <v>1200</v>
      </c>
      <c r="C1384" s="1">
        <v>46265</v>
      </c>
      <c r="D1384" s="1"/>
      <c r="E1384" t="s">
        <v>82</v>
      </c>
      <c r="F1384" t="str">
        <f t="shared" si="21"/>
        <v>Active</v>
      </c>
    </row>
    <row r="1385" spans="1:6" x14ac:dyDescent="0.2">
      <c r="A1385" s="2">
        <v>1384</v>
      </c>
      <c r="B1385">
        <v>1200</v>
      </c>
      <c r="C1385" s="1">
        <v>46265</v>
      </c>
      <c r="D1385" s="1"/>
      <c r="E1385" t="s">
        <v>82</v>
      </c>
      <c r="F1385" t="str">
        <f t="shared" si="21"/>
        <v>Active</v>
      </c>
    </row>
    <row r="1386" spans="1:6" x14ac:dyDescent="0.2">
      <c r="A1386" s="2">
        <v>1385</v>
      </c>
      <c r="B1386">
        <v>1200</v>
      </c>
      <c r="C1386" s="1">
        <v>46272</v>
      </c>
      <c r="D1386" s="1"/>
      <c r="E1386" t="s">
        <v>82</v>
      </c>
      <c r="F1386" t="str">
        <f t="shared" si="21"/>
        <v>Active</v>
      </c>
    </row>
    <row r="1387" spans="1:6" x14ac:dyDescent="0.2">
      <c r="A1387" s="2">
        <v>1386</v>
      </c>
      <c r="B1387">
        <v>1200</v>
      </c>
      <c r="C1387" s="1">
        <v>46279</v>
      </c>
      <c r="D1387" s="1"/>
      <c r="E1387" t="s">
        <v>82</v>
      </c>
      <c r="F1387" t="str">
        <f t="shared" si="21"/>
        <v>Active</v>
      </c>
    </row>
    <row r="1388" spans="1:6" x14ac:dyDescent="0.2">
      <c r="A1388" s="2">
        <v>1387</v>
      </c>
      <c r="B1388">
        <v>1200</v>
      </c>
      <c r="C1388" s="1">
        <v>46279</v>
      </c>
      <c r="D1388" s="1"/>
      <c r="E1388" t="s">
        <v>82</v>
      </c>
      <c r="F1388" t="str">
        <f t="shared" si="21"/>
        <v>Active</v>
      </c>
    </row>
    <row r="1389" spans="1:6" x14ac:dyDescent="0.2">
      <c r="A1389" s="2">
        <v>1388</v>
      </c>
      <c r="B1389">
        <v>1200</v>
      </c>
      <c r="C1389" s="1">
        <v>46286</v>
      </c>
      <c r="D1389" s="1"/>
      <c r="E1389" t="s">
        <v>82</v>
      </c>
      <c r="F1389" t="str">
        <f t="shared" si="21"/>
        <v>Active</v>
      </c>
    </row>
    <row r="1390" spans="1:6" x14ac:dyDescent="0.2">
      <c r="A1390" s="2">
        <v>1389</v>
      </c>
      <c r="B1390">
        <v>1200</v>
      </c>
      <c r="C1390" s="1">
        <v>46288</v>
      </c>
      <c r="D1390" s="1"/>
      <c r="E1390" t="s">
        <v>82</v>
      </c>
      <c r="F1390" t="str">
        <f t="shared" si="21"/>
        <v>Active</v>
      </c>
    </row>
    <row r="1391" spans="1:6" x14ac:dyDescent="0.2">
      <c r="A1391" s="2">
        <v>1390</v>
      </c>
      <c r="B1391">
        <v>1200</v>
      </c>
      <c r="C1391" s="1">
        <v>46293</v>
      </c>
      <c r="D1391" s="1"/>
      <c r="E1391" t="s">
        <v>82</v>
      </c>
      <c r="F1391" t="str">
        <f t="shared" si="21"/>
        <v>Active</v>
      </c>
    </row>
    <row r="1392" spans="1:6" x14ac:dyDescent="0.2">
      <c r="A1392" s="2">
        <v>1391</v>
      </c>
      <c r="B1392">
        <v>1200</v>
      </c>
      <c r="C1392" s="1">
        <v>46297</v>
      </c>
      <c r="D1392" s="1"/>
      <c r="E1392" t="s">
        <v>82</v>
      </c>
      <c r="F1392" t="str">
        <f t="shared" si="21"/>
        <v>Active</v>
      </c>
    </row>
    <row r="1393" spans="1:6" x14ac:dyDescent="0.2">
      <c r="A1393" s="2">
        <v>1392</v>
      </c>
      <c r="B1393">
        <v>1300</v>
      </c>
      <c r="C1393" s="1">
        <v>45098</v>
      </c>
      <c r="D1393" s="1">
        <v>45516</v>
      </c>
      <c r="E1393" t="s">
        <v>82</v>
      </c>
      <c r="F1393" t="str">
        <f t="shared" si="21"/>
        <v>Terminated</v>
      </c>
    </row>
    <row r="1394" spans="1:6" x14ac:dyDescent="0.2">
      <c r="A1394" s="2">
        <v>1393</v>
      </c>
      <c r="B1394">
        <v>1300</v>
      </c>
      <c r="C1394" s="1">
        <v>45124</v>
      </c>
      <c r="D1394" s="1"/>
      <c r="E1394" t="s">
        <v>82</v>
      </c>
      <c r="F1394" t="str">
        <f t="shared" si="21"/>
        <v>Active</v>
      </c>
    </row>
    <row r="1395" spans="1:6" x14ac:dyDescent="0.2">
      <c r="A1395" s="2">
        <v>1394</v>
      </c>
      <c r="B1395">
        <v>1300</v>
      </c>
      <c r="C1395" s="1">
        <v>45215</v>
      </c>
      <c r="D1395" s="1"/>
      <c r="E1395" t="s">
        <v>82</v>
      </c>
      <c r="F1395" t="str">
        <f t="shared" si="21"/>
        <v>Active</v>
      </c>
    </row>
    <row r="1396" spans="1:6" x14ac:dyDescent="0.2">
      <c r="A1396" s="2">
        <v>1395</v>
      </c>
      <c r="B1396">
        <v>1300</v>
      </c>
      <c r="C1396" s="1">
        <v>45299</v>
      </c>
      <c r="D1396" s="1">
        <v>45985</v>
      </c>
      <c r="E1396" t="s">
        <v>82</v>
      </c>
      <c r="F1396" t="str">
        <f t="shared" si="21"/>
        <v>Terminated</v>
      </c>
    </row>
    <row r="1397" spans="1:6" x14ac:dyDescent="0.2">
      <c r="A1397" s="2">
        <v>1396</v>
      </c>
      <c r="B1397">
        <v>1300</v>
      </c>
      <c r="C1397" s="1">
        <v>45331</v>
      </c>
      <c r="D1397" s="1">
        <v>45470</v>
      </c>
      <c r="E1397" t="s">
        <v>82</v>
      </c>
      <c r="F1397" t="str">
        <f t="shared" si="21"/>
        <v>Terminated</v>
      </c>
    </row>
    <row r="1398" spans="1:6" x14ac:dyDescent="0.2">
      <c r="A1398" s="2">
        <v>1397</v>
      </c>
      <c r="B1398">
        <v>1300</v>
      </c>
      <c r="C1398" s="1">
        <v>45348</v>
      </c>
      <c r="D1398" s="1">
        <v>45408</v>
      </c>
      <c r="E1398" t="s">
        <v>82</v>
      </c>
      <c r="F1398" t="str">
        <f t="shared" si="21"/>
        <v>Terminated</v>
      </c>
    </row>
    <row r="1399" spans="1:6" x14ac:dyDescent="0.2">
      <c r="A1399" s="2">
        <v>1398</v>
      </c>
      <c r="B1399">
        <v>1300</v>
      </c>
      <c r="C1399" s="1">
        <v>45418</v>
      </c>
      <c r="D1399" s="1">
        <v>45916</v>
      </c>
      <c r="E1399" t="s">
        <v>82</v>
      </c>
      <c r="F1399" t="str">
        <f t="shared" si="21"/>
        <v>Terminated</v>
      </c>
    </row>
    <row r="1400" spans="1:6" x14ac:dyDescent="0.2">
      <c r="A1400" s="2">
        <v>1399</v>
      </c>
      <c r="B1400">
        <v>1300</v>
      </c>
      <c r="C1400" s="1">
        <v>45573</v>
      </c>
      <c r="D1400" s="1">
        <v>45694</v>
      </c>
      <c r="E1400" t="s">
        <v>82</v>
      </c>
      <c r="F1400" t="str">
        <f t="shared" si="21"/>
        <v>Terminated</v>
      </c>
    </row>
    <row r="1401" spans="1:6" x14ac:dyDescent="0.2">
      <c r="A1401" s="2">
        <v>1400</v>
      </c>
      <c r="B1401">
        <v>1300</v>
      </c>
      <c r="C1401" s="1">
        <v>45579</v>
      </c>
      <c r="D1401" s="1">
        <v>46073</v>
      </c>
      <c r="E1401" t="s">
        <v>82</v>
      </c>
      <c r="F1401" t="str">
        <f t="shared" si="21"/>
        <v>Terminated</v>
      </c>
    </row>
    <row r="1402" spans="1:6" x14ac:dyDescent="0.2">
      <c r="A1402" s="2">
        <v>1401</v>
      </c>
      <c r="B1402">
        <v>1300</v>
      </c>
      <c r="C1402" s="1">
        <v>45649</v>
      </c>
      <c r="D1402" s="1">
        <v>46125</v>
      </c>
      <c r="E1402" t="s">
        <v>82</v>
      </c>
      <c r="F1402" t="str">
        <f t="shared" si="21"/>
        <v>Terminated</v>
      </c>
    </row>
    <row r="1403" spans="1:6" x14ac:dyDescent="0.2">
      <c r="A1403" s="2">
        <v>1402</v>
      </c>
      <c r="B1403">
        <v>1300</v>
      </c>
      <c r="C1403" s="1">
        <v>45670</v>
      </c>
      <c r="D1403" s="1">
        <v>46070</v>
      </c>
      <c r="E1403" t="s">
        <v>82</v>
      </c>
      <c r="F1403" t="str">
        <f t="shared" si="21"/>
        <v>Terminated</v>
      </c>
    </row>
    <row r="1404" spans="1:6" x14ac:dyDescent="0.2">
      <c r="A1404" s="2">
        <v>1403</v>
      </c>
      <c r="B1404">
        <v>1300</v>
      </c>
      <c r="C1404" s="1">
        <v>45736</v>
      </c>
      <c r="D1404" s="1"/>
      <c r="E1404" t="s">
        <v>82</v>
      </c>
      <c r="F1404" t="str">
        <f t="shared" si="21"/>
        <v>Active</v>
      </c>
    </row>
    <row r="1405" spans="1:6" x14ac:dyDescent="0.2">
      <c r="A1405" s="2">
        <v>1404</v>
      </c>
      <c r="B1405">
        <v>1300</v>
      </c>
      <c r="C1405" s="1">
        <v>45757</v>
      </c>
      <c r="D1405" s="1">
        <v>45964</v>
      </c>
      <c r="E1405" t="s">
        <v>82</v>
      </c>
      <c r="F1405" t="str">
        <f t="shared" si="21"/>
        <v>Terminated</v>
      </c>
    </row>
    <row r="1406" spans="1:6" x14ac:dyDescent="0.2">
      <c r="A1406" s="2">
        <v>1405</v>
      </c>
      <c r="B1406">
        <v>1300</v>
      </c>
      <c r="C1406" s="1">
        <v>46015</v>
      </c>
      <c r="D1406" s="1"/>
      <c r="E1406" t="s">
        <v>82</v>
      </c>
      <c r="F1406" t="str">
        <f t="shared" si="21"/>
        <v>Active</v>
      </c>
    </row>
    <row r="1407" spans="1:6" x14ac:dyDescent="0.2">
      <c r="A1407" s="2">
        <v>1406</v>
      </c>
      <c r="B1407">
        <v>1300</v>
      </c>
      <c r="C1407" s="1">
        <v>46027</v>
      </c>
      <c r="D1407" s="1"/>
      <c r="E1407" t="s">
        <v>82</v>
      </c>
      <c r="F1407" t="str">
        <f t="shared" si="21"/>
        <v>Active</v>
      </c>
    </row>
    <row r="1408" spans="1:6" x14ac:dyDescent="0.2">
      <c r="A1408" s="2">
        <v>1407</v>
      </c>
      <c r="B1408">
        <v>1300</v>
      </c>
      <c r="C1408" s="1">
        <v>46030</v>
      </c>
      <c r="D1408" s="1"/>
      <c r="E1408" t="s">
        <v>82</v>
      </c>
      <c r="F1408" t="str">
        <f t="shared" si="21"/>
        <v>Active</v>
      </c>
    </row>
    <row r="1409" spans="1:6" x14ac:dyDescent="0.2">
      <c r="A1409" s="2">
        <v>1408</v>
      </c>
      <c r="B1409">
        <v>1300</v>
      </c>
      <c r="C1409" s="1">
        <v>46041</v>
      </c>
      <c r="D1409" s="1"/>
      <c r="E1409" t="s">
        <v>82</v>
      </c>
      <c r="F1409" t="str">
        <f t="shared" si="21"/>
        <v>Active</v>
      </c>
    </row>
    <row r="1410" spans="1:6" x14ac:dyDescent="0.2">
      <c r="A1410" s="2">
        <v>1409</v>
      </c>
      <c r="B1410">
        <v>1300</v>
      </c>
      <c r="C1410" s="1">
        <v>46041</v>
      </c>
      <c r="D1410" s="1"/>
      <c r="E1410" t="s">
        <v>82</v>
      </c>
      <c r="F1410" t="str">
        <f t="shared" si="21"/>
        <v>Active</v>
      </c>
    </row>
    <row r="1411" spans="1:6" x14ac:dyDescent="0.2">
      <c r="A1411" s="2">
        <v>1410</v>
      </c>
      <c r="B1411">
        <v>1300</v>
      </c>
      <c r="C1411" s="1">
        <v>46055</v>
      </c>
      <c r="D1411" s="1"/>
      <c r="E1411" t="s">
        <v>82</v>
      </c>
      <c r="F1411" t="str">
        <f t="shared" ref="F1411:F1474" si="22">IF(D1411="","Active","Terminated")</f>
        <v>Active</v>
      </c>
    </row>
    <row r="1412" spans="1:6" x14ac:dyDescent="0.2">
      <c r="A1412" s="2">
        <v>1411</v>
      </c>
      <c r="B1412">
        <v>1300</v>
      </c>
      <c r="C1412" s="1">
        <v>46063</v>
      </c>
      <c r="D1412" s="1"/>
      <c r="E1412" t="s">
        <v>82</v>
      </c>
      <c r="F1412" t="str">
        <f t="shared" si="22"/>
        <v>Active</v>
      </c>
    </row>
    <row r="1413" spans="1:6" x14ac:dyDescent="0.2">
      <c r="A1413" s="2">
        <v>1412</v>
      </c>
      <c r="B1413">
        <v>1300</v>
      </c>
      <c r="C1413" s="1">
        <v>46083</v>
      </c>
      <c r="D1413" s="1"/>
      <c r="E1413" t="s">
        <v>82</v>
      </c>
      <c r="F1413" t="str">
        <f t="shared" si="22"/>
        <v>Active</v>
      </c>
    </row>
    <row r="1414" spans="1:6" x14ac:dyDescent="0.2">
      <c r="A1414" s="2">
        <v>1413</v>
      </c>
      <c r="B1414">
        <v>1300</v>
      </c>
      <c r="C1414" s="1">
        <v>46093</v>
      </c>
      <c r="D1414" s="1"/>
      <c r="E1414" t="s">
        <v>82</v>
      </c>
      <c r="F1414" t="str">
        <f t="shared" si="22"/>
        <v>Active</v>
      </c>
    </row>
    <row r="1415" spans="1:6" x14ac:dyDescent="0.2">
      <c r="A1415" s="2">
        <v>1414</v>
      </c>
      <c r="B1415">
        <v>1300</v>
      </c>
      <c r="C1415" s="1">
        <v>46097</v>
      </c>
      <c r="D1415" s="1"/>
      <c r="E1415" t="s">
        <v>82</v>
      </c>
      <c r="F1415" t="str">
        <f t="shared" si="22"/>
        <v>Active</v>
      </c>
    </row>
    <row r="1416" spans="1:6" x14ac:dyDescent="0.2">
      <c r="A1416" s="2">
        <v>1415</v>
      </c>
      <c r="B1416">
        <v>1300</v>
      </c>
      <c r="C1416" s="1">
        <v>46127</v>
      </c>
      <c r="D1416" s="1"/>
      <c r="E1416" t="s">
        <v>82</v>
      </c>
      <c r="F1416" t="str">
        <f t="shared" si="22"/>
        <v>Active</v>
      </c>
    </row>
    <row r="1417" spans="1:6" x14ac:dyDescent="0.2">
      <c r="A1417" s="2">
        <v>1416</v>
      </c>
      <c r="B1417">
        <v>1300</v>
      </c>
      <c r="C1417" s="1">
        <v>46132</v>
      </c>
      <c r="D1417" s="1"/>
      <c r="E1417" t="s">
        <v>82</v>
      </c>
      <c r="F1417" t="str">
        <f t="shared" si="22"/>
        <v>Active</v>
      </c>
    </row>
    <row r="1418" spans="1:6" x14ac:dyDescent="0.2">
      <c r="A1418" s="2">
        <v>1417</v>
      </c>
      <c r="B1418">
        <v>1300</v>
      </c>
      <c r="C1418" s="1">
        <v>46133</v>
      </c>
      <c r="D1418" s="1"/>
      <c r="E1418" t="s">
        <v>82</v>
      </c>
      <c r="F1418" t="str">
        <f t="shared" si="22"/>
        <v>Active</v>
      </c>
    </row>
    <row r="1419" spans="1:6" x14ac:dyDescent="0.2">
      <c r="A1419" s="2">
        <v>1418</v>
      </c>
      <c r="B1419">
        <v>1300</v>
      </c>
      <c r="C1419" s="1">
        <v>46147</v>
      </c>
      <c r="D1419" s="1"/>
      <c r="E1419" t="s">
        <v>82</v>
      </c>
      <c r="F1419" t="str">
        <f t="shared" si="22"/>
        <v>Active</v>
      </c>
    </row>
    <row r="1420" spans="1:6" x14ac:dyDescent="0.2">
      <c r="A1420" s="2">
        <v>1419</v>
      </c>
      <c r="B1420">
        <v>1300</v>
      </c>
      <c r="C1420" s="1">
        <v>46153</v>
      </c>
      <c r="D1420" s="1"/>
      <c r="E1420" t="s">
        <v>82</v>
      </c>
      <c r="F1420" t="str">
        <f t="shared" si="22"/>
        <v>Active</v>
      </c>
    </row>
    <row r="1421" spans="1:6" x14ac:dyDescent="0.2">
      <c r="A1421" s="2">
        <v>1420</v>
      </c>
      <c r="B1421">
        <v>1300</v>
      </c>
      <c r="C1421" s="1">
        <v>46153</v>
      </c>
      <c r="D1421" s="1"/>
      <c r="E1421" t="s">
        <v>82</v>
      </c>
      <c r="F1421" t="str">
        <f t="shared" si="22"/>
        <v>Active</v>
      </c>
    </row>
    <row r="1422" spans="1:6" x14ac:dyDescent="0.2">
      <c r="A1422" s="2">
        <v>1421</v>
      </c>
      <c r="B1422">
        <v>1300</v>
      </c>
      <c r="C1422" s="1">
        <v>46160</v>
      </c>
      <c r="D1422" s="1"/>
      <c r="E1422" t="s">
        <v>82</v>
      </c>
      <c r="F1422" t="str">
        <f t="shared" si="22"/>
        <v>Active</v>
      </c>
    </row>
    <row r="1423" spans="1:6" x14ac:dyDescent="0.2">
      <c r="A1423" s="2">
        <v>1422</v>
      </c>
      <c r="B1423">
        <v>1300</v>
      </c>
      <c r="C1423" s="1">
        <v>46174</v>
      </c>
      <c r="D1423" s="1"/>
      <c r="E1423" t="s">
        <v>82</v>
      </c>
      <c r="F1423" t="str">
        <f t="shared" si="22"/>
        <v>Active</v>
      </c>
    </row>
    <row r="1424" spans="1:6" x14ac:dyDescent="0.2">
      <c r="A1424" s="2">
        <v>1423</v>
      </c>
      <c r="B1424">
        <v>1300</v>
      </c>
      <c r="C1424" s="1">
        <v>46184</v>
      </c>
      <c r="D1424" s="1"/>
      <c r="E1424" t="s">
        <v>82</v>
      </c>
      <c r="F1424" t="str">
        <f t="shared" si="22"/>
        <v>Active</v>
      </c>
    </row>
    <row r="1425" spans="1:6" x14ac:dyDescent="0.2">
      <c r="A1425" s="2">
        <v>1424</v>
      </c>
      <c r="B1425">
        <v>1300</v>
      </c>
      <c r="C1425" s="1">
        <v>46185</v>
      </c>
      <c r="D1425" s="1"/>
      <c r="E1425" t="s">
        <v>82</v>
      </c>
      <c r="F1425" t="str">
        <f t="shared" si="22"/>
        <v>Active</v>
      </c>
    </row>
    <row r="1426" spans="1:6" x14ac:dyDescent="0.2">
      <c r="A1426" s="2">
        <v>1425</v>
      </c>
      <c r="B1426">
        <v>1300</v>
      </c>
      <c r="C1426" s="1">
        <v>46188</v>
      </c>
      <c r="D1426" s="1"/>
      <c r="E1426" t="s">
        <v>82</v>
      </c>
      <c r="F1426" t="str">
        <f t="shared" si="22"/>
        <v>Active</v>
      </c>
    </row>
    <row r="1427" spans="1:6" x14ac:dyDescent="0.2">
      <c r="A1427" s="2">
        <v>1426</v>
      </c>
      <c r="B1427">
        <v>1300</v>
      </c>
      <c r="C1427" s="1">
        <v>46195</v>
      </c>
      <c r="D1427" s="1"/>
      <c r="E1427" t="s">
        <v>82</v>
      </c>
      <c r="F1427" t="str">
        <f t="shared" si="22"/>
        <v>Active</v>
      </c>
    </row>
    <row r="1428" spans="1:6" x14ac:dyDescent="0.2">
      <c r="A1428" s="2">
        <v>1427</v>
      </c>
      <c r="B1428">
        <v>1300</v>
      </c>
      <c r="C1428" s="1">
        <v>46195</v>
      </c>
      <c r="D1428" s="1"/>
      <c r="E1428" t="s">
        <v>82</v>
      </c>
      <c r="F1428" t="str">
        <f t="shared" si="22"/>
        <v>Active</v>
      </c>
    </row>
    <row r="1429" spans="1:6" x14ac:dyDescent="0.2">
      <c r="A1429" s="2">
        <v>1428</v>
      </c>
      <c r="B1429">
        <v>1300</v>
      </c>
      <c r="C1429" s="1">
        <v>46209</v>
      </c>
      <c r="D1429" s="1"/>
      <c r="E1429" t="s">
        <v>82</v>
      </c>
      <c r="F1429" t="str">
        <f t="shared" si="22"/>
        <v>Active</v>
      </c>
    </row>
    <row r="1430" spans="1:6" x14ac:dyDescent="0.2">
      <c r="A1430" s="2">
        <v>1429</v>
      </c>
      <c r="B1430">
        <v>1300</v>
      </c>
      <c r="C1430" s="1">
        <v>46244</v>
      </c>
      <c r="D1430" s="1"/>
      <c r="E1430" t="s">
        <v>82</v>
      </c>
      <c r="F1430" t="str">
        <f t="shared" si="22"/>
        <v>Active</v>
      </c>
    </row>
    <row r="1431" spans="1:6" x14ac:dyDescent="0.2">
      <c r="A1431" s="2">
        <v>1430</v>
      </c>
      <c r="B1431">
        <v>1300</v>
      </c>
      <c r="C1431" s="1">
        <v>46244</v>
      </c>
      <c r="D1431" s="1"/>
      <c r="E1431" t="s">
        <v>82</v>
      </c>
      <c r="F1431" t="str">
        <f t="shared" si="22"/>
        <v>Active</v>
      </c>
    </row>
    <row r="1432" spans="1:6" x14ac:dyDescent="0.2">
      <c r="A1432" s="2">
        <v>1431</v>
      </c>
      <c r="B1432">
        <v>1300</v>
      </c>
      <c r="C1432" s="1">
        <v>46251</v>
      </c>
      <c r="D1432" s="1"/>
      <c r="E1432" t="s">
        <v>82</v>
      </c>
      <c r="F1432" t="str">
        <f t="shared" si="22"/>
        <v>Active</v>
      </c>
    </row>
    <row r="1433" spans="1:6" x14ac:dyDescent="0.2">
      <c r="A1433" s="2">
        <v>1432</v>
      </c>
      <c r="B1433">
        <v>1300</v>
      </c>
      <c r="C1433" s="1">
        <v>46251</v>
      </c>
      <c r="D1433" s="1"/>
      <c r="E1433" t="s">
        <v>82</v>
      </c>
      <c r="F1433" t="str">
        <f t="shared" si="22"/>
        <v>Active</v>
      </c>
    </row>
    <row r="1434" spans="1:6" x14ac:dyDescent="0.2">
      <c r="A1434" s="2">
        <v>1433</v>
      </c>
      <c r="B1434">
        <v>1300</v>
      </c>
      <c r="C1434" s="1">
        <v>46255</v>
      </c>
      <c r="D1434" s="1"/>
      <c r="E1434" t="s">
        <v>82</v>
      </c>
      <c r="F1434" t="str">
        <f t="shared" si="22"/>
        <v>Active</v>
      </c>
    </row>
    <row r="1435" spans="1:6" x14ac:dyDescent="0.2">
      <c r="A1435" s="2">
        <v>1434</v>
      </c>
      <c r="B1435">
        <v>1300</v>
      </c>
      <c r="C1435" s="1">
        <v>46258</v>
      </c>
      <c r="D1435" s="1"/>
      <c r="E1435" t="s">
        <v>82</v>
      </c>
      <c r="F1435" t="str">
        <f t="shared" si="22"/>
        <v>Active</v>
      </c>
    </row>
    <row r="1436" spans="1:6" x14ac:dyDescent="0.2">
      <c r="A1436" s="2">
        <v>1435</v>
      </c>
      <c r="B1436">
        <v>1300</v>
      </c>
      <c r="C1436" s="1">
        <v>46261</v>
      </c>
      <c r="D1436" s="1"/>
      <c r="E1436" t="s">
        <v>82</v>
      </c>
      <c r="F1436" t="str">
        <f t="shared" si="22"/>
        <v>Active</v>
      </c>
    </row>
    <row r="1437" spans="1:6" x14ac:dyDescent="0.2">
      <c r="A1437" s="2">
        <v>1436</v>
      </c>
      <c r="B1437">
        <v>1300</v>
      </c>
      <c r="C1437" s="1">
        <v>46265</v>
      </c>
      <c r="D1437" s="1"/>
      <c r="E1437" t="s">
        <v>82</v>
      </c>
      <c r="F1437" t="str">
        <f t="shared" si="22"/>
        <v>Active</v>
      </c>
    </row>
    <row r="1438" spans="1:6" x14ac:dyDescent="0.2">
      <c r="A1438" s="2">
        <v>1437</v>
      </c>
      <c r="B1438">
        <v>1300</v>
      </c>
      <c r="C1438" s="1">
        <v>46273</v>
      </c>
      <c r="D1438" s="1"/>
      <c r="E1438" t="s">
        <v>82</v>
      </c>
      <c r="F1438" t="str">
        <f t="shared" si="22"/>
        <v>Active</v>
      </c>
    </row>
    <row r="1439" spans="1:6" x14ac:dyDescent="0.2">
      <c r="A1439" s="2">
        <v>1438</v>
      </c>
      <c r="B1439">
        <v>1300</v>
      </c>
      <c r="C1439" s="1">
        <v>46279</v>
      </c>
      <c r="D1439" s="1"/>
      <c r="E1439" t="s">
        <v>82</v>
      </c>
      <c r="F1439" t="str">
        <f t="shared" si="22"/>
        <v>Active</v>
      </c>
    </row>
    <row r="1440" spans="1:6" x14ac:dyDescent="0.2">
      <c r="A1440" s="2">
        <v>1439</v>
      </c>
      <c r="B1440">
        <v>1300</v>
      </c>
      <c r="C1440" s="1">
        <v>46280</v>
      </c>
      <c r="D1440" s="1"/>
      <c r="E1440" t="s">
        <v>82</v>
      </c>
      <c r="F1440" t="str">
        <f t="shared" si="22"/>
        <v>Active</v>
      </c>
    </row>
    <row r="1441" spans="1:6" x14ac:dyDescent="0.2">
      <c r="A1441" s="2">
        <v>1440</v>
      </c>
      <c r="B1441">
        <v>1300</v>
      </c>
      <c r="C1441" s="1">
        <v>46283</v>
      </c>
      <c r="D1441" s="1"/>
      <c r="E1441" t="s">
        <v>557</v>
      </c>
      <c r="F1441" t="str">
        <f t="shared" si="22"/>
        <v>Active</v>
      </c>
    </row>
    <row r="1442" spans="1:6" x14ac:dyDescent="0.2">
      <c r="A1442" s="2">
        <v>1441</v>
      </c>
      <c r="B1442">
        <v>1300</v>
      </c>
      <c r="C1442" s="1">
        <v>46283</v>
      </c>
      <c r="D1442" s="1"/>
      <c r="E1442" t="s">
        <v>82</v>
      </c>
      <c r="F1442" t="str">
        <f t="shared" si="22"/>
        <v>Active</v>
      </c>
    </row>
    <row r="1443" spans="1:6" x14ac:dyDescent="0.2">
      <c r="A1443" s="2">
        <v>1442</v>
      </c>
      <c r="B1443">
        <v>1300</v>
      </c>
      <c r="C1443" s="1">
        <v>46286</v>
      </c>
      <c r="D1443" s="1"/>
      <c r="E1443" t="s">
        <v>82</v>
      </c>
      <c r="F1443" t="str">
        <f t="shared" si="22"/>
        <v>Active</v>
      </c>
    </row>
    <row r="1444" spans="1:6" x14ac:dyDescent="0.2">
      <c r="A1444" s="2">
        <v>1443</v>
      </c>
      <c r="B1444">
        <v>1300</v>
      </c>
      <c r="C1444" s="1">
        <v>46286</v>
      </c>
      <c r="D1444" s="1"/>
      <c r="E1444" t="s">
        <v>82</v>
      </c>
      <c r="F1444" t="str">
        <f t="shared" si="22"/>
        <v>Active</v>
      </c>
    </row>
    <row r="1445" spans="1:6" x14ac:dyDescent="0.2">
      <c r="A1445" s="2">
        <v>1444</v>
      </c>
      <c r="B1445">
        <v>1300</v>
      </c>
      <c r="C1445" s="1">
        <v>46290</v>
      </c>
      <c r="D1445" s="1"/>
      <c r="E1445" t="s">
        <v>82</v>
      </c>
      <c r="F1445" t="str">
        <f t="shared" si="22"/>
        <v>Active</v>
      </c>
    </row>
    <row r="1446" spans="1:6" x14ac:dyDescent="0.2">
      <c r="A1446" s="2">
        <v>1445</v>
      </c>
      <c r="B1446">
        <v>1300</v>
      </c>
      <c r="C1446" s="1">
        <v>46293</v>
      </c>
      <c r="D1446" s="1"/>
      <c r="E1446" t="s">
        <v>82</v>
      </c>
      <c r="F1446" t="str">
        <f t="shared" si="22"/>
        <v>Active</v>
      </c>
    </row>
    <row r="1447" spans="1:6" x14ac:dyDescent="0.2">
      <c r="A1447" s="2">
        <v>1446</v>
      </c>
      <c r="B1447">
        <v>1300</v>
      </c>
      <c r="C1447" s="1">
        <v>46293</v>
      </c>
      <c r="D1447" s="1"/>
      <c r="E1447" t="s">
        <v>82</v>
      </c>
      <c r="F1447" t="str">
        <f t="shared" si="22"/>
        <v>Active</v>
      </c>
    </row>
    <row r="1448" spans="1:6" x14ac:dyDescent="0.2">
      <c r="A1448" s="2">
        <v>1447</v>
      </c>
      <c r="B1448">
        <v>1300</v>
      </c>
      <c r="C1448" s="1">
        <v>46293</v>
      </c>
      <c r="D1448" s="1"/>
      <c r="E1448" t="s">
        <v>82</v>
      </c>
      <c r="F1448" t="str">
        <f t="shared" si="22"/>
        <v>Active</v>
      </c>
    </row>
    <row r="1449" spans="1:6" x14ac:dyDescent="0.2">
      <c r="A1449" s="2">
        <v>1448</v>
      </c>
      <c r="B1449">
        <v>1300</v>
      </c>
      <c r="C1449" s="1">
        <v>46295</v>
      </c>
      <c r="D1449" s="1"/>
      <c r="E1449" t="s">
        <v>558</v>
      </c>
      <c r="F1449" t="str">
        <f t="shared" si="22"/>
        <v>Active</v>
      </c>
    </row>
    <row r="1450" spans="1:6" x14ac:dyDescent="0.2">
      <c r="A1450" s="2">
        <v>1449</v>
      </c>
      <c r="B1450">
        <v>1300</v>
      </c>
      <c r="C1450" s="1">
        <v>46297</v>
      </c>
      <c r="D1450" s="1"/>
      <c r="E1450" t="s">
        <v>82</v>
      </c>
      <c r="F1450" t="str">
        <f t="shared" si="22"/>
        <v>Active</v>
      </c>
    </row>
    <row r="1451" spans="1:6" x14ac:dyDescent="0.2">
      <c r="A1451" s="2">
        <v>1450</v>
      </c>
      <c r="B1451">
        <v>1300</v>
      </c>
      <c r="C1451" s="1">
        <v>46300</v>
      </c>
      <c r="D1451" s="1"/>
      <c r="E1451" t="s">
        <v>82</v>
      </c>
      <c r="F1451" t="str">
        <f t="shared" si="22"/>
        <v>Active</v>
      </c>
    </row>
    <row r="1452" spans="1:6" x14ac:dyDescent="0.2">
      <c r="A1452" s="2">
        <v>1451</v>
      </c>
      <c r="B1452">
        <v>1300</v>
      </c>
      <c r="C1452" s="1">
        <v>46300</v>
      </c>
      <c r="D1452" s="1"/>
      <c r="E1452" t="s">
        <v>82</v>
      </c>
      <c r="F1452" t="str">
        <f t="shared" si="22"/>
        <v>Active</v>
      </c>
    </row>
    <row r="1453" spans="1:6" x14ac:dyDescent="0.2">
      <c r="A1453" s="2">
        <v>1452</v>
      </c>
      <c r="B1453">
        <v>1400</v>
      </c>
      <c r="C1453" s="1">
        <v>45135</v>
      </c>
      <c r="D1453" s="1"/>
      <c r="E1453" t="s">
        <v>82</v>
      </c>
      <c r="F1453" t="str">
        <f t="shared" si="22"/>
        <v>Active</v>
      </c>
    </row>
    <row r="1454" spans="1:6" x14ac:dyDescent="0.2">
      <c r="A1454" s="2">
        <v>1453</v>
      </c>
      <c r="B1454">
        <v>1400</v>
      </c>
      <c r="C1454" s="1">
        <v>45201</v>
      </c>
      <c r="D1454" s="1"/>
      <c r="E1454" t="s">
        <v>557</v>
      </c>
      <c r="F1454" t="str">
        <f t="shared" si="22"/>
        <v>Active</v>
      </c>
    </row>
    <row r="1455" spans="1:6" x14ac:dyDescent="0.2">
      <c r="A1455" s="2">
        <v>1454</v>
      </c>
      <c r="B1455">
        <v>1400</v>
      </c>
      <c r="C1455" s="1">
        <v>45336</v>
      </c>
      <c r="D1455" s="1"/>
      <c r="E1455" t="s">
        <v>82</v>
      </c>
      <c r="F1455" t="str">
        <f t="shared" si="22"/>
        <v>Active</v>
      </c>
    </row>
    <row r="1456" spans="1:6" x14ac:dyDescent="0.2">
      <c r="A1456" s="2">
        <v>1455</v>
      </c>
      <c r="B1456">
        <v>1400</v>
      </c>
      <c r="C1456" s="1">
        <v>45495</v>
      </c>
      <c r="D1456" s="1"/>
      <c r="E1456" t="s">
        <v>82</v>
      </c>
      <c r="F1456" t="str">
        <f t="shared" si="22"/>
        <v>Active</v>
      </c>
    </row>
    <row r="1457" spans="1:6" x14ac:dyDescent="0.2">
      <c r="A1457" s="2">
        <v>1456</v>
      </c>
      <c r="B1457">
        <v>1400</v>
      </c>
      <c r="C1457" s="1">
        <v>45495</v>
      </c>
      <c r="D1457" s="1"/>
      <c r="E1457" t="s">
        <v>82</v>
      </c>
      <c r="F1457" t="str">
        <f t="shared" si="22"/>
        <v>Active</v>
      </c>
    </row>
    <row r="1458" spans="1:6" x14ac:dyDescent="0.2">
      <c r="A1458" s="2">
        <v>1457</v>
      </c>
      <c r="B1458">
        <v>1400</v>
      </c>
      <c r="C1458" s="1">
        <v>45637</v>
      </c>
      <c r="D1458" s="1"/>
      <c r="E1458" t="s">
        <v>82</v>
      </c>
      <c r="F1458" t="str">
        <f t="shared" si="22"/>
        <v>Active</v>
      </c>
    </row>
    <row r="1459" spans="1:6" x14ac:dyDescent="0.2">
      <c r="A1459" s="2">
        <v>1458</v>
      </c>
      <c r="B1459">
        <v>1400</v>
      </c>
      <c r="C1459" s="1">
        <v>45656</v>
      </c>
      <c r="D1459" s="1">
        <v>45866</v>
      </c>
      <c r="E1459" t="s">
        <v>82</v>
      </c>
      <c r="F1459" t="str">
        <f t="shared" si="22"/>
        <v>Terminated</v>
      </c>
    </row>
    <row r="1460" spans="1:6" x14ac:dyDescent="0.2">
      <c r="A1460" s="2">
        <v>1459</v>
      </c>
      <c r="B1460">
        <v>1400</v>
      </c>
      <c r="C1460" s="1">
        <v>45971</v>
      </c>
      <c r="D1460" s="1"/>
      <c r="E1460" t="s">
        <v>82</v>
      </c>
      <c r="F1460" t="str">
        <f t="shared" si="22"/>
        <v>Active</v>
      </c>
    </row>
    <row r="1461" spans="1:6" x14ac:dyDescent="0.2">
      <c r="A1461" s="2">
        <v>1460</v>
      </c>
      <c r="B1461">
        <v>1400</v>
      </c>
      <c r="C1461" s="1">
        <v>45972</v>
      </c>
      <c r="D1461" s="1"/>
      <c r="E1461" t="s">
        <v>82</v>
      </c>
      <c r="F1461" t="str">
        <f t="shared" si="22"/>
        <v>Active</v>
      </c>
    </row>
    <row r="1462" spans="1:6" x14ac:dyDescent="0.2">
      <c r="A1462" s="2">
        <v>1461</v>
      </c>
      <c r="B1462">
        <v>1400</v>
      </c>
      <c r="C1462" s="1">
        <v>46147</v>
      </c>
      <c r="D1462" s="1"/>
      <c r="E1462" t="s">
        <v>82</v>
      </c>
      <c r="F1462" t="str">
        <f t="shared" si="22"/>
        <v>Active</v>
      </c>
    </row>
    <row r="1463" spans="1:6" x14ac:dyDescent="0.2">
      <c r="A1463" s="2">
        <v>1462</v>
      </c>
      <c r="B1463">
        <v>1400</v>
      </c>
      <c r="C1463" s="1">
        <v>46163</v>
      </c>
      <c r="D1463" s="1"/>
      <c r="E1463" t="s">
        <v>82</v>
      </c>
      <c r="F1463" t="str">
        <f t="shared" si="22"/>
        <v>Active</v>
      </c>
    </row>
    <row r="1464" spans="1:6" x14ac:dyDescent="0.2">
      <c r="A1464" s="2">
        <v>1463</v>
      </c>
      <c r="B1464">
        <v>1400</v>
      </c>
      <c r="C1464" s="1">
        <v>46167</v>
      </c>
      <c r="D1464" s="1"/>
      <c r="E1464" t="s">
        <v>82</v>
      </c>
      <c r="F1464" t="str">
        <f t="shared" si="22"/>
        <v>Active</v>
      </c>
    </row>
    <row r="1465" spans="1:6" x14ac:dyDescent="0.2">
      <c r="A1465" s="2">
        <v>1464</v>
      </c>
      <c r="B1465">
        <v>1400</v>
      </c>
      <c r="C1465" s="1">
        <v>46223</v>
      </c>
      <c r="D1465" s="1"/>
      <c r="E1465" t="s">
        <v>82</v>
      </c>
      <c r="F1465" t="str">
        <f t="shared" si="22"/>
        <v>Active</v>
      </c>
    </row>
    <row r="1466" spans="1:6" x14ac:dyDescent="0.2">
      <c r="A1466" s="2">
        <v>1465</v>
      </c>
      <c r="B1466">
        <v>1500</v>
      </c>
      <c r="C1466" s="1">
        <v>45124</v>
      </c>
      <c r="D1466" s="1"/>
      <c r="E1466" t="s">
        <v>82</v>
      </c>
      <c r="F1466" t="str">
        <f t="shared" si="22"/>
        <v>Active</v>
      </c>
    </row>
    <row r="1467" spans="1:6" x14ac:dyDescent="0.2">
      <c r="A1467" s="2">
        <v>1466</v>
      </c>
      <c r="B1467">
        <v>1500</v>
      </c>
      <c r="C1467" s="1">
        <v>45145</v>
      </c>
      <c r="D1467" s="1"/>
      <c r="E1467" t="s">
        <v>82</v>
      </c>
      <c r="F1467" t="str">
        <f t="shared" si="22"/>
        <v>Active</v>
      </c>
    </row>
    <row r="1468" spans="1:6" x14ac:dyDescent="0.2">
      <c r="A1468" s="2">
        <v>1467</v>
      </c>
      <c r="B1468">
        <v>1500</v>
      </c>
      <c r="C1468" s="1">
        <v>45182</v>
      </c>
      <c r="D1468" s="1">
        <v>45581</v>
      </c>
      <c r="E1468" t="s">
        <v>557</v>
      </c>
      <c r="F1468" t="str">
        <f t="shared" si="22"/>
        <v>Terminated</v>
      </c>
    </row>
    <row r="1469" spans="1:6" x14ac:dyDescent="0.2">
      <c r="A1469" s="2">
        <v>1468</v>
      </c>
      <c r="B1469">
        <v>1500</v>
      </c>
      <c r="C1469" s="1">
        <v>45196</v>
      </c>
      <c r="D1469" s="1">
        <v>45517</v>
      </c>
      <c r="E1469" t="s">
        <v>82</v>
      </c>
      <c r="F1469" t="str">
        <f t="shared" si="22"/>
        <v>Terminated</v>
      </c>
    </row>
    <row r="1470" spans="1:6" x14ac:dyDescent="0.2">
      <c r="A1470" s="2">
        <v>1469</v>
      </c>
      <c r="B1470">
        <v>1500</v>
      </c>
      <c r="C1470" s="1">
        <v>45330</v>
      </c>
      <c r="D1470" s="1">
        <v>45726</v>
      </c>
      <c r="E1470" t="s">
        <v>82</v>
      </c>
      <c r="F1470" t="str">
        <f t="shared" si="22"/>
        <v>Terminated</v>
      </c>
    </row>
    <row r="1471" spans="1:6" x14ac:dyDescent="0.2">
      <c r="A1471" s="2">
        <v>1470</v>
      </c>
      <c r="B1471">
        <v>1500</v>
      </c>
      <c r="C1471" s="1">
        <v>45558</v>
      </c>
      <c r="D1471" s="1">
        <v>45831</v>
      </c>
      <c r="E1471" t="s">
        <v>82</v>
      </c>
      <c r="F1471" t="str">
        <f t="shared" si="22"/>
        <v>Terminated</v>
      </c>
    </row>
    <row r="1472" spans="1:6" x14ac:dyDescent="0.2">
      <c r="A1472" s="2">
        <v>1471</v>
      </c>
      <c r="B1472">
        <v>1500</v>
      </c>
      <c r="C1472" s="1">
        <v>45580</v>
      </c>
      <c r="D1472" s="1">
        <v>46069</v>
      </c>
      <c r="E1472" t="s">
        <v>557</v>
      </c>
      <c r="F1472" t="str">
        <f t="shared" si="22"/>
        <v>Terminated</v>
      </c>
    </row>
    <row r="1473" spans="1:6" x14ac:dyDescent="0.2">
      <c r="A1473" s="2">
        <v>1472</v>
      </c>
      <c r="B1473">
        <v>1500</v>
      </c>
      <c r="C1473" s="1">
        <v>45670</v>
      </c>
      <c r="D1473" s="1"/>
      <c r="E1473" t="s">
        <v>82</v>
      </c>
      <c r="F1473" t="str">
        <f t="shared" si="22"/>
        <v>Active</v>
      </c>
    </row>
    <row r="1474" spans="1:6" x14ac:dyDescent="0.2">
      <c r="A1474" s="2">
        <v>1473</v>
      </c>
      <c r="B1474">
        <v>1500</v>
      </c>
      <c r="C1474" s="1">
        <v>45740</v>
      </c>
      <c r="D1474" s="1">
        <v>46055</v>
      </c>
      <c r="E1474" t="s">
        <v>82</v>
      </c>
      <c r="F1474" t="str">
        <f t="shared" si="22"/>
        <v>Terminated</v>
      </c>
    </row>
    <row r="1475" spans="1:6" x14ac:dyDescent="0.2">
      <c r="A1475" s="2">
        <v>1474</v>
      </c>
      <c r="B1475">
        <v>1500</v>
      </c>
      <c r="C1475" s="1">
        <v>45755</v>
      </c>
      <c r="D1475" s="1"/>
      <c r="E1475" t="s">
        <v>82</v>
      </c>
      <c r="F1475" t="str">
        <f t="shared" ref="F1475:F1514" si="23">IF(D1475="","Active","Terminated")</f>
        <v>Active</v>
      </c>
    </row>
    <row r="1476" spans="1:6" x14ac:dyDescent="0.2">
      <c r="A1476" s="2">
        <v>1475</v>
      </c>
      <c r="B1476">
        <v>1500</v>
      </c>
      <c r="C1476" s="1">
        <v>45756</v>
      </c>
      <c r="D1476" s="1"/>
      <c r="E1476" t="s">
        <v>82</v>
      </c>
      <c r="F1476" t="str">
        <f t="shared" si="23"/>
        <v>Active</v>
      </c>
    </row>
    <row r="1477" spans="1:6" x14ac:dyDescent="0.2">
      <c r="A1477" s="2">
        <v>1476</v>
      </c>
      <c r="B1477">
        <v>1500</v>
      </c>
      <c r="C1477" s="1">
        <v>45761</v>
      </c>
      <c r="D1477" s="1">
        <v>46216</v>
      </c>
      <c r="E1477" t="s">
        <v>82</v>
      </c>
      <c r="F1477" t="str">
        <f t="shared" si="23"/>
        <v>Terminated</v>
      </c>
    </row>
    <row r="1478" spans="1:6" x14ac:dyDescent="0.2">
      <c r="A1478" s="2">
        <v>1477</v>
      </c>
      <c r="B1478">
        <v>1500</v>
      </c>
      <c r="C1478" s="1">
        <v>45799</v>
      </c>
      <c r="D1478" s="1">
        <v>45932</v>
      </c>
      <c r="E1478" t="s">
        <v>558</v>
      </c>
      <c r="F1478" t="str">
        <f t="shared" si="23"/>
        <v>Terminated</v>
      </c>
    </row>
    <row r="1479" spans="1:6" x14ac:dyDescent="0.2">
      <c r="A1479" s="2">
        <v>1478</v>
      </c>
      <c r="B1479">
        <v>1500</v>
      </c>
      <c r="C1479" s="1">
        <v>45889</v>
      </c>
      <c r="D1479" s="1">
        <v>46195</v>
      </c>
      <c r="E1479" t="s">
        <v>82</v>
      </c>
      <c r="F1479" t="str">
        <f t="shared" si="23"/>
        <v>Terminated</v>
      </c>
    </row>
    <row r="1480" spans="1:6" x14ac:dyDescent="0.2">
      <c r="A1480" s="2">
        <v>1479</v>
      </c>
      <c r="B1480">
        <v>1500</v>
      </c>
      <c r="C1480" s="1">
        <v>45897</v>
      </c>
      <c r="D1480" s="1"/>
      <c r="E1480" t="s">
        <v>82</v>
      </c>
      <c r="F1480" t="str">
        <f t="shared" si="23"/>
        <v>Active</v>
      </c>
    </row>
    <row r="1481" spans="1:6" x14ac:dyDescent="0.2">
      <c r="A1481" s="2">
        <v>1480</v>
      </c>
      <c r="B1481">
        <v>1500</v>
      </c>
      <c r="C1481" s="1">
        <v>45996</v>
      </c>
      <c r="D1481" s="1"/>
      <c r="E1481" t="s">
        <v>82</v>
      </c>
      <c r="F1481" t="str">
        <f t="shared" si="23"/>
        <v>Active</v>
      </c>
    </row>
    <row r="1482" spans="1:6" x14ac:dyDescent="0.2">
      <c r="A1482" s="2">
        <v>1481</v>
      </c>
      <c r="B1482">
        <v>1500</v>
      </c>
      <c r="C1482" s="1">
        <v>46048</v>
      </c>
      <c r="D1482" s="1"/>
      <c r="E1482" t="s">
        <v>82</v>
      </c>
      <c r="F1482" t="str">
        <f t="shared" si="23"/>
        <v>Active</v>
      </c>
    </row>
    <row r="1483" spans="1:6" x14ac:dyDescent="0.2">
      <c r="A1483" s="2">
        <v>1482</v>
      </c>
      <c r="B1483">
        <v>1500</v>
      </c>
      <c r="C1483" s="1">
        <v>46071</v>
      </c>
      <c r="D1483" s="1"/>
      <c r="E1483" t="s">
        <v>82</v>
      </c>
      <c r="F1483" t="str">
        <f t="shared" si="23"/>
        <v>Active</v>
      </c>
    </row>
    <row r="1484" spans="1:6" x14ac:dyDescent="0.2">
      <c r="A1484" s="2">
        <v>1483</v>
      </c>
      <c r="B1484">
        <v>1500</v>
      </c>
      <c r="C1484" s="1">
        <v>46091</v>
      </c>
      <c r="D1484" s="1"/>
      <c r="E1484" t="s">
        <v>82</v>
      </c>
      <c r="F1484" t="str">
        <f t="shared" si="23"/>
        <v>Active</v>
      </c>
    </row>
    <row r="1485" spans="1:6" x14ac:dyDescent="0.2">
      <c r="A1485" s="2">
        <v>1484</v>
      </c>
      <c r="B1485">
        <v>1500</v>
      </c>
      <c r="C1485" s="1">
        <v>46091</v>
      </c>
      <c r="D1485" s="1"/>
      <c r="E1485" t="s">
        <v>82</v>
      </c>
      <c r="F1485" t="str">
        <f t="shared" si="23"/>
        <v>Active</v>
      </c>
    </row>
    <row r="1486" spans="1:6" x14ac:dyDescent="0.2">
      <c r="A1486" s="2">
        <v>1485</v>
      </c>
      <c r="B1486">
        <v>1500</v>
      </c>
      <c r="C1486" s="1">
        <v>46118</v>
      </c>
      <c r="D1486" s="1"/>
      <c r="E1486" t="s">
        <v>82</v>
      </c>
      <c r="F1486" t="str">
        <f t="shared" si="23"/>
        <v>Active</v>
      </c>
    </row>
    <row r="1487" spans="1:6" x14ac:dyDescent="0.2">
      <c r="A1487" s="2">
        <v>1486</v>
      </c>
      <c r="B1487">
        <v>1500</v>
      </c>
      <c r="C1487" s="1">
        <v>46129</v>
      </c>
      <c r="D1487" s="1"/>
      <c r="E1487" t="s">
        <v>82</v>
      </c>
      <c r="F1487" t="str">
        <f t="shared" si="23"/>
        <v>Active</v>
      </c>
    </row>
    <row r="1488" spans="1:6" x14ac:dyDescent="0.2">
      <c r="A1488" s="2">
        <v>1487</v>
      </c>
      <c r="B1488">
        <v>1500</v>
      </c>
      <c r="C1488" s="1">
        <v>46149</v>
      </c>
      <c r="D1488" s="1"/>
      <c r="E1488" t="s">
        <v>82</v>
      </c>
      <c r="F1488" t="str">
        <f t="shared" si="23"/>
        <v>Active</v>
      </c>
    </row>
    <row r="1489" spans="1:6" x14ac:dyDescent="0.2">
      <c r="A1489" s="2">
        <v>1488</v>
      </c>
      <c r="B1489">
        <v>1500</v>
      </c>
      <c r="C1489" s="1">
        <v>46167</v>
      </c>
      <c r="D1489" s="1"/>
      <c r="E1489" t="s">
        <v>558</v>
      </c>
      <c r="F1489" t="str">
        <f t="shared" si="23"/>
        <v>Active</v>
      </c>
    </row>
    <row r="1490" spans="1:6" x14ac:dyDescent="0.2">
      <c r="A1490" s="2">
        <v>1489</v>
      </c>
      <c r="B1490">
        <v>1500</v>
      </c>
      <c r="C1490" s="1">
        <v>46168</v>
      </c>
      <c r="D1490" s="1"/>
      <c r="E1490" t="s">
        <v>82</v>
      </c>
      <c r="F1490" t="str">
        <f t="shared" si="23"/>
        <v>Active</v>
      </c>
    </row>
    <row r="1491" spans="1:6" x14ac:dyDescent="0.2">
      <c r="A1491" s="2">
        <v>1490</v>
      </c>
      <c r="B1491">
        <v>1500</v>
      </c>
      <c r="C1491" s="1">
        <v>46170</v>
      </c>
      <c r="D1491" s="1"/>
      <c r="E1491" t="s">
        <v>82</v>
      </c>
      <c r="F1491" t="str">
        <f t="shared" si="23"/>
        <v>Active</v>
      </c>
    </row>
    <row r="1492" spans="1:6" x14ac:dyDescent="0.2">
      <c r="A1492" s="2">
        <v>1491</v>
      </c>
      <c r="B1492">
        <v>1500</v>
      </c>
      <c r="C1492" s="1">
        <v>46174</v>
      </c>
      <c r="D1492" s="1"/>
      <c r="E1492" t="s">
        <v>82</v>
      </c>
      <c r="F1492" t="str">
        <f t="shared" si="23"/>
        <v>Active</v>
      </c>
    </row>
    <row r="1493" spans="1:6" x14ac:dyDescent="0.2">
      <c r="A1493" s="2">
        <v>1492</v>
      </c>
      <c r="B1493">
        <v>1500</v>
      </c>
      <c r="C1493" s="1">
        <v>46191</v>
      </c>
      <c r="D1493" s="1"/>
      <c r="E1493" t="s">
        <v>558</v>
      </c>
      <c r="F1493" t="str">
        <f t="shared" si="23"/>
        <v>Active</v>
      </c>
    </row>
    <row r="1494" spans="1:6" x14ac:dyDescent="0.2">
      <c r="A1494" s="2">
        <v>1493</v>
      </c>
      <c r="B1494">
        <v>1500</v>
      </c>
      <c r="C1494" s="1">
        <v>46216</v>
      </c>
      <c r="D1494" s="1"/>
      <c r="E1494" t="s">
        <v>82</v>
      </c>
      <c r="F1494" t="str">
        <f t="shared" si="23"/>
        <v>Active</v>
      </c>
    </row>
    <row r="1495" spans="1:6" x14ac:dyDescent="0.2">
      <c r="A1495" s="2">
        <v>1494</v>
      </c>
      <c r="B1495">
        <v>1500</v>
      </c>
      <c r="C1495" s="1">
        <v>46216</v>
      </c>
      <c r="D1495" s="1"/>
      <c r="E1495" t="s">
        <v>82</v>
      </c>
      <c r="F1495" t="str">
        <f t="shared" si="23"/>
        <v>Active</v>
      </c>
    </row>
    <row r="1496" spans="1:6" x14ac:dyDescent="0.2">
      <c r="A1496" s="2">
        <v>1495</v>
      </c>
      <c r="B1496">
        <v>1500</v>
      </c>
      <c r="C1496" s="1">
        <v>46251</v>
      </c>
      <c r="D1496" s="1"/>
      <c r="E1496" t="s">
        <v>82</v>
      </c>
      <c r="F1496" t="str">
        <f t="shared" si="23"/>
        <v>Active</v>
      </c>
    </row>
    <row r="1497" spans="1:6" x14ac:dyDescent="0.2">
      <c r="A1497" s="2">
        <v>1496</v>
      </c>
      <c r="B1497">
        <v>1500</v>
      </c>
      <c r="C1497" s="1">
        <v>46255</v>
      </c>
      <c r="D1497" s="1"/>
      <c r="E1497" t="s">
        <v>82</v>
      </c>
      <c r="F1497" t="str">
        <f t="shared" si="23"/>
        <v>Active</v>
      </c>
    </row>
    <row r="1498" spans="1:6" x14ac:dyDescent="0.2">
      <c r="A1498" s="2">
        <v>1497</v>
      </c>
      <c r="B1498">
        <v>1500</v>
      </c>
      <c r="C1498" s="1">
        <v>46265</v>
      </c>
      <c r="D1498" s="1"/>
      <c r="E1498" t="s">
        <v>82</v>
      </c>
      <c r="F1498" t="str">
        <f t="shared" si="23"/>
        <v>Active</v>
      </c>
    </row>
    <row r="1499" spans="1:6" x14ac:dyDescent="0.2">
      <c r="A1499" s="2">
        <v>1498</v>
      </c>
      <c r="B1499">
        <v>1500</v>
      </c>
      <c r="C1499" s="1">
        <v>46265</v>
      </c>
      <c r="D1499" s="1"/>
      <c r="E1499" t="s">
        <v>82</v>
      </c>
      <c r="F1499" t="str">
        <f t="shared" si="23"/>
        <v>Active</v>
      </c>
    </row>
    <row r="1500" spans="1:6" x14ac:dyDescent="0.2">
      <c r="A1500" s="2">
        <v>1499</v>
      </c>
      <c r="B1500">
        <v>1500</v>
      </c>
      <c r="C1500" s="1">
        <v>46265</v>
      </c>
      <c r="D1500" s="1"/>
      <c r="E1500" t="s">
        <v>82</v>
      </c>
      <c r="F1500" t="str">
        <f t="shared" si="23"/>
        <v>Active</v>
      </c>
    </row>
    <row r="1501" spans="1:6" x14ac:dyDescent="0.2">
      <c r="A1501" s="2">
        <v>1500</v>
      </c>
      <c r="B1501">
        <v>1500</v>
      </c>
      <c r="C1501" s="1">
        <v>46265</v>
      </c>
      <c r="D1501" s="1"/>
      <c r="E1501" t="s">
        <v>82</v>
      </c>
      <c r="F1501" t="str">
        <f t="shared" si="23"/>
        <v>Active</v>
      </c>
    </row>
    <row r="1502" spans="1:6" x14ac:dyDescent="0.2">
      <c r="A1502" s="2">
        <v>1501</v>
      </c>
      <c r="B1502">
        <v>1500</v>
      </c>
      <c r="C1502" s="1">
        <v>46275</v>
      </c>
      <c r="D1502" s="1"/>
      <c r="E1502" t="s">
        <v>82</v>
      </c>
      <c r="F1502" t="str">
        <f t="shared" si="23"/>
        <v>Active</v>
      </c>
    </row>
    <row r="1503" spans="1:6" x14ac:dyDescent="0.2">
      <c r="A1503" s="2">
        <v>1502</v>
      </c>
      <c r="B1503">
        <v>1500</v>
      </c>
      <c r="C1503" s="1">
        <v>46279</v>
      </c>
      <c r="D1503" s="1"/>
      <c r="E1503" t="s">
        <v>82</v>
      </c>
      <c r="F1503" t="str">
        <f t="shared" si="23"/>
        <v>Active</v>
      </c>
    </row>
    <row r="1504" spans="1:6" x14ac:dyDescent="0.2">
      <c r="A1504" s="2">
        <v>1503</v>
      </c>
      <c r="B1504">
        <v>1500</v>
      </c>
      <c r="C1504" s="1">
        <v>46279</v>
      </c>
      <c r="D1504" s="1"/>
      <c r="E1504" t="s">
        <v>82</v>
      </c>
      <c r="F1504" t="str">
        <f t="shared" si="23"/>
        <v>Active</v>
      </c>
    </row>
    <row r="1505" spans="1:6" x14ac:dyDescent="0.2">
      <c r="A1505" s="2">
        <v>1504</v>
      </c>
      <c r="B1505">
        <v>1500</v>
      </c>
      <c r="C1505" s="1">
        <v>46281</v>
      </c>
      <c r="D1505" s="1"/>
      <c r="E1505" t="s">
        <v>82</v>
      </c>
      <c r="F1505" t="str">
        <f t="shared" si="23"/>
        <v>Active</v>
      </c>
    </row>
    <row r="1506" spans="1:6" x14ac:dyDescent="0.2">
      <c r="A1506" s="2">
        <v>1505</v>
      </c>
      <c r="B1506">
        <v>1500</v>
      </c>
      <c r="C1506" s="1">
        <v>46286</v>
      </c>
      <c r="D1506" s="1"/>
      <c r="E1506" t="s">
        <v>82</v>
      </c>
      <c r="F1506" t="str">
        <f t="shared" si="23"/>
        <v>Active</v>
      </c>
    </row>
    <row r="1507" spans="1:6" x14ac:dyDescent="0.2">
      <c r="A1507" s="2">
        <v>1506</v>
      </c>
      <c r="B1507">
        <v>1500</v>
      </c>
      <c r="C1507" s="1">
        <v>46287</v>
      </c>
      <c r="D1507" s="1"/>
      <c r="E1507" t="s">
        <v>558</v>
      </c>
      <c r="F1507" t="str">
        <f t="shared" si="23"/>
        <v>Active</v>
      </c>
    </row>
    <row r="1508" spans="1:6" x14ac:dyDescent="0.2">
      <c r="A1508" s="2">
        <v>1507</v>
      </c>
      <c r="B1508">
        <v>1500</v>
      </c>
      <c r="C1508" s="1">
        <v>46289</v>
      </c>
      <c r="D1508" s="1"/>
      <c r="E1508" t="s">
        <v>82</v>
      </c>
      <c r="F1508" t="str">
        <f t="shared" si="23"/>
        <v>Active</v>
      </c>
    </row>
    <row r="1509" spans="1:6" x14ac:dyDescent="0.2">
      <c r="A1509" s="2">
        <v>1508</v>
      </c>
      <c r="B1509">
        <v>1500</v>
      </c>
      <c r="C1509" s="1">
        <v>46290</v>
      </c>
      <c r="D1509" s="1"/>
      <c r="E1509" t="s">
        <v>82</v>
      </c>
      <c r="F1509" t="str">
        <f t="shared" si="23"/>
        <v>Active</v>
      </c>
    </row>
    <row r="1510" spans="1:6" x14ac:dyDescent="0.2">
      <c r="A1510" s="2">
        <v>1509</v>
      </c>
      <c r="B1510">
        <v>1500</v>
      </c>
      <c r="C1510" s="1">
        <v>46293</v>
      </c>
      <c r="D1510" s="1"/>
      <c r="E1510" t="s">
        <v>82</v>
      </c>
      <c r="F1510" t="str">
        <f t="shared" si="23"/>
        <v>Active</v>
      </c>
    </row>
    <row r="1511" spans="1:6" x14ac:dyDescent="0.2">
      <c r="A1511" s="2">
        <v>1510</v>
      </c>
      <c r="B1511">
        <v>1500</v>
      </c>
      <c r="C1511" s="1">
        <v>46293</v>
      </c>
      <c r="D1511" s="1"/>
      <c r="E1511" t="s">
        <v>82</v>
      </c>
      <c r="F1511" t="str">
        <f t="shared" si="23"/>
        <v>Active</v>
      </c>
    </row>
    <row r="1512" spans="1:6" x14ac:dyDescent="0.2">
      <c r="A1512" s="2">
        <v>1511</v>
      </c>
      <c r="B1512">
        <v>1500</v>
      </c>
      <c r="C1512" s="1">
        <v>46300</v>
      </c>
      <c r="D1512" s="1"/>
      <c r="E1512" t="s">
        <v>82</v>
      </c>
      <c r="F1512" t="str">
        <f t="shared" si="23"/>
        <v>Active</v>
      </c>
    </row>
    <row r="1513" spans="1:6" x14ac:dyDescent="0.2">
      <c r="A1513" s="2">
        <v>1512</v>
      </c>
      <c r="B1513">
        <v>1500</v>
      </c>
      <c r="C1513" s="1">
        <v>46300</v>
      </c>
      <c r="D1513" s="1"/>
      <c r="E1513" t="s">
        <v>82</v>
      </c>
      <c r="F1513" t="str">
        <f t="shared" si="23"/>
        <v>Active</v>
      </c>
    </row>
    <row r="1514" spans="1:6" x14ac:dyDescent="0.2">
      <c r="A1514" s="2">
        <v>1513</v>
      </c>
      <c r="B1514">
        <v>1500</v>
      </c>
      <c r="C1514" s="1">
        <v>46300</v>
      </c>
      <c r="D1514" s="1"/>
      <c r="E1514" t="s">
        <v>82</v>
      </c>
      <c r="F1514" t="str">
        <f t="shared" si="23"/>
        <v>Active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C3D0-61D7-3847-BEF1-0126250C302E}">
  <sheetPr>
    <tabColor rgb="FF92D050"/>
  </sheetPr>
  <dimension ref="A1:C1514"/>
  <sheetViews>
    <sheetView zoomScale="150" zoomScaleNormal="150" workbookViewId="0">
      <pane ySplit="1" topLeftCell="A2" activePane="bottomLeft" state="frozen"/>
      <selection pane="bottomLeft" activeCell="D18" sqref="D18"/>
    </sheetView>
  </sheetViews>
  <sheetFormatPr baseColWidth="10" defaultColWidth="11" defaultRowHeight="16" x14ac:dyDescent="0.2"/>
  <cols>
    <col min="1" max="1" width="12.5" bestFit="1" customWidth="1"/>
    <col min="2" max="2" width="7.6640625" bestFit="1" customWidth="1"/>
    <col min="3" max="3" width="12.33203125" bestFit="1" customWidth="1"/>
  </cols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 s="2">
        <v>1</v>
      </c>
      <c r="B2" s="22">
        <v>520000</v>
      </c>
      <c r="C2">
        <v>4</v>
      </c>
    </row>
    <row r="3" spans="1:3" x14ac:dyDescent="0.2">
      <c r="A3" s="2">
        <v>2</v>
      </c>
      <c r="B3" s="22">
        <v>340000</v>
      </c>
      <c r="C3">
        <v>5</v>
      </c>
    </row>
    <row r="4" spans="1:3" x14ac:dyDescent="0.2">
      <c r="A4" s="2">
        <v>3</v>
      </c>
      <c r="B4" s="22">
        <v>72000</v>
      </c>
      <c r="C4">
        <v>4</v>
      </c>
    </row>
    <row r="5" spans="1:3" x14ac:dyDescent="0.2">
      <c r="A5" s="2">
        <v>4</v>
      </c>
      <c r="B5" s="22">
        <v>335000</v>
      </c>
      <c r="C5">
        <v>3</v>
      </c>
    </row>
    <row r="6" spans="1:3" x14ac:dyDescent="0.2">
      <c r="A6" s="2">
        <v>5</v>
      </c>
      <c r="B6" s="22">
        <v>335000</v>
      </c>
      <c r="C6">
        <v>4</v>
      </c>
    </row>
    <row r="7" spans="1:3" x14ac:dyDescent="0.2">
      <c r="A7" s="2">
        <v>6</v>
      </c>
      <c r="B7" s="22">
        <v>325000</v>
      </c>
      <c r="C7">
        <v>4</v>
      </c>
    </row>
    <row r="8" spans="1:3" x14ac:dyDescent="0.2">
      <c r="A8" s="2">
        <v>7</v>
      </c>
      <c r="B8" s="22">
        <v>255000</v>
      </c>
      <c r="C8">
        <v>3</v>
      </c>
    </row>
    <row r="9" spans="1:3" x14ac:dyDescent="0.2">
      <c r="A9" s="2">
        <v>8</v>
      </c>
      <c r="B9" s="22">
        <v>340000</v>
      </c>
      <c r="C9">
        <v>4</v>
      </c>
    </row>
    <row r="10" spans="1:3" x14ac:dyDescent="0.2">
      <c r="A10" s="2">
        <v>9</v>
      </c>
      <c r="B10" s="22">
        <v>270000</v>
      </c>
      <c r="C10">
        <v>4</v>
      </c>
    </row>
    <row r="11" spans="1:3" x14ac:dyDescent="0.2">
      <c r="A11" s="2">
        <v>10</v>
      </c>
      <c r="B11" s="22">
        <v>30000</v>
      </c>
      <c r="C11">
        <v>4</v>
      </c>
    </row>
    <row r="12" spans="1:3" x14ac:dyDescent="0.2">
      <c r="A12" s="2">
        <v>11</v>
      </c>
      <c r="B12" s="22">
        <v>30500</v>
      </c>
      <c r="C12">
        <v>3</v>
      </c>
    </row>
    <row r="13" spans="1:3" x14ac:dyDescent="0.2">
      <c r="A13" s="2">
        <v>12</v>
      </c>
      <c r="B13" s="22">
        <v>216000</v>
      </c>
      <c r="C13">
        <v>5</v>
      </c>
    </row>
    <row r="14" spans="1:3" x14ac:dyDescent="0.2">
      <c r="A14" s="2">
        <v>13</v>
      </c>
      <c r="B14" s="22">
        <v>35500</v>
      </c>
      <c r="C14">
        <v>3</v>
      </c>
    </row>
    <row r="15" spans="1:3" x14ac:dyDescent="0.2">
      <c r="A15" s="2">
        <v>14</v>
      </c>
      <c r="B15" s="22">
        <v>39000</v>
      </c>
      <c r="C15">
        <v>3</v>
      </c>
    </row>
    <row r="16" spans="1:3" x14ac:dyDescent="0.2">
      <c r="A16" s="2">
        <v>15</v>
      </c>
      <c r="B16" s="22">
        <v>150000</v>
      </c>
      <c r="C16">
        <v>4</v>
      </c>
    </row>
    <row r="17" spans="1:3" x14ac:dyDescent="0.2">
      <c r="A17" s="2">
        <v>16</v>
      </c>
      <c r="B17" s="22">
        <v>30500</v>
      </c>
      <c r="C17">
        <v>3</v>
      </c>
    </row>
    <row r="18" spans="1:3" x14ac:dyDescent="0.2">
      <c r="A18" s="2">
        <v>17</v>
      </c>
      <c r="B18" s="22">
        <v>41500</v>
      </c>
      <c r="C18">
        <v>3</v>
      </c>
    </row>
    <row r="19" spans="1:3" x14ac:dyDescent="0.2">
      <c r="A19" s="2">
        <v>18</v>
      </c>
      <c r="B19" s="22">
        <v>32500</v>
      </c>
      <c r="C19">
        <v>3</v>
      </c>
    </row>
    <row r="20" spans="1:3" x14ac:dyDescent="0.2">
      <c r="A20" s="2">
        <v>19</v>
      </c>
      <c r="B20" s="22">
        <v>35500</v>
      </c>
      <c r="C20">
        <v>3</v>
      </c>
    </row>
    <row r="21" spans="1:3" x14ac:dyDescent="0.2">
      <c r="A21" s="2">
        <v>20</v>
      </c>
      <c r="B21" s="22">
        <v>37500</v>
      </c>
      <c r="C21">
        <v>1</v>
      </c>
    </row>
    <row r="22" spans="1:3" x14ac:dyDescent="0.2">
      <c r="A22" s="2">
        <v>21</v>
      </c>
      <c r="B22" s="22">
        <v>41000</v>
      </c>
      <c r="C22">
        <v>3</v>
      </c>
    </row>
    <row r="23" spans="1:3" x14ac:dyDescent="0.2">
      <c r="A23" s="2">
        <v>22</v>
      </c>
      <c r="B23" s="22">
        <v>54000</v>
      </c>
      <c r="C23">
        <v>3</v>
      </c>
    </row>
    <row r="24" spans="1:3" x14ac:dyDescent="0.2">
      <c r="A24" s="2">
        <v>23</v>
      </c>
      <c r="B24" s="22">
        <v>46500</v>
      </c>
      <c r="C24">
        <v>3</v>
      </c>
    </row>
    <row r="25" spans="1:3" x14ac:dyDescent="0.2">
      <c r="A25" s="2">
        <v>24</v>
      </c>
      <c r="B25" s="22">
        <v>33500</v>
      </c>
      <c r="C25">
        <v>1</v>
      </c>
    </row>
    <row r="26" spans="1:3" x14ac:dyDescent="0.2">
      <c r="A26" s="2">
        <v>25</v>
      </c>
      <c r="B26" s="22">
        <v>58500</v>
      </c>
      <c r="C26">
        <v>2</v>
      </c>
    </row>
    <row r="27" spans="1:3" x14ac:dyDescent="0.2">
      <c r="A27" s="2">
        <v>26</v>
      </c>
      <c r="B27" s="22">
        <v>32500</v>
      </c>
      <c r="C27">
        <v>4</v>
      </c>
    </row>
    <row r="28" spans="1:3" x14ac:dyDescent="0.2">
      <c r="A28" s="2">
        <v>27</v>
      </c>
      <c r="B28" s="22">
        <v>37000</v>
      </c>
      <c r="C28">
        <v>3</v>
      </c>
    </row>
    <row r="29" spans="1:3" x14ac:dyDescent="0.2">
      <c r="A29" s="2">
        <v>28</v>
      </c>
      <c r="B29" s="22">
        <v>49500</v>
      </c>
      <c r="C29">
        <v>2</v>
      </c>
    </row>
    <row r="30" spans="1:3" x14ac:dyDescent="0.2">
      <c r="A30" s="2">
        <v>29</v>
      </c>
      <c r="B30" s="22">
        <v>65500</v>
      </c>
      <c r="C30">
        <v>3</v>
      </c>
    </row>
    <row r="31" spans="1:3" x14ac:dyDescent="0.2">
      <c r="A31" s="2">
        <v>30</v>
      </c>
      <c r="B31" s="22">
        <v>48500</v>
      </c>
      <c r="C31">
        <v>3</v>
      </c>
    </row>
    <row r="32" spans="1:3" x14ac:dyDescent="0.2">
      <c r="A32" s="2">
        <v>31</v>
      </c>
      <c r="B32" s="22">
        <v>55500</v>
      </c>
      <c r="C32">
        <v>4</v>
      </c>
    </row>
    <row r="33" spans="1:3" x14ac:dyDescent="0.2">
      <c r="A33" s="2">
        <v>32</v>
      </c>
      <c r="B33" s="22">
        <v>38000</v>
      </c>
      <c r="C33">
        <v>4</v>
      </c>
    </row>
    <row r="34" spans="1:3" x14ac:dyDescent="0.2">
      <c r="A34" s="2">
        <v>33</v>
      </c>
      <c r="B34" s="22">
        <v>67500</v>
      </c>
      <c r="C34">
        <v>4</v>
      </c>
    </row>
    <row r="35" spans="1:3" x14ac:dyDescent="0.2">
      <c r="A35" s="2">
        <v>34</v>
      </c>
      <c r="B35" s="22">
        <v>32000</v>
      </c>
      <c r="C35">
        <v>2</v>
      </c>
    </row>
    <row r="36" spans="1:3" x14ac:dyDescent="0.2">
      <c r="A36" s="2">
        <v>35</v>
      </c>
      <c r="B36" s="22">
        <v>18500</v>
      </c>
      <c r="C36">
        <v>2</v>
      </c>
    </row>
    <row r="37" spans="1:3" x14ac:dyDescent="0.2">
      <c r="A37" s="2">
        <v>36</v>
      </c>
      <c r="B37" s="22">
        <v>30000</v>
      </c>
      <c r="C37">
        <v>4</v>
      </c>
    </row>
    <row r="38" spans="1:3" x14ac:dyDescent="0.2">
      <c r="A38" s="2">
        <v>37</v>
      </c>
      <c r="B38" s="22">
        <v>60000</v>
      </c>
      <c r="C38">
        <v>3</v>
      </c>
    </row>
    <row r="39" spans="1:3" x14ac:dyDescent="0.2">
      <c r="A39" s="2">
        <v>38</v>
      </c>
      <c r="B39" s="22">
        <v>38000</v>
      </c>
      <c r="C39">
        <v>1</v>
      </c>
    </row>
    <row r="40" spans="1:3" x14ac:dyDescent="0.2">
      <c r="A40" s="2">
        <v>39</v>
      </c>
      <c r="B40" s="22">
        <v>51500</v>
      </c>
      <c r="C40">
        <v>3</v>
      </c>
    </row>
    <row r="41" spans="1:3" x14ac:dyDescent="0.2">
      <c r="A41" s="2">
        <v>40</v>
      </c>
      <c r="B41" s="22">
        <v>38500</v>
      </c>
      <c r="C41">
        <v>3</v>
      </c>
    </row>
    <row r="42" spans="1:3" x14ac:dyDescent="0.2">
      <c r="A42" s="2">
        <v>41</v>
      </c>
      <c r="B42" s="22">
        <v>30500</v>
      </c>
      <c r="C42">
        <v>3</v>
      </c>
    </row>
    <row r="43" spans="1:3" x14ac:dyDescent="0.2">
      <c r="A43" s="2">
        <v>42</v>
      </c>
      <c r="B43" s="22">
        <v>22500</v>
      </c>
      <c r="C43">
        <v>4</v>
      </c>
    </row>
    <row r="44" spans="1:3" x14ac:dyDescent="0.2">
      <c r="A44" s="2">
        <v>43</v>
      </c>
      <c r="B44" s="22">
        <v>36500</v>
      </c>
      <c r="C44">
        <v>3</v>
      </c>
    </row>
    <row r="45" spans="1:3" x14ac:dyDescent="0.2">
      <c r="A45" s="2">
        <v>44</v>
      </c>
      <c r="B45" s="22">
        <v>51500</v>
      </c>
      <c r="C45">
        <v>4</v>
      </c>
    </row>
    <row r="46" spans="1:3" x14ac:dyDescent="0.2">
      <c r="A46" s="2">
        <v>45</v>
      </c>
      <c r="B46" s="22">
        <v>51000</v>
      </c>
      <c r="C46">
        <v>2</v>
      </c>
    </row>
    <row r="47" spans="1:3" x14ac:dyDescent="0.2">
      <c r="A47" s="2">
        <v>46</v>
      </c>
      <c r="B47" s="22">
        <v>32500</v>
      </c>
      <c r="C47">
        <v>3</v>
      </c>
    </row>
    <row r="48" spans="1:3" x14ac:dyDescent="0.2">
      <c r="A48" s="2">
        <v>47</v>
      </c>
      <c r="B48" s="22">
        <v>34500</v>
      </c>
      <c r="C48">
        <v>4</v>
      </c>
    </row>
    <row r="49" spans="1:3" x14ac:dyDescent="0.2">
      <c r="A49" s="2">
        <v>48</v>
      </c>
      <c r="B49" s="22">
        <v>19500</v>
      </c>
      <c r="C49">
        <v>3</v>
      </c>
    </row>
    <row r="50" spans="1:3" x14ac:dyDescent="0.2">
      <c r="A50" s="2">
        <v>49</v>
      </c>
      <c r="B50" s="22">
        <v>59500</v>
      </c>
      <c r="C50">
        <v>3</v>
      </c>
    </row>
    <row r="51" spans="1:3" x14ac:dyDescent="0.2">
      <c r="A51" s="2">
        <v>50</v>
      </c>
      <c r="B51" s="22">
        <v>30500</v>
      </c>
      <c r="C51">
        <v>3</v>
      </c>
    </row>
    <row r="52" spans="1:3" x14ac:dyDescent="0.2">
      <c r="A52" s="2">
        <v>51</v>
      </c>
      <c r="B52" s="22">
        <v>39000</v>
      </c>
      <c r="C52">
        <v>1</v>
      </c>
    </row>
    <row r="53" spans="1:3" x14ac:dyDescent="0.2">
      <c r="A53" s="2">
        <v>52</v>
      </c>
      <c r="B53" s="22">
        <v>50500</v>
      </c>
      <c r="C53">
        <v>4</v>
      </c>
    </row>
    <row r="54" spans="1:3" x14ac:dyDescent="0.2">
      <c r="A54" s="2">
        <v>53</v>
      </c>
      <c r="B54" s="22">
        <v>39500</v>
      </c>
      <c r="C54">
        <v>3</v>
      </c>
    </row>
    <row r="55" spans="1:3" x14ac:dyDescent="0.2">
      <c r="A55" s="2">
        <v>54</v>
      </c>
      <c r="B55" s="22">
        <v>45000</v>
      </c>
      <c r="C55">
        <v>3</v>
      </c>
    </row>
    <row r="56" spans="1:3" x14ac:dyDescent="0.2">
      <c r="A56" s="2">
        <v>55</v>
      </c>
      <c r="B56" s="22">
        <v>50500</v>
      </c>
      <c r="C56">
        <v>1</v>
      </c>
    </row>
    <row r="57" spans="1:3" x14ac:dyDescent="0.2">
      <c r="A57" s="2">
        <v>56</v>
      </c>
      <c r="B57" s="22">
        <v>24500</v>
      </c>
      <c r="C57">
        <v>2</v>
      </c>
    </row>
    <row r="58" spans="1:3" x14ac:dyDescent="0.2">
      <c r="A58" s="2">
        <v>57</v>
      </c>
      <c r="B58" s="22">
        <v>55000</v>
      </c>
      <c r="C58">
        <v>3</v>
      </c>
    </row>
    <row r="59" spans="1:3" x14ac:dyDescent="0.2">
      <c r="A59" s="2">
        <v>58</v>
      </c>
      <c r="B59" s="22">
        <v>55500</v>
      </c>
      <c r="C59">
        <v>1</v>
      </c>
    </row>
    <row r="60" spans="1:3" x14ac:dyDescent="0.2">
      <c r="A60" s="2">
        <v>59</v>
      </c>
      <c r="B60" s="22">
        <v>31500</v>
      </c>
      <c r="C60">
        <v>3</v>
      </c>
    </row>
    <row r="61" spans="1:3" x14ac:dyDescent="0.2">
      <c r="A61" s="2">
        <v>60</v>
      </c>
      <c r="B61" s="22">
        <v>33500</v>
      </c>
      <c r="C61">
        <v>4</v>
      </c>
    </row>
    <row r="62" spans="1:3" x14ac:dyDescent="0.2">
      <c r="A62" s="2">
        <v>61</v>
      </c>
      <c r="B62" s="22">
        <v>33000</v>
      </c>
      <c r="C62">
        <v>3</v>
      </c>
    </row>
    <row r="63" spans="1:3" x14ac:dyDescent="0.2">
      <c r="A63" s="2">
        <v>62</v>
      </c>
      <c r="B63" s="22">
        <v>37500</v>
      </c>
      <c r="C63">
        <v>5</v>
      </c>
    </row>
    <row r="64" spans="1:3" x14ac:dyDescent="0.2">
      <c r="A64" s="2">
        <v>63</v>
      </c>
      <c r="B64" s="22">
        <v>34500</v>
      </c>
      <c r="C64">
        <v>3</v>
      </c>
    </row>
    <row r="65" spans="1:3" x14ac:dyDescent="0.2">
      <c r="A65" s="2">
        <v>64</v>
      </c>
      <c r="B65" s="22">
        <v>33500</v>
      </c>
      <c r="C65">
        <v>4</v>
      </c>
    </row>
    <row r="66" spans="1:3" x14ac:dyDescent="0.2">
      <c r="A66" s="2">
        <v>65</v>
      </c>
      <c r="B66" s="22">
        <v>124000</v>
      </c>
      <c r="C66">
        <v>4</v>
      </c>
    </row>
    <row r="67" spans="1:3" x14ac:dyDescent="0.2">
      <c r="A67" s="2">
        <v>66</v>
      </c>
      <c r="B67" s="22">
        <v>37000</v>
      </c>
      <c r="C67">
        <v>3</v>
      </c>
    </row>
    <row r="68" spans="1:3" x14ac:dyDescent="0.2">
      <c r="A68" s="2">
        <v>67</v>
      </c>
      <c r="B68" s="22">
        <v>54000</v>
      </c>
      <c r="C68">
        <v>1</v>
      </c>
    </row>
    <row r="69" spans="1:3" x14ac:dyDescent="0.2">
      <c r="A69" s="2">
        <v>68</v>
      </c>
      <c r="B69" s="22">
        <v>35000</v>
      </c>
      <c r="C69">
        <v>3</v>
      </c>
    </row>
    <row r="70" spans="1:3" x14ac:dyDescent="0.2">
      <c r="A70" s="2">
        <v>69</v>
      </c>
      <c r="B70" s="22">
        <v>30500</v>
      </c>
      <c r="C70">
        <v>3</v>
      </c>
    </row>
    <row r="71" spans="1:3" x14ac:dyDescent="0.2">
      <c r="A71" s="2">
        <v>70</v>
      </c>
      <c r="B71" s="22">
        <v>33500</v>
      </c>
      <c r="C71">
        <v>3</v>
      </c>
    </row>
    <row r="72" spans="1:3" x14ac:dyDescent="0.2">
      <c r="A72" s="2">
        <v>71</v>
      </c>
      <c r="B72" s="22">
        <v>48000</v>
      </c>
      <c r="C72">
        <v>3</v>
      </c>
    </row>
    <row r="73" spans="1:3" x14ac:dyDescent="0.2">
      <c r="A73" s="2">
        <v>72</v>
      </c>
      <c r="B73" s="22">
        <v>74500</v>
      </c>
      <c r="C73">
        <v>4</v>
      </c>
    </row>
    <row r="74" spans="1:3" x14ac:dyDescent="0.2">
      <c r="A74" s="2">
        <v>73</v>
      </c>
      <c r="B74" s="22">
        <v>40500</v>
      </c>
      <c r="C74">
        <v>2</v>
      </c>
    </row>
    <row r="75" spans="1:3" x14ac:dyDescent="0.2">
      <c r="A75" s="2">
        <v>74</v>
      </c>
      <c r="B75" s="22">
        <v>65500</v>
      </c>
      <c r="C75">
        <v>3</v>
      </c>
    </row>
    <row r="76" spans="1:3" x14ac:dyDescent="0.2">
      <c r="A76" s="2">
        <v>75</v>
      </c>
      <c r="B76" s="22">
        <v>37000</v>
      </c>
      <c r="C76">
        <v>3</v>
      </c>
    </row>
    <row r="77" spans="1:3" x14ac:dyDescent="0.2">
      <c r="A77" s="2">
        <v>76</v>
      </c>
      <c r="B77" s="22">
        <v>55000</v>
      </c>
      <c r="C77">
        <v>3</v>
      </c>
    </row>
    <row r="78" spans="1:3" x14ac:dyDescent="0.2">
      <c r="A78" s="2">
        <v>77</v>
      </c>
      <c r="B78" s="22">
        <v>48500</v>
      </c>
      <c r="C78">
        <v>3</v>
      </c>
    </row>
    <row r="79" spans="1:3" x14ac:dyDescent="0.2">
      <c r="A79" s="2">
        <v>78</v>
      </c>
      <c r="B79" s="22">
        <v>36500</v>
      </c>
      <c r="C79">
        <v>3</v>
      </c>
    </row>
    <row r="80" spans="1:3" x14ac:dyDescent="0.2">
      <c r="A80" s="2">
        <v>79</v>
      </c>
      <c r="B80" s="22">
        <v>38500</v>
      </c>
      <c r="C80">
        <v>3</v>
      </c>
    </row>
    <row r="81" spans="1:3" x14ac:dyDescent="0.2">
      <c r="A81" s="2">
        <v>80</v>
      </c>
      <c r="B81" s="22">
        <v>33500</v>
      </c>
      <c r="C81">
        <v>2</v>
      </c>
    </row>
    <row r="82" spans="1:3" x14ac:dyDescent="0.2">
      <c r="A82" s="2">
        <v>81</v>
      </c>
      <c r="B82" s="22">
        <v>52500</v>
      </c>
      <c r="C82">
        <v>5</v>
      </c>
    </row>
    <row r="83" spans="1:3" x14ac:dyDescent="0.2">
      <c r="A83" s="2">
        <v>82</v>
      </c>
      <c r="B83" s="22">
        <v>46000</v>
      </c>
      <c r="C83">
        <v>3</v>
      </c>
    </row>
    <row r="84" spans="1:3" x14ac:dyDescent="0.2">
      <c r="A84" s="2">
        <v>83</v>
      </c>
      <c r="B84" s="22">
        <v>38500</v>
      </c>
      <c r="C84">
        <v>3</v>
      </c>
    </row>
    <row r="85" spans="1:3" x14ac:dyDescent="0.2">
      <c r="A85" s="2">
        <v>84</v>
      </c>
      <c r="B85" s="22">
        <v>32000</v>
      </c>
      <c r="C85">
        <v>3</v>
      </c>
    </row>
    <row r="86" spans="1:3" x14ac:dyDescent="0.2">
      <c r="A86" s="2">
        <v>85</v>
      </c>
      <c r="B86" s="22">
        <v>72000</v>
      </c>
      <c r="C86">
        <v>4</v>
      </c>
    </row>
    <row r="87" spans="1:3" x14ac:dyDescent="0.2">
      <c r="A87" s="2">
        <v>86</v>
      </c>
      <c r="B87" s="22">
        <v>51000</v>
      </c>
      <c r="C87">
        <v>2</v>
      </c>
    </row>
    <row r="88" spans="1:3" x14ac:dyDescent="0.2">
      <c r="A88" s="2">
        <v>87</v>
      </c>
      <c r="B88" s="22">
        <v>17500</v>
      </c>
      <c r="C88">
        <v>3</v>
      </c>
    </row>
    <row r="89" spans="1:3" x14ac:dyDescent="0.2">
      <c r="A89" s="2">
        <v>88</v>
      </c>
      <c r="B89" s="22">
        <v>37000</v>
      </c>
      <c r="C89">
        <v>2</v>
      </c>
    </row>
    <row r="90" spans="1:3" x14ac:dyDescent="0.2">
      <c r="A90" s="2">
        <v>89</v>
      </c>
      <c r="B90" s="22">
        <v>34500</v>
      </c>
      <c r="C90">
        <v>2</v>
      </c>
    </row>
    <row r="91" spans="1:3" x14ac:dyDescent="0.2">
      <c r="A91" s="2">
        <v>90</v>
      </c>
      <c r="B91" s="22">
        <v>32000</v>
      </c>
      <c r="C91">
        <v>4</v>
      </c>
    </row>
    <row r="92" spans="1:3" x14ac:dyDescent="0.2">
      <c r="A92" s="2">
        <v>91</v>
      </c>
      <c r="B92" s="22">
        <v>37000</v>
      </c>
      <c r="C92">
        <v>3</v>
      </c>
    </row>
    <row r="93" spans="1:3" x14ac:dyDescent="0.2">
      <c r="A93" s="2">
        <v>92</v>
      </c>
      <c r="B93" s="22">
        <v>42000</v>
      </c>
      <c r="C93">
        <v>3</v>
      </c>
    </row>
    <row r="94" spans="1:3" x14ac:dyDescent="0.2">
      <c r="A94" s="2">
        <v>93</v>
      </c>
      <c r="B94" s="22">
        <v>52000</v>
      </c>
      <c r="C94">
        <v>2</v>
      </c>
    </row>
    <row r="95" spans="1:3" x14ac:dyDescent="0.2">
      <c r="A95" s="2">
        <v>94</v>
      </c>
      <c r="B95" s="22">
        <v>38500</v>
      </c>
      <c r="C95">
        <v>3</v>
      </c>
    </row>
    <row r="96" spans="1:3" x14ac:dyDescent="0.2">
      <c r="A96" s="2">
        <v>95</v>
      </c>
      <c r="B96" s="22">
        <v>38000</v>
      </c>
      <c r="C96">
        <v>4</v>
      </c>
    </row>
    <row r="97" spans="1:3" x14ac:dyDescent="0.2">
      <c r="A97" s="2">
        <v>96</v>
      </c>
      <c r="B97" s="22">
        <v>32500</v>
      </c>
      <c r="C97">
        <v>3</v>
      </c>
    </row>
    <row r="98" spans="1:3" x14ac:dyDescent="0.2">
      <c r="A98" s="2">
        <v>97</v>
      </c>
      <c r="B98" s="22">
        <v>111000</v>
      </c>
      <c r="C98">
        <v>3</v>
      </c>
    </row>
    <row r="99" spans="1:3" x14ac:dyDescent="0.2">
      <c r="A99" s="2">
        <v>98</v>
      </c>
      <c r="B99" s="22">
        <v>58000</v>
      </c>
      <c r="C99">
        <v>2</v>
      </c>
    </row>
    <row r="100" spans="1:3" x14ac:dyDescent="0.2">
      <c r="A100" s="2">
        <v>99</v>
      </c>
      <c r="B100" s="22">
        <v>21000</v>
      </c>
      <c r="C100">
        <v>3</v>
      </c>
    </row>
    <row r="101" spans="1:3" x14ac:dyDescent="0.2">
      <c r="A101" s="2">
        <v>100</v>
      </c>
      <c r="B101" s="22">
        <v>34000</v>
      </c>
      <c r="C101">
        <v>2</v>
      </c>
    </row>
    <row r="102" spans="1:3" x14ac:dyDescent="0.2">
      <c r="A102" s="2">
        <v>101</v>
      </c>
      <c r="B102" s="22">
        <v>151500</v>
      </c>
      <c r="C102">
        <v>3</v>
      </c>
    </row>
    <row r="103" spans="1:3" x14ac:dyDescent="0.2">
      <c r="A103" s="2">
        <v>102</v>
      </c>
      <c r="B103" s="22">
        <v>40000</v>
      </c>
      <c r="C103">
        <v>3</v>
      </c>
    </row>
    <row r="104" spans="1:3" x14ac:dyDescent="0.2">
      <c r="A104" s="2">
        <v>103</v>
      </c>
      <c r="B104" s="22">
        <v>20500</v>
      </c>
      <c r="C104">
        <v>3</v>
      </c>
    </row>
    <row r="105" spans="1:3" x14ac:dyDescent="0.2">
      <c r="A105" s="2">
        <v>104</v>
      </c>
      <c r="B105" s="22">
        <v>39500</v>
      </c>
      <c r="C105">
        <v>1</v>
      </c>
    </row>
    <row r="106" spans="1:3" x14ac:dyDescent="0.2">
      <c r="A106" s="2">
        <v>105</v>
      </c>
      <c r="B106" s="22">
        <v>34500</v>
      </c>
      <c r="C106">
        <v>2</v>
      </c>
    </row>
    <row r="107" spans="1:3" x14ac:dyDescent="0.2">
      <c r="A107" s="2">
        <v>106</v>
      </c>
      <c r="B107" s="22">
        <v>36000</v>
      </c>
      <c r="C107">
        <v>4</v>
      </c>
    </row>
    <row r="108" spans="1:3" x14ac:dyDescent="0.2">
      <c r="A108" s="2">
        <v>107</v>
      </c>
      <c r="B108" s="22">
        <v>17500</v>
      </c>
      <c r="C108">
        <v>1</v>
      </c>
    </row>
    <row r="109" spans="1:3" x14ac:dyDescent="0.2">
      <c r="A109" s="2">
        <v>108</v>
      </c>
      <c r="B109" s="22">
        <v>39500</v>
      </c>
      <c r="C109">
        <v>1</v>
      </c>
    </row>
    <row r="110" spans="1:3" x14ac:dyDescent="0.2">
      <c r="A110" s="2">
        <v>109</v>
      </c>
      <c r="B110" s="22">
        <v>33500</v>
      </c>
      <c r="C110">
        <v>3</v>
      </c>
    </row>
    <row r="111" spans="1:3" x14ac:dyDescent="0.2">
      <c r="A111" s="2">
        <v>110</v>
      </c>
      <c r="B111" s="22">
        <v>39500</v>
      </c>
      <c r="C111">
        <v>3</v>
      </c>
    </row>
    <row r="112" spans="1:3" x14ac:dyDescent="0.2">
      <c r="A112" s="2">
        <v>111</v>
      </c>
      <c r="B112" s="22">
        <v>35500</v>
      </c>
      <c r="C112">
        <v>3</v>
      </c>
    </row>
    <row r="113" spans="1:3" x14ac:dyDescent="0.2">
      <c r="A113" s="2">
        <v>112</v>
      </c>
      <c r="B113" s="22">
        <v>53000</v>
      </c>
      <c r="C113">
        <v>2</v>
      </c>
    </row>
    <row r="114" spans="1:3" x14ac:dyDescent="0.2">
      <c r="A114" s="2">
        <v>113</v>
      </c>
      <c r="B114" s="22">
        <v>36000</v>
      </c>
      <c r="C114">
        <v>2</v>
      </c>
    </row>
    <row r="115" spans="1:3" x14ac:dyDescent="0.2">
      <c r="A115" s="2">
        <v>114</v>
      </c>
      <c r="B115" s="22">
        <v>53000</v>
      </c>
      <c r="C115">
        <v>4</v>
      </c>
    </row>
    <row r="116" spans="1:3" x14ac:dyDescent="0.2">
      <c r="A116" s="2">
        <v>115</v>
      </c>
      <c r="B116" s="22">
        <v>35500</v>
      </c>
      <c r="C116">
        <v>4</v>
      </c>
    </row>
    <row r="117" spans="1:3" x14ac:dyDescent="0.2">
      <c r="A117" s="2">
        <v>116</v>
      </c>
      <c r="B117" s="22">
        <v>26500</v>
      </c>
      <c r="C117">
        <v>2</v>
      </c>
    </row>
    <row r="118" spans="1:3" x14ac:dyDescent="0.2">
      <c r="A118" s="2">
        <v>117</v>
      </c>
      <c r="B118" s="22">
        <v>40000</v>
      </c>
      <c r="C118">
        <v>2</v>
      </c>
    </row>
    <row r="119" spans="1:3" x14ac:dyDescent="0.2">
      <c r="A119" s="2">
        <v>118</v>
      </c>
      <c r="B119" s="22">
        <v>52000</v>
      </c>
      <c r="C119">
        <v>5</v>
      </c>
    </row>
    <row r="120" spans="1:3" x14ac:dyDescent="0.2">
      <c r="A120" s="2">
        <v>119</v>
      </c>
      <c r="B120" s="22">
        <v>94000</v>
      </c>
      <c r="C120">
        <v>5</v>
      </c>
    </row>
    <row r="121" spans="1:3" x14ac:dyDescent="0.2">
      <c r="A121" s="2">
        <v>120</v>
      </c>
      <c r="B121" s="22">
        <v>52000</v>
      </c>
      <c r="C121">
        <v>1</v>
      </c>
    </row>
    <row r="122" spans="1:3" x14ac:dyDescent="0.2">
      <c r="A122" s="2">
        <v>121</v>
      </c>
      <c r="B122" s="22">
        <v>38000</v>
      </c>
      <c r="C122">
        <v>2</v>
      </c>
    </row>
    <row r="123" spans="1:3" x14ac:dyDescent="0.2">
      <c r="A123" s="2">
        <v>122</v>
      </c>
      <c r="B123" s="22">
        <v>118000</v>
      </c>
      <c r="C123">
        <v>4</v>
      </c>
    </row>
    <row r="124" spans="1:3" x14ac:dyDescent="0.2">
      <c r="A124" s="2">
        <v>123</v>
      </c>
      <c r="B124" s="22">
        <v>46000</v>
      </c>
      <c r="C124">
        <v>3</v>
      </c>
    </row>
    <row r="125" spans="1:3" x14ac:dyDescent="0.2">
      <c r="A125" s="2">
        <v>124</v>
      </c>
      <c r="B125" s="22">
        <v>33000</v>
      </c>
      <c r="C125">
        <v>4</v>
      </c>
    </row>
    <row r="126" spans="1:3" x14ac:dyDescent="0.2">
      <c r="A126" s="2">
        <v>125</v>
      </c>
      <c r="B126" s="22">
        <v>33500</v>
      </c>
      <c r="C126">
        <v>3</v>
      </c>
    </row>
    <row r="127" spans="1:3" x14ac:dyDescent="0.2">
      <c r="A127" s="2">
        <v>126</v>
      </c>
      <c r="B127" s="22">
        <v>34000</v>
      </c>
      <c r="C127">
        <v>2</v>
      </c>
    </row>
    <row r="128" spans="1:3" x14ac:dyDescent="0.2">
      <c r="A128" s="2">
        <v>127</v>
      </c>
      <c r="B128" s="22">
        <v>42000</v>
      </c>
      <c r="C128">
        <v>3</v>
      </c>
    </row>
    <row r="129" spans="1:3" x14ac:dyDescent="0.2">
      <c r="A129" s="2">
        <v>128</v>
      </c>
      <c r="B129" s="22">
        <v>31000</v>
      </c>
      <c r="C129">
        <v>3</v>
      </c>
    </row>
    <row r="130" spans="1:3" x14ac:dyDescent="0.2">
      <c r="A130" s="2">
        <v>129</v>
      </c>
      <c r="B130" s="22">
        <v>123000</v>
      </c>
      <c r="C130">
        <v>4</v>
      </c>
    </row>
    <row r="131" spans="1:3" x14ac:dyDescent="0.2">
      <c r="A131" s="2">
        <v>130</v>
      </c>
      <c r="B131" s="22">
        <v>38500</v>
      </c>
      <c r="C131">
        <v>3</v>
      </c>
    </row>
    <row r="132" spans="1:3" x14ac:dyDescent="0.2">
      <c r="A132" s="2">
        <v>131</v>
      </c>
      <c r="B132" s="22">
        <v>88000</v>
      </c>
      <c r="C132">
        <v>3</v>
      </c>
    </row>
    <row r="133" spans="1:3" x14ac:dyDescent="0.2">
      <c r="A133" s="2">
        <v>132</v>
      </c>
      <c r="B133" s="22">
        <v>56000</v>
      </c>
      <c r="C133">
        <v>2</v>
      </c>
    </row>
    <row r="134" spans="1:3" x14ac:dyDescent="0.2">
      <c r="A134" s="2">
        <v>133</v>
      </c>
      <c r="B134" s="22">
        <v>24000</v>
      </c>
      <c r="C134">
        <v>4</v>
      </c>
    </row>
    <row r="135" spans="1:3" x14ac:dyDescent="0.2">
      <c r="A135" s="2">
        <v>134</v>
      </c>
      <c r="B135" s="22">
        <v>41000</v>
      </c>
      <c r="C135">
        <v>1</v>
      </c>
    </row>
    <row r="136" spans="1:3" x14ac:dyDescent="0.2">
      <c r="A136" s="2">
        <v>135</v>
      </c>
      <c r="B136" s="22">
        <v>47500</v>
      </c>
      <c r="C136">
        <v>3</v>
      </c>
    </row>
    <row r="137" spans="1:3" x14ac:dyDescent="0.2">
      <c r="A137" s="2">
        <v>136</v>
      </c>
      <c r="B137" s="22">
        <v>116500</v>
      </c>
      <c r="C137">
        <v>3</v>
      </c>
    </row>
    <row r="138" spans="1:3" x14ac:dyDescent="0.2">
      <c r="A138" s="2">
        <v>137</v>
      </c>
      <c r="B138" s="22">
        <v>41000</v>
      </c>
      <c r="C138">
        <v>4</v>
      </c>
    </row>
    <row r="139" spans="1:3" x14ac:dyDescent="0.2">
      <c r="A139" s="2">
        <v>138</v>
      </c>
      <c r="B139" s="22">
        <v>52500</v>
      </c>
      <c r="C139">
        <v>3</v>
      </c>
    </row>
    <row r="140" spans="1:3" x14ac:dyDescent="0.2">
      <c r="A140" s="2">
        <v>139</v>
      </c>
      <c r="B140" s="22">
        <v>62500</v>
      </c>
      <c r="C140">
        <v>3</v>
      </c>
    </row>
    <row r="141" spans="1:3" x14ac:dyDescent="0.2">
      <c r="A141" s="2">
        <v>140</v>
      </c>
      <c r="B141" s="22">
        <v>40000</v>
      </c>
      <c r="C141">
        <v>1</v>
      </c>
    </row>
    <row r="142" spans="1:3" x14ac:dyDescent="0.2">
      <c r="A142" s="2">
        <v>141</v>
      </c>
      <c r="B142" s="22">
        <v>42500</v>
      </c>
      <c r="C142">
        <v>4</v>
      </c>
    </row>
    <row r="143" spans="1:3" x14ac:dyDescent="0.2">
      <c r="A143" s="2">
        <v>142</v>
      </c>
      <c r="B143" s="22">
        <v>43500</v>
      </c>
      <c r="C143">
        <v>1</v>
      </c>
    </row>
    <row r="144" spans="1:3" x14ac:dyDescent="0.2">
      <c r="A144" s="2">
        <v>143</v>
      </c>
      <c r="B144" s="22">
        <v>60500</v>
      </c>
      <c r="C144">
        <v>5</v>
      </c>
    </row>
    <row r="145" spans="1:3" x14ac:dyDescent="0.2">
      <c r="A145" s="2">
        <v>144</v>
      </c>
      <c r="B145" s="22">
        <v>87500</v>
      </c>
      <c r="C145">
        <v>4</v>
      </c>
    </row>
    <row r="146" spans="1:3" x14ac:dyDescent="0.2">
      <c r="A146" s="2">
        <v>145</v>
      </c>
      <c r="B146" s="22">
        <v>87500</v>
      </c>
      <c r="C146">
        <v>3</v>
      </c>
    </row>
    <row r="147" spans="1:3" x14ac:dyDescent="0.2">
      <c r="A147" s="2">
        <v>146</v>
      </c>
      <c r="B147" s="22">
        <v>38000</v>
      </c>
      <c r="C147">
        <v>3</v>
      </c>
    </row>
    <row r="148" spans="1:3" x14ac:dyDescent="0.2">
      <c r="A148" s="2">
        <v>147</v>
      </c>
      <c r="B148" s="22">
        <v>42000</v>
      </c>
      <c r="C148">
        <v>5</v>
      </c>
    </row>
    <row r="149" spans="1:3" x14ac:dyDescent="0.2">
      <c r="A149" s="2">
        <v>148</v>
      </c>
      <c r="B149" s="22">
        <v>93000</v>
      </c>
      <c r="C149">
        <v>5</v>
      </c>
    </row>
    <row r="150" spans="1:3" x14ac:dyDescent="0.2">
      <c r="A150" s="2">
        <v>149</v>
      </c>
      <c r="B150" s="22">
        <v>32500</v>
      </c>
      <c r="C150">
        <v>3</v>
      </c>
    </row>
    <row r="151" spans="1:3" x14ac:dyDescent="0.2">
      <c r="A151" s="2">
        <v>150</v>
      </c>
      <c r="B151" s="22">
        <v>37500</v>
      </c>
      <c r="C151">
        <v>4</v>
      </c>
    </row>
    <row r="152" spans="1:3" x14ac:dyDescent="0.2">
      <c r="A152" s="2">
        <v>151</v>
      </c>
      <c r="B152" s="22">
        <v>59000</v>
      </c>
      <c r="C152">
        <v>4</v>
      </c>
    </row>
    <row r="153" spans="1:3" x14ac:dyDescent="0.2">
      <c r="A153" s="2">
        <v>152</v>
      </c>
      <c r="B153" s="22">
        <v>85000</v>
      </c>
      <c r="C153">
        <v>2</v>
      </c>
    </row>
    <row r="154" spans="1:3" x14ac:dyDescent="0.2">
      <c r="A154" s="2">
        <v>153</v>
      </c>
      <c r="B154" s="22">
        <v>67500</v>
      </c>
      <c r="C154">
        <v>3</v>
      </c>
    </row>
    <row r="155" spans="1:3" x14ac:dyDescent="0.2">
      <c r="A155" s="2">
        <v>154</v>
      </c>
      <c r="B155" s="22">
        <v>39000</v>
      </c>
      <c r="C155">
        <v>1</v>
      </c>
    </row>
    <row r="156" spans="1:3" x14ac:dyDescent="0.2">
      <c r="A156" s="2">
        <v>155</v>
      </c>
      <c r="B156" s="22">
        <v>38500</v>
      </c>
      <c r="C156">
        <v>4</v>
      </c>
    </row>
    <row r="157" spans="1:3" x14ac:dyDescent="0.2">
      <c r="A157" s="2">
        <v>156</v>
      </c>
      <c r="B157" s="22">
        <v>38000</v>
      </c>
      <c r="C157">
        <v>3</v>
      </c>
    </row>
    <row r="158" spans="1:3" x14ac:dyDescent="0.2">
      <c r="A158" s="2">
        <v>157</v>
      </c>
      <c r="B158" s="22">
        <v>34500</v>
      </c>
      <c r="C158">
        <v>3</v>
      </c>
    </row>
    <row r="159" spans="1:3" x14ac:dyDescent="0.2">
      <c r="A159" s="2">
        <v>158</v>
      </c>
      <c r="B159" s="22">
        <v>35500</v>
      </c>
      <c r="C159">
        <v>3</v>
      </c>
    </row>
    <row r="160" spans="1:3" x14ac:dyDescent="0.2">
      <c r="A160" s="2">
        <v>159</v>
      </c>
      <c r="B160" s="22">
        <v>118500</v>
      </c>
      <c r="C160">
        <v>4</v>
      </c>
    </row>
    <row r="161" spans="1:3" x14ac:dyDescent="0.2">
      <c r="A161" s="2">
        <v>160</v>
      </c>
      <c r="B161" s="22">
        <v>37500</v>
      </c>
      <c r="C161">
        <v>3</v>
      </c>
    </row>
    <row r="162" spans="1:3" x14ac:dyDescent="0.2">
      <c r="A162" s="2">
        <v>161</v>
      </c>
      <c r="B162" s="22">
        <v>59000</v>
      </c>
      <c r="C162">
        <v>2</v>
      </c>
    </row>
    <row r="163" spans="1:3" x14ac:dyDescent="0.2">
      <c r="A163" s="2">
        <v>162</v>
      </c>
      <c r="B163" s="22">
        <v>40000</v>
      </c>
      <c r="C163">
        <v>4</v>
      </c>
    </row>
    <row r="164" spans="1:3" x14ac:dyDescent="0.2">
      <c r="A164" s="2">
        <v>163</v>
      </c>
      <c r="B164" s="22">
        <v>40000</v>
      </c>
      <c r="C164">
        <v>4</v>
      </c>
    </row>
    <row r="165" spans="1:3" x14ac:dyDescent="0.2">
      <c r="A165" s="2">
        <v>164</v>
      </c>
      <c r="B165" s="22">
        <v>35000</v>
      </c>
      <c r="C165">
        <v>3</v>
      </c>
    </row>
    <row r="166" spans="1:3" x14ac:dyDescent="0.2">
      <c r="A166" s="2">
        <v>165</v>
      </c>
      <c r="B166" s="22">
        <v>41500</v>
      </c>
      <c r="C166">
        <v>3</v>
      </c>
    </row>
    <row r="167" spans="1:3" x14ac:dyDescent="0.2">
      <c r="A167" s="2">
        <v>166</v>
      </c>
      <c r="B167" s="22">
        <v>36000</v>
      </c>
      <c r="C167">
        <v>2</v>
      </c>
    </row>
    <row r="168" spans="1:3" x14ac:dyDescent="0.2">
      <c r="A168" s="2">
        <v>167</v>
      </c>
      <c r="B168" s="22">
        <v>44000</v>
      </c>
      <c r="C168">
        <v>3</v>
      </c>
    </row>
    <row r="169" spans="1:3" x14ac:dyDescent="0.2">
      <c r="A169" s="2">
        <v>168</v>
      </c>
      <c r="B169" s="22">
        <v>40500</v>
      </c>
      <c r="C169">
        <v>2</v>
      </c>
    </row>
    <row r="170" spans="1:3" x14ac:dyDescent="0.2">
      <c r="A170" s="2">
        <v>169</v>
      </c>
      <c r="B170" s="22">
        <v>43500</v>
      </c>
      <c r="C170">
        <v>2</v>
      </c>
    </row>
    <row r="171" spans="1:3" x14ac:dyDescent="0.2">
      <c r="A171" s="2">
        <v>170</v>
      </c>
      <c r="B171" s="22">
        <v>60000</v>
      </c>
      <c r="C171">
        <v>4</v>
      </c>
    </row>
    <row r="172" spans="1:3" x14ac:dyDescent="0.2">
      <c r="A172" s="2">
        <v>171</v>
      </c>
      <c r="B172" s="22">
        <v>43500</v>
      </c>
      <c r="C172">
        <v>3</v>
      </c>
    </row>
    <row r="173" spans="1:3" x14ac:dyDescent="0.2">
      <c r="A173" s="2">
        <v>172</v>
      </c>
      <c r="B173" s="22">
        <v>37500</v>
      </c>
      <c r="C173">
        <v>3</v>
      </c>
    </row>
    <row r="174" spans="1:3" x14ac:dyDescent="0.2">
      <c r="A174" s="2">
        <v>173</v>
      </c>
      <c r="B174" s="22">
        <v>44500</v>
      </c>
      <c r="C174">
        <v>4</v>
      </c>
    </row>
    <row r="175" spans="1:3" x14ac:dyDescent="0.2">
      <c r="A175" s="2">
        <v>174</v>
      </c>
      <c r="B175" s="22">
        <v>44500</v>
      </c>
      <c r="C175">
        <v>3</v>
      </c>
    </row>
    <row r="176" spans="1:3" x14ac:dyDescent="0.2">
      <c r="A176" s="2">
        <v>175</v>
      </c>
      <c r="B176" s="22">
        <v>54000</v>
      </c>
      <c r="C176">
        <v>3</v>
      </c>
    </row>
    <row r="177" spans="1:3" x14ac:dyDescent="0.2">
      <c r="A177" s="2">
        <v>176</v>
      </c>
      <c r="B177" s="22">
        <v>46000</v>
      </c>
      <c r="C177">
        <v>4</v>
      </c>
    </row>
    <row r="178" spans="1:3" x14ac:dyDescent="0.2">
      <c r="A178" s="2">
        <v>177</v>
      </c>
      <c r="B178" s="22">
        <v>57500</v>
      </c>
      <c r="C178">
        <v>2</v>
      </c>
    </row>
    <row r="179" spans="1:3" x14ac:dyDescent="0.2">
      <c r="A179" s="2">
        <v>178</v>
      </c>
      <c r="B179" s="22">
        <v>39000</v>
      </c>
      <c r="C179">
        <v>4</v>
      </c>
    </row>
    <row r="180" spans="1:3" x14ac:dyDescent="0.2">
      <c r="A180" s="2">
        <v>179</v>
      </c>
      <c r="B180" s="22">
        <v>55500</v>
      </c>
      <c r="C180">
        <v>2</v>
      </c>
    </row>
    <row r="181" spans="1:3" x14ac:dyDescent="0.2">
      <c r="A181" s="2">
        <v>180</v>
      </c>
      <c r="B181" s="22">
        <v>60500</v>
      </c>
      <c r="C181">
        <v>4</v>
      </c>
    </row>
    <row r="182" spans="1:3" x14ac:dyDescent="0.2">
      <c r="A182" s="2">
        <v>181</v>
      </c>
      <c r="B182" s="22">
        <v>22500</v>
      </c>
      <c r="C182">
        <v>5</v>
      </c>
    </row>
    <row r="183" spans="1:3" x14ac:dyDescent="0.2">
      <c r="A183" s="2">
        <v>182</v>
      </c>
      <c r="B183" s="22">
        <v>79500</v>
      </c>
      <c r="C183">
        <v>3</v>
      </c>
    </row>
    <row r="184" spans="1:3" x14ac:dyDescent="0.2">
      <c r="A184" s="2">
        <v>183</v>
      </c>
      <c r="B184" s="22">
        <v>85000</v>
      </c>
      <c r="C184">
        <v>3</v>
      </c>
    </row>
    <row r="185" spans="1:3" x14ac:dyDescent="0.2">
      <c r="A185" s="2">
        <v>184</v>
      </c>
      <c r="B185" s="22">
        <v>41500</v>
      </c>
      <c r="C185">
        <v>4</v>
      </c>
    </row>
    <row r="186" spans="1:3" x14ac:dyDescent="0.2">
      <c r="A186" s="2">
        <v>185</v>
      </c>
      <c r="B186" s="22">
        <v>39500</v>
      </c>
      <c r="C186">
        <v>3</v>
      </c>
    </row>
    <row r="187" spans="1:3" x14ac:dyDescent="0.2">
      <c r="A187" s="2">
        <v>186</v>
      </c>
      <c r="B187" s="22">
        <v>44500</v>
      </c>
      <c r="C187">
        <v>3</v>
      </c>
    </row>
    <row r="188" spans="1:3" x14ac:dyDescent="0.2">
      <c r="A188" s="2">
        <v>187</v>
      </c>
      <c r="B188" s="22">
        <v>36000</v>
      </c>
      <c r="C188">
        <v>2</v>
      </c>
    </row>
    <row r="189" spans="1:3" x14ac:dyDescent="0.2">
      <c r="A189" s="2">
        <v>188</v>
      </c>
      <c r="B189" s="22">
        <v>43500</v>
      </c>
      <c r="C189">
        <v>3</v>
      </c>
    </row>
    <row r="190" spans="1:3" x14ac:dyDescent="0.2">
      <c r="A190" s="2">
        <v>189</v>
      </c>
      <c r="B190" s="22">
        <v>56500</v>
      </c>
      <c r="C190">
        <v>3</v>
      </c>
    </row>
    <row r="191" spans="1:3" x14ac:dyDescent="0.2">
      <c r="A191" s="2">
        <v>190</v>
      </c>
      <c r="B191" s="22">
        <v>49000</v>
      </c>
      <c r="C191">
        <v>3</v>
      </c>
    </row>
    <row r="192" spans="1:3" x14ac:dyDescent="0.2">
      <c r="A192" s="2">
        <v>191</v>
      </c>
      <c r="B192" s="22">
        <v>39500</v>
      </c>
      <c r="C192">
        <v>3</v>
      </c>
    </row>
    <row r="193" spans="1:3" x14ac:dyDescent="0.2">
      <c r="A193" s="2">
        <v>192</v>
      </c>
      <c r="B193" s="22">
        <v>97000</v>
      </c>
      <c r="C193">
        <v>3</v>
      </c>
    </row>
    <row r="194" spans="1:3" x14ac:dyDescent="0.2">
      <c r="A194" s="2">
        <v>193</v>
      </c>
      <c r="B194" s="22">
        <v>85000</v>
      </c>
      <c r="C194">
        <v>2</v>
      </c>
    </row>
    <row r="195" spans="1:3" x14ac:dyDescent="0.2">
      <c r="A195" s="2">
        <v>194</v>
      </c>
      <c r="B195" s="22">
        <v>56500</v>
      </c>
      <c r="C195">
        <v>4</v>
      </c>
    </row>
    <row r="196" spans="1:3" x14ac:dyDescent="0.2">
      <c r="A196" s="2">
        <v>195</v>
      </c>
      <c r="B196" s="22">
        <v>34500</v>
      </c>
      <c r="C196">
        <v>2</v>
      </c>
    </row>
    <row r="197" spans="1:3" x14ac:dyDescent="0.2">
      <c r="A197" s="2">
        <v>196</v>
      </c>
      <c r="B197" s="22">
        <v>40500</v>
      </c>
      <c r="C197">
        <v>3</v>
      </c>
    </row>
    <row r="198" spans="1:3" x14ac:dyDescent="0.2">
      <c r="A198" s="2">
        <v>197</v>
      </c>
      <c r="B198" s="22">
        <v>42000</v>
      </c>
      <c r="C198">
        <v>3</v>
      </c>
    </row>
    <row r="199" spans="1:3" x14ac:dyDescent="0.2">
      <c r="A199" s="2">
        <v>198</v>
      </c>
      <c r="B199" s="22">
        <v>39000</v>
      </c>
      <c r="C199">
        <v>4</v>
      </c>
    </row>
    <row r="200" spans="1:3" x14ac:dyDescent="0.2">
      <c r="A200" s="2">
        <v>199</v>
      </c>
      <c r="B200" s="22">
        <v>62000</v>
      </c>
      <c r="C200">
        <v>4</v>
      </c>
    </row>
    <row r="201" spans="1:3" x14ac:dyDescent="0.2">
      <c r="A201" s="2">
        <v>200</v>
      </c>
      <c r="B201" s="22">
        <v>34000</v>
      </c>
      <c r="C201">
        <v>2</v>
      </c>
    </row>
    <row r="202" spans="1:3" x14ac:dyDescent="0.2">
      <c r="A202" s="2">
        <v>201</v>
      </c>
      <c r="B202" s="22">
        <v>39000</v>
      </c>
      <c r="C202">
        <v>3</v>
      </c>
    </row>
    <row r="203" spans="1:3" x14ac:dyDescent="0.2">
      <c r="A203" s="2">
        <v>202</v>
      </c>
      <c r="B203" s="22">
        <v>68000</v>
      </c>
      <c r="C203">
        <v>1</v>
      </c>
    </row>
    <row r="204" spans="1:3" x14ac:dyDescent="0.2">
      <c r="A204" s="2">
        <v>203</v>
      </c>
      <c r="B204" s="22">
        <v>76500</v>
      </c>
      <c r="C204">
        <v>5</v>
      </c>
    </row>
    <row r="205" spans="1:3" x14ac:dyDescent="0.2">
      <c r="A205" s="2">
        <v>204</v>
      </c>
      <c r="B205" s="22">
        <v>41500</v>
      </c>
      <c r="C205">
        <v>3</v>
      </c>
    </row>
    <row r="206" spans="1:3" x14ac:dyDescent="0.2">
      <c r="A206" s="2">
        <v>205</v>
      </c>
      <c r="B206" s="22">
        <v>44000</v>
      </c>
      <c r="C206">
        <v>3</v>
      </c>
    </row>
    <row r="207" spans="1:3" x14ac:dyDescent="0.2">
      <c r="A207" s="2">
        <v>206</v>
      </c>
      <c r="B207" s="22">
        <v>91000</v>
      </c>
      <c r="C207">
        <v>3</v>
      </c>
    </row>
    <row r="208" spans="1:3" x14ac:dyDescent="0.2">
      <c r="A208" s="2">
        <v>207</v>
      </c>
      <c r="B208" s="22">
        <v>56000</v>
      </c>
      <c r="C208">
        <v>3</v>
      </c>
    </row>
    <row r="209" spans="1:3" x14ac:dyDescent="0.2">
      <c r="A209" s="2">
        <v>208</v>
      </c>
      <c r="B209" s="22">
        <v>52500</v>
      </c>
      <c r="C209">
        <v>3</v>
      </c>
    </row>
    <row r="210" spans="1:3" x14ac:dyDescent="0.2">
      <c r="A210" s="2">
        <v>209</v>
      </c>
      <c r="B210" s="22">
        <v>87000</v>
      </c>
      <c r="C210">
        <v>5</v>
      </c>
    </row>
    <row r="211" spans="1:3" x14ac:dyDescent="0.2">
      <c r="A211" s="2">
        <v>210</v>
      </c>
      <c r="B211" s="22">
        <v>22500</v>
      </c>
      <c r="C211">
        <v>3</v>
      </c>
    </row>
    <row r="212" spans="1:3" x14ac:dyDescent="0.2">
      <c r="A212" s="2">
        <v>211</v>
      </c>
      <c r="B212" s="22">
        <v>88500</v>
      </c>
      <c r="C212">
        <v>3</v>
      </c>
    </row>
    <row r="213" spans="1:3" x14ac:dyDescent="0.2">
      <c r="A213" s="2">
        <v>212</v>
      </c>
      <c r="B213" s="22">
        <v>41500</v>
      </c>
      <c r="C213">
        <v>2</v>
      </c>
    </row>
    <row r="214" spans="1:3" x14ac:dyDescent="0.2">
      <c r="A214" s="2">
        <v>213</v>
      </c>
      <c r="B214" s="22">
        <v>80000</v>
      </c>
      <c r="C214">
        <v>5</v>
      </c>
    </row>
    <row r="215" spans="1:3" x14ac:dyDescent="0.2">
      <c r="A215" s="2">
        <v>214</v>
      </c>
      <c r="B215" s="22">
        <v>56000</v>
      </c>
      <c r="C215">
        <v>3</v>
      </c>
    </row>
    <row r="216" spans="1:3" x14ac:dyDescent="0.2">
      <c r="A216" s="2">
        <v>215</v>
      </c>
      <c r="B216" s="22">
        <v>54500</v>
      </c>
      <c r="C216">
        <v>3</v>
      </c>
    </row>
    <row r="217" spans="1:3" x14ac:dyDescent="0.2">
      <c r="A217" s="2">
        <v>216</v>
      </c>
      <c r="B217" s="22">
        <v>48000</v>
      </c>
      <c r="C217">
        <v>3</v>
      </c>
    </row>
    <row r="218" spans="1:3" x14ac:dyDescent="0.2">
      <c r="A218" s="2">
        <v>217</v>
      </c>
      <c r="B218" s="22">
        <v>97000</v>
      </c>
      <c r="C218">
        <v>2</v>
      </c>
    </row>
    <row r="219" spans="1:3" x14ac:dyDescent="0.2">
      <c r="A219" s="2">
        <v>218</v>
      </c>
      <c r="B219" s="22">
        <v>56500</v>
      </c>
      <c r="C219">
        <v>2</v>
      </c>
    </row>
    <row r="220" spans="1:3" x14ac:dyDescent="0.2">
      <c r="A220" s="2">
        <v>219</v>
      </c>
      <c r="B220" s="22">
        <v>38500</v>
      </c>
      <c r="C220">
        <v>4</v>
      </c>
    </row>
    <row r="221" spans="1:3" x14ac:dyDescent="0.2">
      <c r="A221" s="2">
        <v>220</v>
      </c>
      <c r="B221" s="22">
        <v>38500</v>
      </c>
      <c r="C221">
        <v>3</v>
      </c>
    </row>
    <row r="222" spans="1:3" x14ac:dyDescent="0.2">
      <c r="A222" s="2">
        <v>221</v>
      </c>
      <c r="B222" s="22">
        <v>42000</v>
      </c>
      <c r="C222">
        <v>2</v>
      </c>
    </row>
    <row r="223" spans="1:3" x14ac:dyDescent="0.2">
      <c r="A223" s="2">
        <v>222</v>
      </c>
      <c r="B223" s="22">
        <v>41000</v>
      </c>
      <c r="C223">
        <v>3</v>
      </c>
    </row>
    <row r="224" spans="1:3" x14ac:dyDescent="0.2">
      <c r="A224" s="2">
        <v>223</v>
      </c>
      <c r="B224" s="22">
        <v>24000</v>
      </c>
      <c r="C224">
        <v>3</v>
      </c>
    </row>
    <row r="225" spans="1:3" x14ac:dyDescent="0.2">
      <c r="A225" s="2">
        <v>224</v>
      </c>
      <c r="B225" s="22">
        <v>57500</v>
      </c>
      <c r="C225">
        <v>4</v>
      </c>
    </row>
    <row r="226" spans="1:3" x14ac:dyDescent="0.2">
      <c r="A226" s="2">
        <v>225</v>
      </c>
      <c r="B226" s="22">
        <v>77000</v>
      </c>
      <c r="C226">
        <v>3</v>
      </c>
    </row>
    <row r="227" spans="1:3" x14ac:dyDescent="0.2">
      <c r="A227" s="2">
        <v>226</v>
      </c>
      <c r="B227" s="22">
        <v>89000</v>
      </c>
      <c r="C227">
        <v>3</v>
      </c>
    </row>
    <row r="228" spans="1:3" x14ac:dyDescent="0.2">
      <c r="A228" s="2">
        <v>227</v>
      </c>
      <c r="B228" s="22">
        <v>38500</v>
      </c>
      <c r="C228">
        <v>3</v>
      </c>
    </row>
    <row r="229" spans="1:3" x14ac:dyDescent="0.2">
      <c r="A229" s="2">
        <v>228</v>
      </c>
      <c r="B229" s="22">
        <v>21500</v>
      </c>
      <c r="C229">
        <v>1</v>
      </c>
    </row>
    <row r="230" spans="1:3" x14ac:dyDescent="0.2">
      <c r="A230" s="2">
        <v>229</v>
      </c>
      <c r="B230" s="22">
        <v>54500</v>
      </c>
      <c r="C230">
        <v>3</v>
      </c>
    </row>
    <row r="231" spans="1:3" x14ac:dyDescent="0.2">
      <c r="A231" s="2">
        <v>230</v>
      </c>
      <c r="B231" s="22">
        <v>70000</v>
      </c>
      <c r="C231">
        <v>3</v>
      </c>
    </row>
    <row r="232" spans="1:3" x14ac:dyDescent="0.2">
      <c r="A232" s="2">
        <v>231</v>
      </c>
      <c r="B232" s="22">
        <v>81500</v>
      </c>
      <c r="C232">
        <v>4</v>
      </c>
    </row>
    <row r="233" spans="1:3" x14ac:dyDescent="0.2">
      <c r="A233" s="2">
        <v>232</v>
      </c>
      <c r="B233" s="22">
        <v>36000</v>
      </c>
      <c r="C233">
        <v>3</v>
      </c>
    </row>
    <row r="234" spans="1:3" x14ac:dyDescent="0.2">
      <c r="A234" s="2">
        <v>233</v>
      </c>
      <c r="B234" s="22">
        <v>42500</v>
      </c>
      <c r="C234">
        <v>1</v>
      </c>
    </row>
    <row r="235" spans="1:3" x14ac:dyDescent="0.2">
      <c r="A235" s="2">
        <v>234</v>
      </c>
      <c r="B235" s="22">
        <v>40000</v>
      </c>
      <c r="C235">
        <v>2</v>
      </c>
    </row>
    <row r="236" spans="1:3" x14ac:dyDescent="0.2">
      <c r="A236" s="2">
        <v>235</v>
      </c>
      <c r="B236" s="22">
        <v>37500</v>
      </c>
      <c r="C236">
        <v>3</v>
      </c>
    </row>
    <row r="237" spans="1:3" x14ac:dyDescent="0.2">
      <c r="A237" s="2">
        <v>236</v>
      </c>
      <c r="B237" s="22">
        <v>43000</v>
      </c>
      <c r="C237">
        <v>3</v>
      </c>
    </row>
    <row r="238" spans="1:3" x14ac:dyDescent="0.2">
      <c r="A238" s="2">
        <v>237</v>
      </c>
      <c r="B238" s="22">
        <v>44500</v>
      </c>
      <c r="C238">
        <v>3</v>
      </c>
    </row>
    <row r="239" spans="1:3" x14ac:dyDescent="0.2">
      <c r="A239" s="2">
        <v>238</v>
      </c>
      <c r="B239" s="22">
        <v>41500</v>
      </c>
      <c r="C239">
        <v>4</v>
      </c>
    </row>
    <row r="240" spans="1:3" x14ac:dyDescent="0.2">
      <c r="A240" s="2">
        <v>239</v>
      </c>
      <c r="B240" s="22">
        <v>88000</v>
      </c>
      <c r="C240">
        <v>2</v>
      </c>
    </row>
    <row r="241" spans="1:3" x14ac:dyDescent="0.2">
      <c r="A241" s="2">
        <v>240</v>
      </c>
      <c r="B241" s="22">
        <v>40500</v>
      </c>
      <c r="C241">
        <v>4</v>
      </c>
    </row>
    <row r="242" spans="1:3" x14ac:dyDescent="0.2">
      <c r="A242" s="2">
        <v>241</v>
      </c>
      <c r="B242" s="22">
        <v>42500</v>
      </c>
      <c r="C242">
        <v>3</v>
      </c>
    </row>
    <row r="243" spans="1:3" x14ac:dyDescent="0.2">
      <c r="A243" s="2">
        <v>242</v>
      </c>
      <c r="B243" s="22">
        <v>41000</v>
      </c>
      <c r="C243">
        <v>1</v>
      </c>
    </row>
    <row r="244" spans="1:3" x14ac:dyDescent="0.2">
      <c r="A244" s="2">
        <v>243</v>
      </c>
      <c r="B244" s="22">
        <v>33500</v>
      </c>
      <c r="C244">
        <v>3</v>
      </c>
    </row>
    <row r="245" spans="1:3" x14ac:dyDescent="0.2">
      <c r="A245" s="2">
        <v>244</v>
      </c>
      <c r="B245" s="22">
        <v>43500</v>
      </c>
      <c r="C245">
        <v>4</v>
      </c>
    </row>
    <row r="246" spans="1:3" x14ac:dyDescent="0.2">
      <c r="A246" s="2">
        <v>245</v>
      </c>
      <c r="B246" s="22">
        <v>37500</v>
      </c>
      <c r="C246">
        <v>4</v>
      </c>
    </row>
    <row r="247" spans="1:3" x14ac:dyDescent="0.2">
      <c r="A247" s="2">
        <v>246</v>
      </c>
      <c r="B247" s="22">
        <v>42500</v>
      </c>
      <c r="C247">
        <v>4</v>
      </c>
    </row>
    <row r="248" spans="1:3" x14ac:dyDescent="0.2">
      <c r="A248" s="2">
        <v>247</v>
      </c>
      <c r="B248" s="22">
        <v>33500</v>
      </c>
      <c r="C248">
        <v>3</v>
      </c>
    </row>
    <row r="249" spans="1:3" x14ac:dyDescent="0.2">
      <c r="A249" s="2">
        <v>248</v>
      </c>
      <c r="B249" s="22">
        <v>46000</v>
      </c>
      <c r="C249">
        <v>5</v>
      </c>
    </row>
    <row r="250" spans="1:3" x14ac:dyDescent="0.2">
      <c r="A250" s="2">
        <v>249</v>
      </c>
      <c r="B250" s="22">
        <v>59500</v>
      </c>
      <c r="C250">
        <v>3</v>
      </c>
    </row>
    <row r="251" spans="1:3" x14ac:dyDescent="0.2">
      <c r="A251" s="2">
        <v>250</v>
      </c>
      <c r="B251" s="22">
        <v>52000</v>
      </c>
      <c r="C251">
        <v>4</v>
      </c>
    </row>
    <row r="252" spans="1:3" x14ac:dyDescent="0.2">
      <c r="A252" s="2">
        <v>251</v>
      </c>
      <c r="B252" s="22">
        <v>37500</v>
      </c>
      <c r="C252">
        <v>2</v>
      </c>
    </row>
    <row r="253" spans="1:3" x14ac:dyDescent="0.2">
      <c r="A253" s="2">
        <v>252</v>
      </c>
      <c r="B253" s="22">
        <v>80500</v>
      </c>
      <c r="C253">
        <v>3</v>
      </c>
    </row>
    <row r="254" spans="1:3" x14ac:dyDescent="0.2">
      <c r="A254" s="2">
        <v>253</v>
      </c>
      <c r="B254" s="22">
        <v>46000</v>
      </c>
      <c r="C254">
        <v>4</v>
      </c>
    </row>
    <row r="255" spans="1:3" x14ac:dyDescent="0.2">
      <c r="A255" s="2">
        <v>254</v>
      </c>
      <c r="B255" s="22">
        <v>70000</v>
      </c>
      <c r="C255">
        <v>3</v>
      </c>
    </row>
    <row r="256" spans="1:3" x14ac:dyDescent="0.2">
      <c r="A256" s="2">
        <v>255</v>
      </c>
      <c r="B256" s="22">
        <v>58000</v>
      </c>
      <c r="C256">
        <v>3</v>
      </c>
    </row>
    <row r="257" spans="1:3" x14ac:dyDescent="0.2">
      <c r="A257" s="2">
        <v>256</v>
      </c>
      <c r="B257" s="22">
        <v>33000</v>
      </c>
      <c r="C257">
        <v>4</v>
      </c>
    </row>
    <row r="258" spans="1:3" x14ac:dyDescent="0.2">
      <c r="A258" s="2">
        <v>257</v>
      </c>
      <c r="B258" s="22">
        <v>37000</v>
      </c>
      <c r="C258">
        <v>1</v>
      </c>
    </row>
    <row r="259" spans="1:3" x14ac:dyDescent="0.2">
      <c r="A259" s="2">
        <v>258</v>
      </c>
      <c r="B259" s="22">
        <v>75500</v>
      </c>
      <c r="C259">
        <v>3</v>
      </c>
    </row>
    <row r="260" spans="1:3" x14ac:dyDescent="0.2">
      <c r="A260" s="2">
        <v>259</v>
      </c>
      <c r="B260" s="22">
        <v>52500</v>
      </c>
      <c r="C260">
        <v>4</v>
      </c>
    </row>
    <row r="261" spans="1:3" x14ac:dyDescent="0.2">
      <c r="A261" s="2">
        <v>260</v>
      </c>
      <c r="B261" s="22">
        <v>42000</v>
      </c>
      <c r="C261">
        <v>3</v>
      </c>
    </row>
    <row r="262" spans="1:3" x14ac:dyDescent="0.2">
      <c r="A262" s="2">
        <v>261</v>
      </c>
      <c r="B262" s="22">
        <v>134500</v>
      </c>
      <c r="C262">
        <v>5</v>
      </c>
    </row>
    <row r="263" spans="1:3" x14ac:dyDescent="0.2">
      <c r="A263" s="2">
        <v>262</v>
      </c>
      <c r="B263" s="22">
        <v>37500</v>
      </c>
      <c r="C263">
        <v>4</v>
      </c>
    </row>
    <row r="264" spans="1:3" x14ac:dyDescent="0.2">
      <c r="A264" s="2">
        <v>263</v>
      </c>
      <c r="B264" s="22">
        <v>91000</v>
      </c>
      <c r="C264">
        <v>5</v>
      </c>
    </row>
    <row r="265" spans="1:3" x14ac:dyDescent="0.2">
      <c r="A265" s="2">
        <v>264</v>
      </c>
      <c r="B265" s="22">
        <v>58000</v>
      </c>
      <c r="C265">
        <v>3</v>
      </c>
    </row>
    <row r="266" spans="1:3" x14ac:dyDescent="0.2">
      <c r="A266" s="2">
        <v>265</v>
      </c>
      <c r="B266" s="22">
        <v>64500</v>
      </c>
      <c r="C266">
        <v>4</v>
      </c>
    </row>
    <row r="267" spans="1:3" x14ac:dyDescent="0.2">
      <c r="A267" s="2">
        <v>266</v>
      </c>
      <c r="B267" s="22">
        <v>75000</v>
      </c>
      <c r="C267">
        <v>3</v>
      </c>
    </row>
    <row r="268" spans="1:3" x14ac:dyDescent="0.2">
      <c r="A268" s="2">
        <v>267</v>
      </c>
      <c r="B268" s="22">
        <v>39000</v>
      </c>
      <c r="C268">
        <v>2</v>
      </c>
    </row>
    <row r="269" spans="1:3" x14ac:dyDescent="0.2">
      <c r="A269" s="2">
        <v>268</v>
      </c>
      <c r="B269" s="22">
        <v>41500</v>
      </c>
      <c r="C269">
        <v>3</v>
      </c>
    </row>
    <row r="270" spans="1:3" x14ac:dyDescent="0.2">
      <c r="A270" s="2">
        <v>269</v>
      </c>
      <c r="B270" s="22">
        <v>19000</v>
      </c>
      <c r="C270">
        <v>2</v>
      </c>
    </row>
    <row r="271" spans="1:3" x14ac:dyDescent="0.2">
      <c r="A271" s="2">
        <v>270</v>
      </c>
      <c r="B271" s="22">
        <v>43500</v>
      </c>
      <c r="C271">
        <v>4</v>
      </c>
    </row>
    <row r="272" spans="1:3" x14ac:dyDescent="0.2">
      <c r="A272" s="2">
        <v>271</v>
      </c>
      <c r="B272" s="22">
        <v>44000</v>
      </c>
      <c r="C272">
        <v>4</v>
      </c>
    </row>
    <row r="273" spans="1:3" x14ac:dyDescent="0.2">
      <c r="A273" s="2">
        <v>272</v>
      </c>
      <c r="B273" s="22">
        <v>38500</v>
      </c>
      <c r="C273">
        <v>3</v>
      </c>
    </row>
    <row r="274" spans="1:3" x14ac:dyDescent="0.2">
      <c r="A274" s="2">
        <v>273</v>
      </c>
      <c r="B274" s="22">
        <v>55500</v>
      </c>
      <c r="C274">
        <v>3</v>
      </c>
    </row>
    <row r="275" spans="1:3" x14ac:dyDescent="0.2">
      <c r="A275" s="2">
        <v>274</v>
      </c>
      <c r="B275" s="22">
        <v>40500</v>
      </c>
      <c r="C275">
        <v>4</v>
      </c>
    </row>
    <row r="276" spans="1:3" x14ac:dyDescent="0.2">
      <c r="A276" s="2">
        <v>275</v>
      </c>
      <c r="B276" s="22">
        <v>41000</v>
      </c>
      <c r="C276">
        <v>3</v>
      </c>
    </row>
    <row r="277" spans="1:3" x14ac:dyDescent="0.2">
      <c r="A277" s="2">
        <v>276</v>
      </c>
      <c r="B277" s="22">
        <v>36500</v>
      </c>
      <c r="C277">
        <v>5</v>
      </c>
    </row>
    <row r="278" spans="1:3" x14ac:dyDescent="0.2">
      <c r="A278" s="2">
        <v>277</v>
      </c>
      <c r="B278" s="22">
        <v>56000</v>
      </c>
      <c r="C278">
        <v>4</v>
      </c>
    </row>
    <row r="279" spans="1:3" x14ac:dyDescent="0.2">
      <c r="A279" s="2">
        <v>278</v>
      </c>
      <c r="B279" s="22">
        <v>57000</v>
      </c>
      <c r="C279">
        <v>4</v>
      </c>
    </row>
    <row r="280" spans="1:3" x14ac:dyDescent="0.2">
      <c r="A280" s="2">
        <v>279</v>
      </c>
      <c r="B280" s="22">
        <v>59000</v>
      </c>
      <c r="C280">
        <v>3</v>
      </c>
    </row>
    <row r="281" spans="1:3" x14ac:dyDescent="0.2">
      <c r="A281" s="2">
        <v>280</v>
      </c>
      <c r="B281" s="22">
        <v>38000</v>
      </c>
      <c r="C281">
        <v>3</v>
      </c>
    </row>
    <row r="282" spans="1:3" x14ac:dyDescent="0.2">
      <c r="A282" s="2">
        <v>281</v>
      </c>
      <c r="B282" s="22">
        <v>35500</v>
      </c>
      <c r="C282">
        <v>3</v>
      </c>
    </row>
    <row r="283" spans="1:3" x14ac:dyDescent="0.2">
      <c r="A283" s="2">
        <v>282</v>
      </c>
      <c r="B283" s="22">
        <v>43000</v>
      </c>
      <c r="C283">
        <v>4</v>
      </c>
    </row>
    <row r="284" spans="1:3" x14ac:dyDescent="0.2">
      <c r="A284" s="2">
        <v>283</v>
      </c>
      <c r="B284" s="22">
        <v>44500</v>
      </c>
      <c r="C284">
        <v>4</v>
      </c>
    </row>
    <row r="285" spans="1:3" x14ac:dyDescent="0.2">
      <c r="A285" s="2">
        <v>284</v>
      </c>
      <c r="B285" s="22">
        <v>44000</v>
      </c>
      <c r="C285">
        <v>3</v>
      </c>
    </row>
    <row r="286" spans="1:3" x14ac:dyDescent="0.2">
      <c r="A286" s="2">
        <v>285</v>
      </c>
      <c r="B286" s="22">
        <v>38500</v>
      </c>
      <c r="C286">
        <v>5</v>
      </c>
    </row>
    <row r="287" spans="1:3" x14ac:dyDescent="0.2">
      <c r="A287" s="2">
        <v>286</v>
      </c>
      <c r="B287" s="22">
        <v>42000</v>
      </c>
      <c r="C287">
        <v>3</v>
      </c>
    </row>
    <row r="288" spans="1:3" x14ac:dyDescent="0.2">
      <c r="A288" s="2">
        <v>287</v>
      </c>
      <c r="B288" s="22">
        <v>42500</v>
      </c>
      <c r="C288">
        <v>3</v>
      </c>
    </row>
    <row r="289" spans="1:3" x14ac:dyDescent="0.2">
      <c r="A289" s="2">
        <v>288</v>
      </c>
      <c r="B289" s="22">
        <v>40500</v>
      </c>
      <c r="C289">
        <v>3</v>
      </c>
    </row>
    <row r="290" spans="1:3" x14ac:dyDescent="0.2">
      <c r="A290" s="2">
        <v>289</v>
      </c>
      <c r="B290" s="22">
        <v>33500</v>
      </c>
      <c r="C290">
        <v>3</v>
      </c>
    </row>
    <row r="291" spans="1:3" x14ac:dyDescent="0.2">
      <c r="A291" s="2">
        <v>290</v>
      </c>
      <c r="B291" s="22">
        <v>45000</v>
      </c>
      <c r="C291">
        <v>5</v>
      </c>
    </row>
    <row r="292" spans="1:3" x14ac:dyDescent="0.2">
      <c r="A292" s="2">
        <v>291</v>
      </c>
      <c r="B292" s="22">
        <v>40000</v>
      </c>
      <c r="C292">
        <v>4</v>
      </c>
    </row>
    <row r="293" spans="1:3" x14ac:dyDescent="0.2">
      <c r="A293" s="2">
        <v>292</v>
      </c>
      <c r="B293" s="22">
        <v>35500</v>
      </c>
      <c r="C293">
        <v>4</v>
      </c>
    </row>
    <row r="294" spans="1:3" x14ac:dyDescent="0.2">
      <c r="A294" s="2">
        <v>293</v>
      </c>
      <c r="B294" s="22">
        <v>56000</v>
      </c>
      <c r="C294">
        <v>4</v>
      </c>
    </row>
    <row r="295" spans="1:3" x14ac:dyDescent="0.2">
      <c r="A295" s="2">
        <v>294</v>
      </c>
      <c r="B295" s="22">
        <v>34000</v>
      </c>
      <c r="C295">
        <v>3</v>
      </c>
    </row>
    <row r="296" spans="1:3" x14ac:dyDescent="0.2">
      <c r="A296" s="2">
        <v>295</v>
      </c>
      <c r="B296" s="22">
        <v>93000</v>
      </c>
      <c r="C296">
        <v>5</v>
      </c>
    </row>
    <row r="297" spans="1:3" x14ac:dyDescent="0.2">
      <c r="A297" s="2">
        <v>296</v>
      </c>
      <c r="B297" s="22">
        <v>38000</v>
      </c>
      <c r="C297">
        <v>4</v>
      </c>
    </row>
    <row r="298" spans="1:3" x14ac:dyDescent="0.2">
      <c r="A298" s="2">
        <v>297</v>
      </c>
      <c r="B298" s="22">
        <v>56500</v>
      </c>
      <c r="C298">
        <v>3</v>
      </c>
    </row>
    <row r="299" spans="1:3" x14ac:dyDescent="0.2">
      <c r="A299" s="2">
        <v>298</v>
      </c>
      <c r="B299" s="22">
        <v>58000</v>
      </c>
      <c r="C299">
        <v>4</v>
      </c>
    </row>
    <row r="300" spans="1:3" x14ac:dyDescent="0.2">
      <c r="A300" s="2">
        <v>299</v>
      </c>
      <c r="B300" s="22">
        <v>37500</v>
      </c>
      <c r="C300">
        <v>4</v>
      </c>
    </row>
    <row r="301" spans="1:3" x14ac:dyDescent="0.2">
      <c r="A301" s="2">
        <v>300</v>
      </c>
      <c r="B301" s="22">
        <v>70000</v>
      </c>
      <c r="C301">
        <v>3</v>
      </c>
    </row>
    <row r="302" spans="1:3" x14ac:dyDescent="0.2">
      <c r="A302" s="2">
        <v>301</v>
      </c>
      <c r="B302" s="22">
        <v>37500</v>
      </c>
      <c r="C302">
        <v>3</v>
      </c>
    </row>
    <row r="303" spans="1:3" x14ac:dyDescent="0.2">
      <c r="A303" s="2">
        <v>302</v>
      </c>
      <c r="B303" s="22">
        <v>71500</v>
      </c>
      <c r="C303">
        <v>3</v>
      </c>
    </row>
    <row r="304" spans="1:3" x14ac:dyDescent="0.2">
      <c r="A304" s="2">
        <v>303</v>
      </c>
      <c r="B304" s="22">
        <v>39500</v>
      </c>
      <c r="C304">
        <v>3</v>
      </c>
    </row>
    <row r="305" spans="1:3" x14ac:dyDescent="0.2">
      <c r="A305" s="2">
        <v>304</v>
      </c>
      <c r="B305" s="22">
        <v>38000</v>
      </c>
      <c r="C305">
        <v>3</v>
      </c>
    </row>
    <row r="306" spans="1:3" x14ac:dyDescent="0.2">
      <c r="A306" s="2">
        <v>305</v>
      </c>
      <c r="B306" s="22">
        <v>39000</v>
      </c>
      <c r="C306">
        <v>4</v>
      </c>
    </row>
    <row r="307" spans="1:3" x14ac:dyDescent="0.2">
      <c r="A307" s="2">
        <v>306</v>
      </c>
      <c r="B307" s="22">
        <v>45500</v>
      </c>
      <c r="C307">
        <v>3</v>
      </c>
    </row>
    <row r="308" spans="1:3" x14ac:dyDescent="0.2">
      <c r="A308" s="2">
        <v>307</v>
      </c>
      <c r="B308" s="22">
        <v>41000</v>
      </c>
      <c r="C308">
        <v>1</v>
      </c>
    </row>
    <row r="309" spans="1:3" x14ac:dyDescent="0.2">
      <c r="A309" s="2">
        <v>308</v>
      </c>
      <c r="B309" s="22">
        <v>46000</v>
      </c>
      <c r="C309">
        <v>3</v>
      </c>
    </row>
    <row r="310" spans="1:3" x14ac:dyDescent="0.2">
      <c r="A310" s="2">
        <v>309</v>
      </c>
      <c r="B310" s="22">
        <v>51500</v>
      </c>
      <c r="C310">
        <v>3</v>
      </c>
    </row>
    <row r="311" spans="1:3" x14ac:dyDescent="0.2">
      <c r="A311" s="2">
        <v>310</v>
      </c>
      <c r="B311" s="22">
        <v>46000</v>
      </c>
      <c r="C311">
        <v>3</v>
      </c>
    </row>
    <row r="312" spans="1:3" x14ac:dyDescent="0.2">
      <c r="A312" s="2">
        <v>311</v>
      </c>
      <c r="B312" s="22">
        <v>42500</v>
      </c>
      <c r="C312">
        <v>4</v>
      </c>
    </row>
    <row r="313" spans="1:3" x14ac:dyDescent="0.2">
      <c r="A313" s="2">
        <v>312</v>
      </c>
      <c r="B313" s="22">
        <v>34000</v>
      </c>
      <c r="C313">
        <v>2</v>
      </c>
    </row>
    <row r="314" spans="1:3" x14ac:dyDescent="0.2">
      <c r="A314" s="2">
        <v>313</v>
      </c>
      <c r="B314" s="22">
        <v>36000</v>
      </c>
      <c r="C314">
        <v>3</v>
      </c>
    </row>
    <row r="315" spans="1:3" x14ac:dyDescent="0.2">
      <c r="A315" s="2">
        <v>314</v>
      </c>
      <c r="B315" s="22">
        <v>35500</v>
      </c>
      <c r="C315">
        <v>4</v>
      </c>
    </row>
    <row r="316" spans="1:3" x14ac:dyDescent="0.2">
      <c r="A316" s="2">
        <v>315</v>
      </c>
      <c r="B316" s="22">
        <v>57000</v>
      </c>
      <c r="C316">
        <v>4</v>
      </c>
    </row>
    <row r="317" spans="1:3" x14ac:dyDescent="0.2">
      <c r="A317" s="2">
        <v>316</v>
      </c>
      <c r="B317" s="22">
        <v>36000</v>
      </c>
      <c r="C317">
        <v>3</v>
      </c>
    </row>
    <row r="318" spans="1:3" x14ac:dyDescent="0.2">
      <c r="A318" s="2">
        <v>317</v>
      </c>
      <c r="B318" s="22">
        <v>87500</v>
      </c>
      <c r="C318">
        <v>4</v>
      </c>
    </row>
    <row r="319" spans="1:3" x14ac:dyDescent="0.2">
      <c r="A319" s="2">
        <v>318</v>
      </c>
      <c r="B319" s="22">
        <v>35000</v>
      </c>
      <c r="C319">
        <v>4</v>
      </c>
    </row>
    <row r="320" spans="1:3" x14ac:dyDescent="0.2">
      <c r="A320" s="2">
        <v>319</v>
      </c>
      <c r="B320" s="22">
        <v>40500</v>
      </c>
      <c r="C320">
        <v>4</v>
      </c>
    </row>
    <row r="321" spans="1:3" x14ac:dyDescent="0.2">
      <c r="A321" s="2">
        <v>320</v>
      </c>
      <c r="B321" s="22">
        <v>65500</v>
      </c>
      <c r="C321">
        <v>3</v>
      </c>
    </row>
    <row r="322" spans="1:3" x14ac:dyDescent="0.2">
      <c r="A322" s="2">
        <v>321</v>
      </c>
      <c r="B322" s="22">
        <v>54500</v>
      </c>
      <c r="C322">
        <v>3</v>
      </c>
    </row>
    <row r="323" spans="1:3" x14ac:dyDescent="0.2">
      <c r="A323" s="2">
        <v>322</v>
      </c>
      <c r="B323" s="22">
        <v>42000</v>
      </c>
      <c r="C323">
        <v>5</v>
      </c>
    </row>
    <row r="324" spans="1:3" x14ac:dyDescent="0.2">
      <c r="A324" s="2">
        <v>323</v>
      </c>
      <c r="B324" s="22">
        <v>57000</v>
      </c>
      <c r="C324">
        <v>4</v>
      </c>
    </row>
    <row r="325" spans="1:3" x14ac:dyDescent="0.2">
      <c r="A325" s="2">
        <v>324</v>
      </c>
      <c r="B325" s="22">
        <v>34500</v>
      </c>
      <c r="C325">
        <v>5</v>
      </c>
    </row>
    <row r="326" spans="1:3" x14ac:dyDescent="0.2">
      <c r="A326" s="2">
        <v>325</v>
      </c>
      <c r="B326" s="22">
        <v>41000</v>
      </c>
      <c r="C326">
        <v>3</v>
      </c>
    </row>
    <row r="327" spans="1:3" x14ac:dyDescent="0.2">
      <c r="A327" s="2">
        <v>326</v>
      </c>
      <c r="B327" s="22">
        <v>67500</v>
      </c>
      <c r="C327">
        <v>3</v>
      </c>
    </row>
    <row r="328" spans="1:3" x14ac:dyDescent="0.2">
      <c r="A328" s="2">
        <v>327</v>
      </c>
      <c r="B328" s="22">
        <v>37500</v>
      </c>
      <c r="C328">
        <v>3</v>
      </c>
    </row>
    <row r="329" spans="1:3" x14ac:dyDescent="0.2">
      <c r="A329" s="2">
        <v>328</v>
      </c>
      <c r="B329" s="22">
        <v>39500</v>
      </c>
      <c r="C329">
        <v>3</v>
      </c>
    </row>
    <row r="330" spans="1:3" x14ac:dyDescent="0.2">
      <c r="A330" s="2">
        <v>329</v>
      </c>
      <c r="B330" s="22">
        <v>58500</v>
      </c>
      <c r="C330">
        <v>4</v>
      </c>
    </row>
    <row r="331" spans="1:3" x14ac:dyDescent="0.2">
      <c r="A331" s="2">
        <v>330</v>
      </c>
      <c r="B331" s="22">
        <v>73000</v>
      </c>
      <c r="C331">
        <v>5</v>
      </c>
    </row>
    <row r="332" spans="1:3" x14ac:dyDescent="0.2">
      <c r="A332" s="2">
        <v>331</v>
      </c>
      <c r="B332" s="22">
        <v>41500</v>
      </c>
      <c r="C332">
        <v>2</v>
      </c>
    </row>
    <row r="333" spans="1:3" x14ac:dyDescent="0.2">
      <c r="A333" s="2">
        <v>332</v>
      </c>
      <c r="B333" s="22">
        <v>58000</v>
      </c>
      <c r="C333">
        <v>3</v>
      </c>
    </row>
    <row r="334" spans="1:3" x14ac:dyDescent="0.2">
      <c r="A334" s="2">
        <v>333</v>
      </c>
      <c r="B334" s="22">
        <v>37000</v>
      </c>
      <c r="C334">
        <v>3</v>
      </c>
    </row>
    <row r="335" spans="1:3" x14ac:dyDescent="0.2">
      <c r="A335" s="2">
        <v>334</v>
      </c>
      <c r="B335" s="22">
        <v>75500</v>
      </c>
      <c r="C335">
        <v>3</v>
      </c>
    </row>
    <row r="336" spans="1:3" x14ac:dyDescent="0.2">
      <c r="A336" s="2">
        <v>335</v>
      </c>
      <c r="B336" s="22">
        <v>43500</v>
      </c>
      <c r="C336">
        <v>4</v>
      </c>
    </row>
    <row r="337" spans="1:3" x14ac:dyDescent="0.2">
      <c r="A337" s="2">
        <v>336</v>
      </c>
      <c r="B337" s="22">
        <v>34000</v>
      </c>
      <c r="C337">
        <v>2</v>
      </c>
    </row>
    <row r="338" spans="1:3" x14ac:dyDescent="0.2">
      <c r="A338" s="2">
        <v>337</v>
      </c>
      <c r="B338" s="22">
        <v>27000</v>
      </c>
      <c r="C338">
        <v>3</v>
      </c>
    </row>
    <row r="339" spans="1:3" x14ac:dyDescent="0.2">
      <c r="A339" s="2">
        <v>338</v>
      </c>
      <c r="B339" s="22">
        <v>43500</v>
      </c>
      <c r="C339">
        <v>3</v>
      </c>
    </row>
    <row r="340" spans="1:3" x14ac:dyDescent="0.2">
      <c r="A340" s="2">
        <v>339</v>
      </c>
      <c r="B340" s="22">
        <v>37000</v>
      </c>
      <c r="C340">
        <v>3</v>
      </c>
    </row>
    <row r="341" spans="1:3" x14ac:dyDescent="0.2">
      <c r="A341" s="2">
        <v>340</v>
      </c>
      <c r="B341" s="22">
        <v>103500</v>
      </c>
      <c r="C341">
        <v>3</v>
      </c>
    </row>
    <row r="342" spans="1:3" x14ac:dyDescent="0.2">
      <c r="A342" s="2">
        <v>341</v>
      </c>
      <c r="B342" s="22">
        <v>41500</v>
      </c>
      <c r="C342">
        <v>3</v>
      </c>
    </row>
    <row r="343" spans="1:3" x14ac:dyDescent="0.2">
      <c r="A343" s="2">
        <v>342</v>
      </c>
      <c r="B343" s="22">
        <v>37000</v>
      </c>
      <c r="C343">
        <v>3</v>
      </c>
    </row>
    <row r="344" spans="1:3" x14ac:dyDescent="0.2">
      <c r="A344" s="2">
        <v>343</v>
      </c>
      <c r="B344" s="22">
        <v>33500</v>
      </c>
      <c r="C344">
        <v>2</v>
      </c>
    </row>
    <row r="345" spans="1:3" x14ac:dyDescent="0.2">
      <c r="A345" s="2">
        <v>344</v>
      </c>
      <c r="B345" s="22">
        <v>43000</v>
      </c>
      <c r="C345">
        <v>4</v>
      </c>
    </row>
    <row r="346" spans="1:3" x14ac:dyDescent="0.2">
      <c r="A346" s="2">
        <v>345</v>
      </c>
      <c r="B346" s="22">
        <v>33500</v>
      </c>
      <c r="C346">
        <v>3</v>
      </c>
    </row>
    <row r="347" spans="1:3" x14ac:dyDescent="0.2">
      <c r="A347" s="2">
        <v>346</v>
      </c>
      <c r="B347" s="22">
        <v>89000</v>
      </c>
      <c r="C347">
        <v>3</v>
      </c>
    </row>
    <row r="348" spans="1:3" x14ac:dyDescent="0.2">
      <c r="A348" s="2">
        <v>347</v>
      </c>
      <c r="B348" s="22">
        <v>39000</v>
      </c>
      <c r="C348">
        <v>3</v>
      </c>
    </row>
    <row r="349" spans="1:3" x14ac:dyDescent="0.2">
      <c r="A349" s="2">
        <v>348</v>
      </c>
      <c r="B349" s="22">
        <v>55000</v>
      </c>
      <c r="C349">
        <v>2</v>
      </c>
    </row>
    <row r="350" spans="1:3" x14ac:dyDescent="0.2">
      <c r="A350" s="2">
        <v>349</v>
      </c>
      <c r="B350" s="22">
        <v>55000</v>
      </c>
      <c r="C350">
        <v>3</v>
      </c>
    </row>
    <row r="351" spans="1:3" x14ac:dyDescent="0.2">
      <c r="A351" s="2">
        <v>350</v>
      </c>
      <c r="B351" s="22">
        <v>46000</v>
      </c>
      <c r="C351">
        <v>5</v>
      </c>
    </row>
    <row r="352" spans="1:3" x14ac:dyDescent="0.2">
      <c r="A352" s="2">
        <v>351</v>
      </c>
      <c r="B352" s="22">
        <v>42500</v>
      </c>
      <c r="C352">
        <v>3</v>
      </c>
    </row>
    <row r="353" spans="1:3" x14ac:dyDescent="0.2">
      <c r="A353" s="2">
        <v>352</v>
      </c>
      <c r="B353" s="22">
        <v>58500</v>
      </c>
      <c r="C353">
        <v>4</v>
      </c>
    </row>
    <row r="354" spans="1:3" x14ac:dyDescent="0.2">
      <c r="A354" s="2">
        <v>353</v>
      </c>
      <c r="B354" s="22">
        <v>34500</v>
      </c>
      <c r="C354">
        <v>3</v>
      </c>
    </row>
    <row r="355" spans="1:3" x14ac:dyDescent="0.2">
      <c r="A355" s="2">
        <v>354</v>
      </c>
      <c r="B355" s="22">
        <v>42000</v>
      </c>
      <c r="C355">
        <v>3</v>
      </c>
    </row>
    <row r="356" spans="1:3" x14ac:dyDescent="0.2">
      <c r="A356" s="2">
        <v>355</v>
      </c>
      <c r="B356" s="22">
        <v>41500</v>
      </c>
      <c r="C356">
        <v>4</v>
      </c>
    </row>
    <row r="357" spans="1:3" x14ac:dyDescent="0.2">
      <c r="A357" s="2">
        <v>356</v>
      </c>
      <c r="B357" s="22">
        <v>43000</v>
      </c>
      <c r="C357">
        <v>3</v>
      </c>
    </row>
    <row r="358" spans="1:3" x14ac:dyDescent="0.2">
      <c r="A358" s="2">
        <v>357</v>
      </c>
      <c r="B358" s="22">
        <v>54000</v>
      </c>
      <c r="C358">
        <v>3</v>
      </c>
    </row>
    <row r="359" spans="1:3" x14ac:dyDescent="0.2">
      <c r="A359" s="2">
        <v>358</v>
      </c>
      <c r="B359" s="22">
        <v>56500</v>
      </c>
      <c r="C359">
        <v>3</v>
      </c>
    </row>
    <row r="360" spans="1:3" x14ac:dyDescent="0.2">
      <c r="A360" s="2">
        <v>359</v>
      </c>
      <c r="B360" s="22">
        <v>73000</v>
      </c>
      <c r="C360">
        <v>4</v>
      </c>
    </row>
    <row r="361" spans="1:3" x14ac:dyDescent="0.2">
      <c r="A361" s="2">
        <v>360</v>
      </c>
      <c r="B361" s="22">
        <v>53500</v>
      </c>
      <c r="C361">
        <v>1</v>
      </c>
    </row>
    <row r="362" spans="1:3" x14ac:dyDescent="0.2">
      <c r="A362" s="2">
        <v>361</v>
      </c>
      <c r="B362" s="22">
        <v>58000</v>
      </c>
      <c r="C362">
        <v>4</v>
      </c>
    </row>
    <row r="363" spans="1:3" x14ac:dyDescent="0.2">
      <c r="A363" s="2">
        <v>362</v>
      </c>
      <c r="B363" s="22">
        <v>37500</v>
      </c>
      <c r="C363">
        <v>4</v>
      </c>
    </row>
    <row r="364" spans="1:3" x14ac:dyDescent="0.2">
      <c r="A364" s="2">
        <v>363</v>
      </c>
      <c r="B364" s="22">
        <v>38500</v>
      </c>
      <c r="C364">
        <v>3</v>
      </c>
    </row>
    <row r="365" spans="1:3" x14ac:dyDescent="0.2">
      <c r="A365" s="2">
        <v>364</v>
      </c>
      <c r="B365" s="22">
        <v>58000</v>
      </c>
      <c r="C365">
        <v>3</v>
      </c>
    </row>
    <row r="366" spans="1:3" x14ac:dyDescent="0.2">
      <c r="A366" s="2">
        <v>365</v>
      </c>
      <c r="B366" s="22">
        <v>90500</v>
      </c>
      <c r="C366">
        <v>3</v>
      </c>
    </row>
    <row r="367" spans="1:3" x14ac:dyDescent="0.2">
      <c r="A367" s="2">
        <v>366</v>
      </c>
      <c r="B367" s="22">
        <v>34500</v>
      </c>
      <c r="C367">
        <v>3</v>
      </c>
    </row>
    <row r="368" spans="1:3" x14ac:dyDescent="0.2">
      <c r="A368" s="2">
        <v>367</v>
      </c>
      <c r="B368" s="22">
        <v>45500</v>
      </c>
      <c r="C368">
        <v>3</v>
      </c>
    </row>
    <row r="369" spans="1:3" x14ac:dyDescent="0.2">
      <c r="A369" s="2">
        <v>368</v>
      </c>
      <c r="B369" s="22">
        <v>62000</v>
      </c>
      <c r="C369">
        <v>5</v>
      </c>
    </row>
    <row r="370" spans="1:3" x14ac:dyDescent="0.2">
      <c r="A370" s="2">
        <v>369</v>
      </c>
      <c r="B370" s="22">
        <v>71500</v>
      </c>
      <c r="C370">
        <v>3</v>
      </c>
    </row>
    <row r="371" spans="1:3" x14ac:dyDescent="0.2">
      <c r="A371" s="2">
        <v>370</v>
      </c>
      <c r="B371" s="22">
        <v>36500</v>
      </c>
      <c r="C371">
        <v>4</v>
      </c>
    </row>
    <row r="372" spans="1:3" x14ac:dyDescent="0.2">
      <c r="A372" s="2">
        <v>371</v>
      </c>
      <c r="B372" s="22">
        <v>42500</v>
      </c>
      <c r="C372">
        <v>4</v>
      </c>
    </row>
    <row r="373" spans="1:3" x14ac:dyDescent="0.2">
      <c r="A373" s="2">
        <v>372</v>
      </c>
      <c r="B373" s="22">
        <v>35500</v>
      </c>
      <c r="C373">
        <v>2</v>
      </c>
    </row>
    <row r="374" spans="1:3" x14ac:dyDescent="0.2">
      <c r="A374" s="2">
        <v>373</v>
      </c>
      <c r="B374" s="22">
        <v>40500</v>
      </c>
      <c r="C374">
        <v>4</v>
      </c>
    </row>
    <row r="375" spans="1:3" x14ac:dyDescent="0.2">
      <c r="A375" s="2">
        <v>374</v>
      </c>
      <c r="B375" s="22">
        <v>56500</v>
      </c>
      <c r="C375">
        <v>4</v>
      </c>
    </row>
    <row r="376" spans="1:3" x14ac:dyDescent="0.2">
      <c r="A376" s="2">
        <v>375</v>
      </c>
      <c r="B376" s="22">
        <v>33500</v>
      </c>
      <c r="C376">
        <v>1</v>
      </c>
    </row>
    <row r="377" spans="1:3" x14ac:dyDescent="0.2">
      <c r="A377" s="2">
        <v>376</v>
      </c>
      <c r="B377" s="22">
        <v>87000</v>
      </c>
      <c r="C377">
        <v>3</v>
      </c>
    </row>
    <row r="378" spans="1:3" x14ac:dyDescent="0.2">
      <c r="A378" s="2">
        <v>377</v>
      </c>
      <c r="B378" s="22">
        <v>30000</v>
      </c>
      <c r="C378">
        <v>2</v>
      </c>
    </row>
    <row r="379" spans="1:3" x14ac:dyDescent="0.2">
      <c r="A379" s="2">
        <v>378</v>
      </c>
      <c r="B379" s="22">
        <v>39500</v>
      </c>
      <c r="C379">
        <v>3</v>
      </c>
    </row>
    <row r="380" spans="1:3" x14ac:dyDescent="0.2">
      <c r="A380" s="2">
        <v>379</v>
      </c>
      <c r="B380" s="22">
        <v>37000</v>
      </c>
      <c r="C380">
        <v>4</v>
      </c>
    </row>
    <row r="381" spans="1:3" x14ac:dyDescent="0.2">
      <c r="A381" s="2">
        <v>380</v>
      </c>
      <c r="B381" s="22">
        <v>43000</v>
      </c>
      <c r="C381">
        <v>5</v>
      </c>
    </row>
    <row r="382" spans="1:3" x14ac:dyDescent="0.2">
      <c r="A382" s="2">
        <v>381</v>
      </c>
      <c r="B382" s="22">
        <v>112000</v>
      </c>
      <c r="C382">
        <v>3</v>
      </c>
    </row>
    <row r="383" spans="1:3" x14ac:dyDescent="0.2">
      <c r="A383" s="2">
        <v>382</v>
      </c>
      <c r="B383" s="22">
        <v>86500</v>
      </c>
      <c r="C383">
        <v>3</v>
      </c>
    </row>
    <row r="384" spans="1:3" x14ac:dyDescent="0.2">
      <c r="A384" s="2">
        <v>383</v>
      </c>
      <c r="B384" s="22">
        <v>34500</v>
      </c>
      <c r="C384">
        <v>4</v>
      </c>
    </row>
    <row r="385" spans="1:3" x14ac:dyDescent="0.2">
      <c r="A385" s="2">
        <v>384</v>
      </c>
      <c r="B385" s="22">
        <v>30500</v>
      </c>
      <c r="C385">
        <v>3</v>
      </c>
    </row>
    <row r="386" spans="1:3" x14ac:dyDescent="0.2">
      <c r="A386" s="2">
        <v>385</v>
      </c>
      <c r="B386" s="22">
        <v>27500</v>
      </c>
      <c r="C386">
        <v>4</v>
      </c>
    </row>
    <row r="387" spans="1:3" x14ac:dyDescent="0.2">
      <c r="A387" s="2">
        <v>386</v>
      </c>
      <c r="B387" s="22">
        <v>44000</v>
      </c>
      <c r="C387">
        <v>4</v>
      </c>
    </row>
    <row r="388" spans="1:3" x14ac:dyDescent="0.2">
      <c r="A388" s="2">
        <v>387</v>
      </c>
      <c r="B388" s="22">
        <v>35000</v>
      </c>
      <c r="C388">
        <v>2</v>
      </c>
    </row>
    <row r="389" spans="1:3" x14ac:dyDescent="0.2">
      <c r="A389" s="2">
        <v>388</v>
      </c>
      <c r="B389" s="22">
        <v>94000</v>
      </c>
      <c r="C389">
        <v>3</v>
      </c>
    </row>
    <row r="390" spans="1:3" x14ac:dyDescent="0.2">
      <c r="A390" s="2">
        <v>389</v>
      </c>
      <c r="B390" s="22">
        <v>40000</v>
      </c>
      <c r="C390">
        <v>4</v>
      </c>
    </row>
    <row r="391" spans="1:3" x14ac:dyDescent="0.2">
      <c r="A391" s="2">
        <v>390</v>
      </c>
      <c r="B391" s="22">
        <v>37000</v>
      </c>
      <c r="C391">
        <v>3</v>
      </c>
    </row>
    <row r="392" spans="1:3" x14ac:dyDescent="0.2">
      <c r="A392" s="2">
        <v>391</v>
      </c>
      <c r="B392" s="22">
        <v>59500</v>
      </c>
      <c r="C392">
        <v>3</v>
      </c>
    </row>
    <row r="393" spans="1:3" x14ac:dyDescent="0.2">
      <c r="A393" s="2">
        <v>392</v>
      </c>
      <c r="B393" s="22">
        <v>43500</v>
      </c>
      <c r="C393">
        <v>2</v>
      </c>
    </row>
    <row r="394" spans="1:3" x14ac:dyDescent="0.2">
      <c r="A394" s="2">
        <v>393</v>
      </c>
      <c r="B394" s="22">
        <v>45500</v>
      </c>
      <c r="C394">
        <v>3</v>
      </c>
    </row>
    <row r="395" spans="1:3" x14ac:dyDescent="0.2">
      <c r="A395" s="2">
        <v>394</v>
      </c>
      <c r="B395" s="22">
        <v>72500</v>
      </c>
      <c r="C395">
        <v>3</v>
      </c>
    </row>
    <row r="396" spans="1:3" x14ac:dyDescent="0.2">
      <c r="A396" s="2">
        <v>395</v>
      </c>
      <c r="B396" s="22">
        <v>72500</v>
      </c>
      <c r="C396">
        <v>3</v>
      </c>
    </row>
    <row r="397" spans="1:3" x14ac:dyDescent="0.2">
      <c r="A397" s="2">
        <v>396</v>
      </c>
      <c r="B397" s="22">
        <v>57500</v>
      </c>
      <c r="C397">
        <v>2</v>
      </c>
    </row>
    <row r="398" spans="1:3" x14ac:dyDescent="0.2">
      <c r="A398" s="2">
        <v>397</v>
      </c>
      <c r="B398" s="22">
        <v>55500</v>
      </c>
      <c r="C398">
        <v>3</v>
      </c>
    </row>
    <row r="399" spans="1:3" x14ac:dyDescent="0.2">
      <c r="A399" s="2">
        <v>398</v>
      </c>
      <c r="B399" s="22">
        <v>58000</v>
      </c>
      <c r="C399">
        <v>3</v>
      </c>
    </row>
    <row r="400" spans="1:3" x14ac:dyDescent="0.2">
      <c r="A400" s="2">
        <v>399</v>
      </c>
      <c r="B400" s="22">
        <v>34000</v>
      </c>
      <c r="C400">
        <v>3</v>
      </c>
    </row>
    <row r="401" spans="1:3" x14ac:dyDescent="0.2">
      <c r="A401" s="2">
        <v>400</v>
      </c>
      <c r="B401" s="22">
        <v>35000</v>
      </c>
      <c r="C401">
        <v>4</v>
      </c>
    </row>
    <row r="402" spans="1:3" x14ac:dyDescent="0.2">
      <c r="A402" s="2">
        <v>401</v>
      </c>
      <c r="B402" s="22">
        <v>43500</v>
      </c>
      <c r="C402">
        <v>3</v>
      </c>
    </row>
    <row r="403" spans="1:3" x14ac:dyDescent="0.2">
      <c r="A403" s="2">
        <v>402</v>
      </c>
      <c r="B403" s="22">
        <v>46500</v>
      </c>
      <c r="C403">
        <v>3</v>
      </c>
    </row>
    <row r="404" spans="1:3" x14ac:dyDescent="0.2">
      <c r="A404" s="2">
        <v>403</v>
      </c>
      <c r="B404" s="22">
        <v>43000</v>
      </c>
      <c r="C404">
        <v>3</v>
      </c>
    </row>
    <row r="405" spans="1:3" x14ac:dyDescent="0.2">
      <c r="A405" s="2">
        <v>404</v>
      </c>
      <c r="B405" s="22">
        <v>75000</v>
      </c>
      <c r="C405">
        <v>4</v>
      </c>
    </row>
    <row r="406" spans="1:3" x14ac:dyDescent="0.2">
      <c r="A406" s="2">
        <v>405</v>
      </c>
      <c r="B406" s="22">
        <v>57000</v>
      </c>
      <c r="C406">
        <v>4</v>
      </c>
    </row>
    <row r="407" spans="1:3" x14ac:dyDescent="0.2">
      <c r="A407" s="2">
        <v>406</v>
      </c>
      <c r="B407" s="22">
        <v>57000</v>
      </c>
      <c r="C407">
        <v>3</v>
      </c>
    </row>
    <row r="408" spans="1:3" x14ac:dyDescent="0.2">
      <c r="A408" s="2">
        <v>407</v>
      </c>
      <c r="B408" s="22">
        <v>71000</v>
      </c>
      <c r="C408">
        <v>3</v>
      </c>
    </row>
    <row r="409" spans="1:3" x14ac:dyDescent="0.2">
      <c r="A409" s="2">
        <v>408</v>
      </c>
      <c r="B409" s="22">
        <v>25500</v>
      </c>
      <c r="C409">
        <v>5</v>
      </c>
    </row>
    <row r="410" spans="1:3" x14ac:dyDescent="0.2">
      <c r="A410" s="2">
        <v>409</v>
      </c>
      <c r="B410" s="22">
        <v>35000</v>
      </c>
      <c r="C410">
        <v>3</v>
      </c>
    </row>
    <row r="411" spans="1:3" x14ac:dyDescent="0.2">
      <c r="A411" s="2">
        <v>410</v>
      </c>
      <c r="B411" s="22">
        <v>39500</v>
      </c>
      <c r="C411">
        <v>4</v>
      </c>
    </row>
    <row r="412" spans="1:3" x14ac:dyDescent="0.2">
      <c r="A412" s="2">
        <v>411</v>
      </c>
      <c r="B412" s="22">
        <v>57500</v>
      </c>
      <c r="C412">
        <v>4</v>
      </c>
    </row>
    <row r="413" spans="1:3" x14ac:dyDescent="0.2">
      <c r="A413" s="2">
        <v>412</v>
      </c>
      <c r="B413" s="22">
        <v>76000</v>
      </c>
      <c r="C413">
        <v>4</v>
      </c>
    </row>
    <row r="414" spans="1:3" x14ac:dyDescent="0.2">
      <c r="A414" s="2">
        <v>413</v>
      </c>
      <c r="B414" s="22">
        <v>46000</v>
      </c>
      <c r="C414">
        <v>4</v>
      </c>
    </row>
    <row r="415" spans="1:3" x14ac:dyDescent="0.2">
      <c r="A415" s="2">
        <v>414</v>
      </c>
      <c r="B415" s="22">
        <v>35500</v>
      </c>
      <c r="C415">
        <v>3</v>
      </c>
    </row>
    <row r="416" spans="1:3" x14ac:dyDescent="0.2">
      <c r="A416" s="2">
        <v>415</v>
      </c>
      <c r="B416" s="22">
        <v>44000</v>
      </c>
      <c r="C416">
        <v>3</v>
      </c>
    </row>
    <row r="417" spans="1:3" x14ac:dyDescent="0.2">
      <c r="A417" s="2">
        <v>416</v>
      </c>
      <c r="B417" s="22">
        <v>47000</v>
      </c>
      <c r="C417">
        <v>5</v>
      </c>
    </row>
    <row r="418" spans="1:3" x14ac:dyDescent="0.2">
      <c r="A418" s="2">
        <v>417</v>
      </c>
      <c r="B418" s="22">
        <v>56500</v>
      </c>
      <c r="C418">
        <v>3</v>
      </c>
    </row>
    <row r="419" spans="1:3" x14ac:dyDescent="0.2">
      <c r="A419" s="2">
        <v>418</v>
      </c>
      <c r="B419" s="22">
        <v>90000</v>
      </c>
      <c r="C419">
        <v>5</v>
      </c>
    </row>
    <row r="420" spans="1:3" x14ac:dyDescent="0.2">
      <c r="A420" s="2">
        <v>419</v>
      </c>
      <c r="B420" s="22">
        <v>36000</v>
      </c>
      <c r="C420">
        <v>3</v>
      </c>
    </row>
    <row r="421" spans="1:3" x14ac:dyDescent="0.2">
      <c r="A421" s="2">
        <v>420</v>
      </c>
      <c r="B421" s="22">
        <v>60500</v>
      </c>
      <c r="C421">
        <v>3</v>
      </c>
    </row>
    <row r="422" spans="1:3" x14ac:dyDescent="0.2">
      <c r="A422" s="2">
        <v>421</v>
      </c>
      <c r="B422" s="22">
        <v>34000</v>
      </c>
      <c r="C422">
        <v>4</v>
      </c>
    </row>
    <row r="423" spans="1:3" x14ac:dyDescent="0.2">
      <c r="A423" s="2">
        <v>422</v>
      </c>
      <c r="B423" s="22">
        <v>57000</v>
      </c>
      <c r="C423">
        <v>3</v>
      </c>
    </row>
    <row r="424" spans="1:3" x14ac:dyDescent="0.2">
      <c r="A424" s="2">
        <v>423</v>
      </c>
      <c r="B424" s="22">
        <v>81000</v>
      </c>
      <c r="C424">
        <v>4</v>
      </c>
    </row>
    <row r="425" spans="1:3" x14ac:dyDescent="0.2">
      <c r="A425" s="2">
        <v>424</v>
      </c>
      <c r="B425" s="22">
        <v>26000</v>
      </c>
      <c r="C425">
        <v>4</v>
      </c>
    </row>
    <row r="426" spans="1:3" x14ac:dyDescent="0.2">
      <c r="A426" s="2">
        <v>425</v>
      </c>
      <c r="B426" s="22">
        <v>39500</v>
      </c>
      <c r="C426">
        <v>3</v>
      </c>
    </row>
    <row r="427" spans="1:3" x14ac:dyDescent="0.2">
      <c r="A427" s="2">
        <v>426</v>
      </c>
      <c r="B427" s="22">
        <v>36500</v>
      </c>
      <c r="C427">
        <v>4</v>
      </c>
    </row>
    <row r="428" spans="1:3" x14ac:dyDescent="0.2">
      <c r="A428" s="2">
        <v>427</v>
      </c>
      <c r="B428" s="22">
        <v>63500</v>
      </c>
      <c r="C428">
        <v>3</v>
      </c>
    </row>
    <row r="429" spans="1:3" x14ac:dyDescent="0.2">
      <c r="A429" s="2">
        <v>428</v>
      </c>
      <c r="B429" s="22">
        <v>54500</v>
      </c>
      <c r="C429">
        <v>3</v>
      </c>
    </row>
    <row r="430" spans="1:3" x14ac:dyDescent="0.2">
      <c r="A430" s="2">
        <v>429</v>
      </c>
      <c r="B430" s="22">
        <v>34500</v>
      </c>
      <c r="C430">
        <v>3</v>
      </c>
    </row>
    <row r="431" spans="1:3" x14ac:dyDescent="0.2">
      <c r="A431" s="2">
        <v>430</v>
      </c>
      <c r="B431" s="22">
        <v>54500</v>
      </c>
      <c r="C431">
        <v>1</v>
      </c>
    </row>
    <row r="432" spans="1:3" x14ac:dyDescent="0.2">
      <c r="A432" s="2">
        <v>431</v>
      </c>
      <c r="B432" s="22">
        <v>31500</v>
      </c>
      <c r="C432">
        <v>1</v>
      </c>
    </row>
    <row r="433" spans="1:3" x14ac:dyDescent="0.2">
      <c r="A433" s="2">
        <v>432</v>
      </c>
      <c r="B433" s="22">
        <v>34000</v>
      </c>
      <c r="C433">
        <v>4</v>
      </c>
    </row>
    <row r="434" spans="1:3" x14ac:dyDescent="0.2">
      <c r="A434" s="2">
        <v>433</v>
      </c>
      <c r="B434" s="22">
        <v>39000</v>
      </c>
      <c r="C434">
        <v>3</v>
      </c>
    </row>
    <row r="435" spans="1:3" x14ac:dyDescent="0.2">
      <c r="A435" s="2">
        <v>434</v>
      </c>
      <c r="B435" s="22">
        <v>37000</v>
      </c>
      <c r="C435">
        <v>3</v>
      </c>
    </row>
    <row r="436" spans="1:3" x14ac:dyDescent="0.2">
      <c r="A436" s="2">
        <v>435</v>
      </c>
      <c r="B436" s="22">
        <v>60000</v>
      </c>
      <c r="C436">
        <v>3</v>
      </c>
    </row>
    <row r="437" spans="1:3" x14ac:dyDescent="0.2">
      <c r="A437" s="2">
        <v>436</v>
      </c>
      <c r="B437" s="22">
        <v>35000</v>
      </c>
      <c r="C437">
        <v>3</v>
      </c>
    </row>
    <row r="438" spans="1:3" x14ac:dyDescent="0.2">
      <c r="A438" s="2">
        <v>437</v>
      </c>
      <c r="B438" s="22">
        <v>58500</v>
      </c>
      <c r="C438">
        <v>3</v>
      </c>
    </row>
    <row r="439" spans="1:3" x14ac:dyDescent="0.2">
      <c r="A439" s="2">
        <v>438</v>
      </c>
      <c r="B439" s="22">
        <v>59000</v>
      </c>
      <c r="C439">
        <v>3</v>
      </c>
    </row>
    <row r="440" spans="1:3" x14ac:dyDescent="0.2">
      <c r="A440" s="2">
        <v>439</v>
      </c>
      <c r="B440" s="22">
        <v>43500</v>
      </c>
      <c r="C440">
        <v>4</v>
      </c>
    </row>
    <row r="441" spans="1:3" x14ac:dyDescent="0.2">
      <c r="A441" s="2">
        <v>440</v>
      </c>
      <c r="B441" s="22">
        <v>31000</v>
      </c>
      <c r="C441">
        <v>3</v>
      </c>
    </row>
    <row r="442" spans="1:3" x14ac:dyDescent="0.2">
      <c r="A442" s="2">
        <v>441</v>
      </c>
      <c r="B442" s="22">
        <v>86500</v>
      </c>
      <c r="C442">
        <v>3</v>
      </c>
    </row>
    <row r="443" spans="1:3" x14ac:dyDescent="0.2">
      <c r="A443" s="2">
        <v>442</v>
      </c>
      <c r="B443" s="22">
        <v>81000</v>
      </c>
      <c r="C443">
        <v>2</v>
      </c>
    </row>
    <row r="444" spans="1:3" x14ac:dyDescent="0.2">
      <c r="A444" s="2">
        <v>443</v>
      </c>
      <c r="B444" s="22">
        <v>29500</v>
      </c>
      <c r="C444">
        <v>2</v>
      </c>
    </row>
    <row r="445" spans="1:3" x14ac:dyDescent="0.2">
      <c r="A445" s="2">
        <v>444</v>
      </c>
      <c r="B445" s="22">
        <v>36500</v>
      </c>
      <c r="C445">
        <v>3</v>
      </c>
    </row>
    <row r="446" spans="1:3" x14ac:dyDescent="0.2">
      <c r="A446" s="2">
        <v>445</v>
      </c>
      <c r="B446" s="22">
        <v>55500</v>
      </c>
      <c r="C446">
        <v>3</v>
      </c>
    </row>
    <row r="447" spans="1:3" x14ac:dyDescent="0.2">
      <c r="A447" s="2">
        <v>446</v>
      </c>
      <c r="B447" s="22">
        <v>58500</v>
      </c>
      <c r="C447">
        <v>3</v>
      </c>
    </row>
    <row r="448" spans="1:3" x14ac:dyDescent="0.2">
      <c r="A448" s="2">
        <v>447</v>
      </c>
      <c r="B448" s="22">
        <v>75000</v>
      </c>
      <c r="C448">
        <v>4</v>
      </c>
    </row>
    <row r="449" spans="1:3" x14ac:dyDescent="0.2">
      <c r="A449" s="2">
        <v>448</v>
      </c>
      <c r="B449" s="22">
        <v>40000</v>
      </c>
      <c r="C449">
        <v>4</v>
      </c>
    </row>
    <row r="450" spans="1:3" x14ac:dyDescent="0.2">
      <c r="A450" s="2">
        <v>449</v>
      </c>
      <c r="B450" s="22">
        <v>56000</v>
      </c>
      <c r="C450">
        <v>3</v>
      </c>
    </row>
    <row r="451" spans="1:3" x14ac:dyDescent="0.2">
      <c r="A451" s="2">
        <v>450</v>
      </c>
      <c r="B451" s="22">
        <v>40500</v>
      </c>
      <c r="C451">
        <v>3</v>
      </c>
    </row>
    <row r="452" spans="1:3" x14ac:dyDescent="0.2">
      <c r="A452" s="2">
        <v>451</v>
      </c>
      <c r="B452" s="22">
        <v>40000</v>
      </c>
      <c r="C452">
        <v>3</v>
      </c>
    </row>
    <row r="453" spans="1:3" x14ac:dyDescent="0.2">
      <c r="A453" s="2">
        <v>452</v>
      </c>
      <c r="B453" s="22">
        <v>42500</v>
      </c>
      <c r="C453">
        <v>4</v>
      </c>
    </row>
    <row r="454" spans="1:3" x14ac:dyDescent="0.2">
      <c r="A454" s="2">
        <v>453</v>
      </c>
      <c r="B454" s="22">
        <v>46500</v>
      </c>
      <c r="C454">
        <v>3</v>
      </c>
    </row>
    <row r="455" spans="1:3" x14ac:dyDescent="0.2">
      <c r="A455" s="2">
        <v>454</v>
      </c>
      <c r="B455" s="22">
        <v>41500</v>
      </c>
      <c r="C455">
        <v>3</v>
      </c>
    </row>
    <row r="456" spans="1:3" x14ac:dyDescent="0.2">
      <c r="A456" s="2">
        <v>455</v>
      </c>
      <c r="B456" s="22">
        <v>35500</v>
      </c>
      <c r="C456">
        <v>3</v>
      </c>
    </row>
    <row r="457" spans="1:3" x14ac:dyDescent="0.2">
      <c r="A457" s="2">
        <v>456</v>
      </c>
      <c r="B457" s="22">
        <v>68000</v>
      </c>
      <c r="C457">
        <v>3</v>
      </c>
    </row>
    <row r="458" spans="1:3" x14ac:dyDescent="0.2">
      <c r="A458" s="2">
        <v>457</v>
      </c>
      <c r="B458" s="22">
        <v>37500</v>
      </c>
      <c r="C458">
        <v>4</v>
      </c>
    </row>
    <row r="459" spans="1:3" x14ac:dyDescent="0.2">
      <c r="A459" s="2">
        <v>458</v>
      </c>
      <c r="B459" s="22">
        <v>53500</v>
      </c>
      <c r="C459">
        <v>3</v>
      </c>
    </row>
    <row r="460" spans="1:3" x14ac:dyDescent="0.2">
      <c r="A460" s="2">
        <v>459</v>
      </c>
      <c r="B460" s="22">
        <v>72500</v>
      </c>
      <c r="C460">
        <v>3</v>
      </c>
    </row>
    <row r="461" spans="1:3" x14ac:dyDescent="0.2">
      <c r="A461" s="2">
        <v>460</v>
      </c>
      <c r="B461" s="22">
        <v>39500</v>
      </c>
      <c r="C461">
        <v>2</v>
      </c>
    </row>
    <row r="462" spans="1:3" x14ac:dyDescent="0.2">
      <c r="A462" s="2">
        <v>461</v>
      </c>
      <c r="B462" s="22">
        <v>34000</v>
      </c>
      <c r="C462">
        <v>3</v>
      </c>
    </row>
    <row r="463" spans="1:3" x14ac:dyDescent="0.2">
      <c r="A463" s="2">
        <v>462</v>
      </c>
      <c r="B463" s="22">
        <v>72500</v>
      </c>
      <c r="C463">
        <v>3</v>
      </c>
    </row>
    <row r="464" spans="1:3" x14ac:dyDescent="0.2">
      <c r="A464" s="2">
        <v>463</v>
      </c>
      <c r="B464" s="22">
        <v>72000</v>
      </c>
      <c r="C464">
        <v>3</v>
      </c>
    </row>
    <row r="465" spans="1:3" x14ac:dyDescent="0.2">
      <c r="A465" s="2">
        <v>464</v>
      </c>
      <c r="B465" s="22">
        <v>36000</v>
      </c>
      <c r="C465">
        <v>3</v>
      </c>
    </row>
    <row r="466" spans="1:3" x14ac:dyDescent="0.2">
      <c r="A466" s="2">
        <v>465</v>
      </c>
      <c r="B466" s="22">
        <v>56500</v>
      </c>
      <c r="C466">
        <v>5</v>
      </c>
    </row>
    <row r="467" spans="1:3" x14ac:dyDescent="0.2">
      <c r="A467" s="2">
        <v>466</v>
      </c>
      <c r="B467" s="22">
        <v>58500</v>
      </c>
      <c r="C467">
        <v>4</v>
      </c>
    </row>
    <row r="468" spans="1:3" x14ac:dyDescent="0.2">
      <c r="A468" s="2">
        <v>467</v>
      </c>
      <c r="B468" s="22">
        <v>38000</v>
      </c>
      <c r="C468">
        <v>4</v>
      </c>
    </row>
    <row r="469" spans="1:3" x14ac:dyDescent="0.2">
      <c r="A469" s="2">
        <v>468</v>
      </c>
      <c r="B469" s="22">
        <v>65500</v>
      </c>
      <c r="C469">
        <v>2</v>
      </c>
    </row>
    <row r="470" spans="1:3" x14ac:dyDescent="0.2">
      <c r="A470" s="2">
        <v>469</v>
      </c>
      <c r="B470" s="22">
        <v>20000</v>
      </c>
      <c r="C470">
        <v>4</v>
      </c>
    </row>
    <row r="471" spans="1:3" x14ac:dyDescent="0.2">
      <c r="A471" s="2">
        <v>470</v>
      </c>
      <c r="B471" s="22">
        <v>36000</v>
      </c>
      <c r="C471">
        <v>4</v>
      </c>
    </row>
    <row r="472" spans="1:3" x14ac:dyDescent="0.2">
      <c r="A472" s="2">
        <v>471</v>
      </c>
      <c r="B472" s="22">
        <v>41000</v>
      </c>
      <c r="C472">
        <v>4</v>
      </c>
    </row>
    <row r="473" spans="1:3" x14ac:dyDescent="0.2">
      <c r="A473" s="2">
        <v>472</v>
      </c>
      <c r="B473" s="22">
        <v>34500</v>
      </c>
      <c r="C473">
        <v>3</v>
      </c>
    </row>
    <row r="474" spans="1:3" x14ac:dyDescent="0.2">
      <c r="A474" s="2">
        <v>473</v>
      </c>
      <c r="B474" s="22">
        <v>34000</v>
      </c>
      <c r="C474">
        <v>4</v>
      </c>
    </row>
    <row r="475" spans="1:3" x14ac:dyDescent="0.2">
      <c r="A475" s="2">
        <v>474</v>
      </c>
      <c r="B475" s="22">
        <v>43500</v>
      </c>
      <c r="C475">
        <v>4</v>
      </c>
    </row>
    <row r="476" spans="1:3" x14ac:dyDescent="0.2">
      <c r="A476" s="2">
        <v>475</v>
      </c>
      <c r="B476" s="22">
        <v>55500</v>
      </c>
      <c r="C476">
        <v>4</v>
      </c>
    </row>
    <row r="477" spans="1:3" x14ac:dyDescent="0.2">
      <c r="A477" s="2">
        <v>476</v>
      </c>
      <c r="B477" s="22">
        <v>21000</v>
      </c>
      <c r="C477">
        <v>3</v>
      </c>
    </row>
    <row r="478" spans="1:3" x14ac:dyDescent="0.2">
      <c r="A478" s="2">
        <v>477</v>
      </c>
      <c r="B478" s="22">
        <v>59500</v>
      </c>
      <c r="C478">
        <v>4</v>
      </c>
    </row>
    <row r="479" spans="1:3" x14ac:dyDescent="0.2">
      <c r="A479" s="2">
        <v>478</v>
      </c>
      <c r="B479" s="22">
        <v>44500</v>
      </c>
      <c r="C479">
        <v>3</v>
      </c>
    </row>
    <row r="480" spans="1:3" x14ac:dyDescent="0.2">
      <c r="A480" s="2">
        <v>479</v>
      </c>
      <c r="B480" s="22">
        <v>55000</v>
      </c>
      <c r="C480">
        <v>2</v>
      </c>
    </row>
    <row r="481" spans="1:3" x14ac:dyDescent="0.2">
      <c r="A481" s="2">
        <v>480</v>
      </c>
      <c r="B481" s="22">
        <v>38000</v>
      </c>
      <c r="C481">
        <v>4</v>
      </c>
    </row>
    <row r="482" spans="1:3" x14ac:dyDescent="0.2">
      <c r="A482" s="2">
        <v>481</v>
      </c>
      <c r="B482" s="22">
        <v>88500</v>
      </c>
      <c r="C482">
        <v>3</v>
      </c>
    </row>
    <row r="483" spans="1:3" x14ac:dyDescent="0.2">
      <c r="A483" s="2">
        <v>482</v>
      </c>
      <c r="B483" s="22">
        <v>43500</v>
      </c>
      <c r="C483">
        <v>3</v>
      </c>
    </row>
    <row r="484" spans="1:3" x14ac:dyDescent="0.2">
      <c r="A484" s="2">
        <v>483</v>
      </c>
      <c r="B484" s="22">
        <v>55000</v>
      </c>
      <c r="C484">
        <v>3</v>
      </c>
    </row>
    <row r="485" spans="1:3" x14ac:dyDescent="0.2">
      <c r="A485" s="2">
        <v>484</v>
      </c>
      <c r="B485" s="22">
        <v>62500</v>
      </c>
      <c r="C485">
        <v>2</v>
      </c>
    </row>
    <row r="486" spans="1:3" x14ac:dyDescent="0.2">
      <c r="A486" s="2">
        <v>485</v>
      </c>
      <c r="B486" s="22">
        <v>44000</v>
      </c>
      <c r="C486">
        <v>5</v>
      </c>
    </row>
    <row r="487" spans="1:3" x14ac:dyDescent="0.2">
      <c r="A487" s="2">
        <v>486</v>
      </c>
      <c r="B487" s="22">
        <v>69500</v>
      </c>
      <c r="C487">
        <v>4</v>
      </c>
    </row>
    <row r="488" spans="1:3" x14ac:dyDescent="0.2">
      <c r="A488" s="2">
        <v>487</v>
      </c>
      <c r="B488" s="22">
        <v>82000</v>
      </c>
      <c r="C488">
        <v>2</v>
      </c>
    </row>
    <row r="489" spans="1:3" x14ac:dyDescent="0.2">
      <c r="A489" s="2">
        <v>488</v>
      </c>
      <c r="B489" s="22">
        <v>84000</v>
      </c>
      <c r="C489">
        <v>3</v>
      </c>
    </row>
    <row r="490" spans="1:3" x14ac:dyDescent="0.2">
      <c r="A490" s="2">
        <v>489</v>
      </c>
      <c r="B490" s="22">
        <v>78500</v>
      </c>
      <c r="C490">
        <v>3</v>
      </c>
    </row>
    <row r="491" spans="1:3" x14ac:dyDescent="0.2">
      <c r="A491" s="2">
        <v>490</v>
      </c>
      <c r="B491" s="22">
        <v>33500</v>
      </c>
      <c r="C491">
        <v>2</v>
      </c>
    </row>
    <row r="492" spans="1:3" x14ac:dyDescent="0.2">
      <c r="A492" s="2">
        <v>491</v>
      </c>
      <c r="B492" s="22">
        <v>48500</v>
      </c>
      <c r="C492">
        <v>2</v>
      </c>
    </row>
    <row r="493" spans="1:3" x14ac:dyDescent="0.2">
      <c r="A493" s="2">
        <v>492</v>
      </c>
      <c r="B493" s="22">
        <v>44000</v>
      </c>
      <c r="C493">
        <v>5</v>
      </c>
    </row>
    <row r="494" spans="1:3" x14ac:dyDescent="0.2">
      <c r="A494" s="2">
        <v>493</v>
      </c>
      <c r="B494" s="22">
        <v>54000</v>
      </c>
      <c r="C494">
        <v>3</v>
      </c>
    </row>
    <row r="495" spans="1:3" x14ac:dyDescent="0.2">
      <c r="A495" s="2">
        <v>494</v>
      </c>
      <c r="B495" s="22">
        <v>42500</v>
      </c>
      <c r="C495">
        <v>3</v>
      </c>
    </row>
    <row r="496" spans="1:3" x14ac:dyDescent="0.2">
      <c r="A496" s="2">
        <v>495</v>
      </c>
      <c r="B496" s="22">
        <v>22000</v>
      </c>
      <c r="C496">
        <v>4</v>
      </c>
    </row>
    <row r="497" spans="1:3" x14ac:dyDescent="0.2">
      <c r="A497" s="2">
        <v>496</v>
      </c>
      <c r="B497" s="22">
        <v>58500</v>
      </c>
      <c r="C497">
        <v>3</v>
      </c>
    </row>
    <row r="498" spans="1:3" x14ac:dyDescent="0.2">
      <c r="A498" s="2">
        <v>497</v>
      </c>
      <c r="B498" s="22">
        <v>41000</v>
      </c>
      <c r="C498">
        <v>2</v>
      </c>
    </row>
    <row r="499" spans="1:3" x14ac:dyDescent="0.2">
      <c r="A499" s="2">
        <v>498</v>
      </c>
      <c r="B499" s="22">
        <v>44500</v>
      </c>
      <c r="C499">
        <v>5</v>
      </c>
    </row>
    <row r="500" spans="1:3" x14ac:dyDescent="0.2">
      <c r="A500" s="2">
        <v>499</v>
      </c>
      <c r="B500" s="22">
        <v>36500</v>
      </c>
      <c r="C500">
        <v>3</v>
      </c>
    </row>
    <row r="501" spans="1:3" x14ac:dyDescent="0.2">
      <c r="A501" s="2">
        <v>500</v>
      </c>
      <c r="B501" s="22">
        <v>41000</v>
      </c>
      <c r="C501">
        <v>5</v>
      </c>
    </row>
    <row r="502" spans="1:3" x14ac:dyDescent="0.2">
      <c r="A502" s="2">
        <v>501</v>
      </c>
      <c r="B502" s="22">
        <v>37000</v>
      </c>
      <c r="C502">
        <v>2</v>
      </c>
    </row>
    <row r="503" spans="1:3" x14ac:dyDescent="0.2">
      <c r="A503" s="2">
        <v>502</v>
      </c>
      <c r="B503" s="22">
        <v>36500</v>
      </c>
      <c r="C503">
        <v>4</v>
      </c>
    </row>
    <row r="504" spans="1:3" x14ac:dyDescent="0.2">
      <c r="A504" s="2">
        <v>503</v>
      </c>
      <c r="B504" s="22">
        <v>55500</v>
      </c>
      <c r="C504">
        <v>4</v>
      </c>
    </row>
    <row r="505" spans="1:3" x14ac:dyDescent="0.2">
      <c r="A505" s="2">
        <v>504</v>
      </c>
      <c r="B505" s="22">
        <v>35500</v>
      </c>
      <c r="C505">
        <v>3</v>
      </c>
    </row>
    <row r="506" spans="1:3" x14ac:dyDescent="0.2">
      <c r="A506" s="2">
        <v>505</v>
      </c>
      <c r="B506" s="22">
        <v>68000</v>
      </c>
      <c r="C506">
        <v>3</v>
      </c>
    </row>
    <row r="507" spans="1:3" x14ac:dyDescent="0.2">
      <c r="A507" s="2">
        <v>506</v>
      </c>
      <c r="B507" s="22">
        <v>44500</v>
      </c>
      <c r="C507">
        <v>4</v>
      </c>
    </row>
    <row r="508" spans="1:3" x14ac:dyDescent="0.2">
      <c r="A508" s="2">
        <v>507</v>
      </c>
      <c r="B508" s="22">
        <v>41500</v>
      </c>
      <c r="C508">
        <v>3</v>
      </c>
    </row>
    <row r="509" spans="1:3" x14ac:dyDescent="0.2">
      <c r="A509" s="2">
        <v>508</v>
      </c>
      <c r="B509" s="22">
        <v>37500</v>
      </c>
      <c r="C509">
        <v>3</v>
      </c>
    </row>
    <row r="510" spans="1:3" x14ac:dyDescent="0.2">
      <c r="A510" s="2">
        <v>509</v>
      </c>
      <c r="B510" s="22">
        <v>44500</v>
      </c>
      <c r="C510">
        <v>3</v>
      </c>
    </row>
    <row r="511" spans="1:3" x14ac:dyDescent="0.2">
      <c r="A511" s="2">
        <v>510</v>
      </c>
      <c r="B511" s="22">
        <v>76500</v>
      </c>
      <c r="C511">
        <v>3</v>
      </c>
    </row>
    <row r="512" spans="1:3" x14ac:dyDescent="0.2">
      <c r="A512" s="2">
        <v>511</v>
      </c>
      <c r="B512" s="22">
        <v>28500</v>
      </c>
      <c r="C512">
        <v>4</v>
      </c>
    </row>
    <row r="513" spans="1:3" x14ac:dyDescent="0.2">
      <c r="A513" s="2">
        <v>512</v>
      </c>
      <c r="B513" s="22">
        <v>53500</v>
      </c>
      <c r="C513">
        <v>2</v>
      </c>
    </row>
    <row r="514" spans="1:3" x14ac:dyDescent="0.2">
      <c r="A514" s="2">
        <v>513</v>
      </c>
      <c r="B514" s="22">
        <v>51500</v>
      </c>
      <c r="C514">
        <v>4</v>
      </c>
    </row>
    <row r="515" spans="1:3" x14ac:dyDescent="0.2">
      <c r="A515" s="2">
        <v>514</v>
      </c>
      <c r="B515" s="22">
        <v>45000</v>
      </c>
      <c r="C515">
        <v>3</v>
      </c>
    </row>
    <row r="516" spans="1:3" x14ac:dyDescent="0.2">
      <c r="A516" s="2">
        <v>515</v>
      </c>
      <c r="B516" s="22">
        <v>39500</v>
      </c>
      <c r="C516">
        <v>3</v>
      </c>
    </row>
    <row r="517" spans="1:3" x14ac:dyDescent="0.2">
      <c r="A517" s="2">
        <v>516</v>
      </c>
      <c r="B517" s="22">
        <v>56000</v>
      </c>
      <c r="C517">
        <v>3</v>
      </c>
    </row>
    <row r="518" spans="1:3" x14ac:dyDescent="0.2">
      <c r="A518" s="2">
        <v>517</v>
      </c>
      <c r="B518" s="22">
        <v>70500</v>
      </c>
      <c r="C518">
        <v>4</v>
      </c>
    </row>
    <row r="519" spans="1:3" x14ac:dyDescent="0.2">
      <c r="A519" s="2">
        <v>518</v>
      </c>
      <c r="B519" s="22">
        <v>33500</v>
      </c>
      <c r="C519">
        <v>4</v>
      </c>
    </row>
    <row r="520" spans="1:3" x14ac:dyDescent="0.2">
      <c r="A520" s="2">
        <v>519</v>
      </c>
      <c r="B520" s="22">
        <v>56000</v>
      </c>
      <c r="C520">
        <v>4</v>
      </c>
    </row>
    <row r="521" spans="1:3" x14ac:dyDescent="0.2">
      <c r="A521" s="2">
        <v>520</v>
      </c>
      <c r="B521" s="22">
        <v>53500</v>
      </c>
      <c r="C521">
        <v>4</v>
      </c>
    </row>
    <row r="522" spans="1:3" x14ac:dyDescent="0.2">
      <c r="A522" s="2">
        <v>521</v>
      </c>
      <c r="B522" s="22">
        <v>53000</v>
      </c>
      <c r="C522">
        <v>4</v>
      </c>
    </row>
    <row r="523" spans="1:3" x14ac:dyDescent="0.2">
      <c r="A523" s="2">
        <v>522</v>
      </c>
      <c r="B523" s="22">
        <v>73500</v>
      </c>
      <c r="C523">
        <v>4</v>
      </c>
    </row>
    <row r="524" spans="1:3" x14ac:dyDescent="0.2">
      <c r="A524" s="2">
        <v>523</v>
      </c>
      <c r="B524" s="22">
        <v>38500</v>
      </c>
      <c r="C524">
        <v>3</v>
      </c>
    </row>
    <row r="525" spans="1:3" x14ac:dyDescent="0.2">
      <c r="A525" s="2">
        <v>524</v>
      </c>
      <c r="B525" s="22">
        <v>24000</v>
      </c>
      <c r="C525">
        <v>3</v>
      </c>
    </row>
    <row r="526" spans="1:3" x14ac:dyDescent="0.2">
      <c r="A526" s="2">
        <v>525</v>
      </c>
      <c r="B526" s="22">
        <v>51500</v>
      </c>
      <c r="C526">
        <v>3</v>
      </c>
    </row>
    <row r="527" spans="1:3" x14ac:dyDescent="0.2">
      <c r="A527" s="2">
        <v>526</v>
      </c>
      <c r="B527" s="22">
        <v>57000</v>
      </c>
      <c r="C527">
        <v>4</v>
      </c>
    </row>
    <row r="528" spans="1:3" x14ac:dyDescent="0.2">
      <c r="A528" s="2">
        <v>527</v>
      </c>
      <c r="B528" s="22">
        <v>111000</v>
      </c>
      <c r="C528">
        <v>3</v>
      </c>
    </row>
    <row r="529" spans="1:3" x14ac:dyDescent="0.2">
      <c r="A529" s="2">
        <v>528</v>
      </c>
      <c r="B529" s="22">
        <v>88500</v>
      </c>
      <c r="C529">
        <v>4</v>
      </c>
    </row>
    <row r="530" spans="1:3" x14ac:dyDescent="0.2">
      <c r="A530" s="2">
        <v>529</v>
      </c>
      <c r="B530" s="22">
        <v>35500</v>
      </c>
      <c r="C530">
        <v>3</v>
      </c>
    </row>
    <row r="531" spans="1:3" x14ac:dyDescent="0.2">
      <c r="A531" s="2">
        <v>530</v>
      </c>
      <c r="B531" s="22">
        <v>39500</v>
      </c>
      <c r="C531">
        <v>2</v>
      </c>
    </row>
    <row r="532" spans="1:3" x14ac:dyDescent="0.2">
      <c r="A532" s="2">
        <v>531</v>
      </c>
      <c r="B532" s="22">
        <v>36000</v>
      </c>
      <c r="C532">
        <v>3</v>
      </c>
    </row>
    <row r="533" spans="1:3" x14ac:dyDescent="0.2">
      <c r="A533" s="2">
        <v>532</v>
      </c>
      <c r="B533" s="22">
        <v>42000</v>
      </c>
      <c r="C533">
        <v>3</v>
      </c>
    </row>
    <row r="534" spans="1:3" x14ac:dyDescent="0.2">
      <c r="A534" s="2">
        <v>533</v>
      </c>
      <c r="B534" s="22">
        <v>55000</v>
      </c>
      <c r="C534">
        <v>4</v>
      </c>
    </row>
    <row r="535" spans="1:3" x14ac:dyDescent="0.2">
      <c r="A535" s="2">
        <v>534</v>
      </c>
      <c r="B535" s="22">
        <v>41500</v>
      </c>
      <c r="C535">
        <v>5</v>
      </c>
    </row>
    <row r="536" spans="1:3" x14ac:dyDescent="0.2">
      <c r="A536" s="2">
        <v>535</v>
      </c>
      <c r="B536" s="22">
        <v>26500</v>
      </c>
      <c r="C536">
        <v>4</v>
      </c>
    </row>
    <row r="537" spans="1:3" x14ac:dyDescent="0.2">
      <c r="A537" s="2">
        <v>536</v>
      </c>
      <c r="B537" s="22">
        <v>62500</v>
      </c>
      <c r="C537">
        <v>2</v>
      </c>
    </row>
    <row r="538" spans="1:3" x14ac:dyDescent="0.2">
      <c r="A538" s="2">
        <v>537</v>
      </c>
      <c r="B538" s="22">
        <v>42000</v>
      </c>
      <c r="C538">
        <v>4</v>
      </c>
    </row>
    <row r="539" spans="1:3" x14ac:dyDescent="0.2">
      <c r="A539" s="2">
        <v>538</v>
      </c>
      <c r="B539" s="22">
        <v>56500</v>
      </c>
      <c r="C539">
        <v>4</v>
      </c>
    </row>
    <row r="540" spans="1:3" x14ac:dyDescent="0.2">
      <c r="A540" s="2">
        <v>539</v>
      </c>
      <c r="B540" s="22">
        <v>40500</v>
      </c>
      <c r="C540">
        <v>1</v>
      </c>
    </row>
    <row r="541" spans="1:3" x14ac:dyDescent="0.2">
      <c r="A541" s="2">
        <v>540</v>
      </c>
      <c r="B541" s="22">
        <v>36000</v>
      </c>
      <c r="C541">
        <v>3</v>
      </c>
    </row>
    <row r="542" spans="1:3" x14ac:dyDescent="0.2">
      <c r="A542" s="2">
        <v>541</v>
      </c>
      <c r="B542" s="22">
        <v>66000</v>
      </c>
      <c r="C542">
        <v>3</v>
      </c>
    </row>
    <row r="543" spans="1:3" x14ac:dyDescent="0.2">
      <c r="A543" s="2">
        <v>542</v>
      </c>
      <c r="B543" s="22">
        <v>38000</v>
      </c>
      <c r="C543">
        <v>3</v>
      </c>
    </row>
    <row r="544" spans="1:3" x14ac:dyDescent="0.2">
      <c r="A544" s="2">
        <v>543</v>
      </c>
      <c r="B544" s="22">
        <v>55000</v>
      </c>
      <c r="C544">
        <v>4</v>
      </c>
    </row>
    <row r="545" spans="1:3" x14ac:dyDescent="0.2">
      <c r="A545" s="2">
        <v>544</v>
      </c>
      <c r="B545" s="22">
        <v>54000</v>
      </c>
      <c r="C545">
        <v>3</v>
      </c>
    </row>
    <row r="546" spans="1:3" x14ac:dyDescent="0.2">
      <c r="A546" s="2">
        <v>545</v>
      </c>
      <c r="B546" s="22">
        <v>39500</v>
      </c>
      <c r="C546">
        <v>3</v>
      </c>
    </row>
    <row r="547" spans="1:3" x14ac:dyDescent="0.2">
      <c r="A547" s="2">
        <v>546</v>
      </c>
      <c r="B547" s="22">
        <v>35500</v>
      </c>
      <c r="C547">
        <v>4</v>
      </c>
    </row>
    <row r="548" spans="1:3" x14ac:dyDescent="0.2">
      <c r="A548" s="2">
        <v>547</v>
      </c>
      <c r="B548" s="22">
        <v>57500</v>
      </c>
      <c r="C548">
        <v>3</v>
      </c>
    </row>
    <row r="549" spans="1:3" x14ac:dyDescent="0.2">
      <c r="A549" s="2">
        <v>548</v>
      </c>
      <c r="B549" s="22">
        <v>42000</v>
      </c>
      <c r="C549">
        <v>3</v>
      </c>
    </row>
    <row r="550" spans="1:3" x14ac:dyDescent="0.2">
      <c r="A550" s="2">
        <v>549</v>
      </c>
      <c r="B550" s="22">
        <v>57000</v>
      </c>
      <c r="C550">
        <v>3</v>
      </c>
    </row>
    <row r="551" spans="1:3" x14ac:dyDescent="0.2">
      <c r="A551" s="2">
        <v>550</v>
      </c>
      <c r="B551" s="22">
        <v>45000</v>
      </c>
      <c r="C551">
        <v>4</v>
      </c>
    </row>
    <row r="552" spans="1:3" x14ac:dyDescent="0.2">
      <c r="A552" s="2">
        <v>551</v>
      </c>
      <c r="B552" s="22">
        <v>20000</v>
      </c>
      <c r="C552">
        <v>3</v>
      </c>
    </row>
    <row r="553" spans="1:3" x14ac:dyDescent="0.2">
      <c r="A553" s="2">
        <v>552</v>
      </c>
      <c r="B553" s="22">
        <v>36500</v>
      </c>
      <c r="C553">
        <v>4</v>
      </c>
    </row>
    <row r="554" spans="1:3" x14ac:dyDescent="0.2">
      <c r="A554" s="2">
        <v>553</v>
      </c>
      <c r="B554" s="22">
        <v>21500</v>
      </c>
      <c r="C554">
        <v>3</v>
      </c>
    </row>
    <row r="555" spans="1:3" x14ac:dyDescent="0.2">
      <c r="A555" s="2">
        <v>554</v>
      </c>
      <c r="B555" s="22">
        <v>43000</v>
      </c>
      <c r="C555">
        <v>3</v>
      </c>
    </row>
    <row r="556" spans="1:3" x14ac:dyDescent="0.2">
      <c r="A556" s="2">
        <v>555</v>
      </c>
      <c r="B556" s="22">
        <v>68500</v>
      </c>
      <c r="C556">
        <v>4</v>
      </c>
    </row>
    <row r="557" spans="1:3" x14ac:dyDescent="0.2">
      <c r="A557" s="2">
        <v>556</v>
      </c>
      <c r="B557" s="22">
        <v>35000</v>
      </c>
      <c r="C557">
        <v>3</v>
      </c>
    </row>
    <row r="558" spans="1:3" x14ac:dyDescent="0.2">
      <c r="A558" s="2">
        <v>557</v>
      </c>
      <c r="B558" s="22">
        <v>37500</v>
      </c>
      <c r="C558">
        <v>3</v>
      </c>
    </row>
    <row r="559" spans="1:3" x14ac:dyDescent="0.2">
      <c r="A559" s="2">
        <v>558</v>
      </c>
      <c r="B559" s="22">
        <v>43000</v>
      </c>
      <c r="C559">
        <v>3</v>
      </c>
    </row>
    <row r="560" spans="1:3" x14ac:dyDescent="0.2">
      <c r="A560" s="2">
        <v>559</v>
      </c>
      <c r="B560" s="22">
        <v>35000</v>
      </c>
      <c r="C560">
        <v>3</v>
      </c>
    </row>
    <row r="561" spans="1:3" x14ac:dyDescent="0.2">
      <c r="A561" s="2">
        <v>560</v>
      </c>
      <c r="B561" s="22">
        <v>45000</v>
      </c>
      <c r="C561">
        <v>3</v>
      </c>
    </row>
    <row r="562" spans="1:3" x14ac:dyDescent="0.2">
      <c r="A562" s="2">
        <v>561</v>
      </c>
      <c r="B562" s="22">
        <v>91500</v>
      </c>
      <c r="C562">
        <v>3</v>
      </c>
    </row>
    <row r="563" spans="1:3" x14ac:dyDescent="0.2">
      <c r="A563" s="2">
        <v>562</v>
      </c>
      <c r="B563" s="22">
        <v>93000</v>
      </c>
      <c r="C563">
        <v>3</v>
      </c>
    </row>
    <row r="564" spans="1:3" x14ac:dyDescent="0.2">
      <c r="A564" s="2">
        <v>563</v>
      </c>
      <c r="B564" s="22">
        <v>92500</v>
      </c>
      <c r="C564">
        <v>4</v>
      </c>
    </row>
    <row r="565" spans="1:3" x14ac:dyDescent="0.2">
      <c r="A565" s="2">
        <v>564</v>
      </c>
      <c r="B565" s="22">
        <v>34000</v>
      </c>
      <c r="C565">
        <v>3</v>
      </c>
    </row>
    <row r="566" spans="1:3" x14ac:dyDescent="0.2">
      <c r="A566" s="2">
        <v>565</v>
      </c>
      <c r="B566" s="22">
        <v>32500</v>
      </c>
      <c r="C566">
        <v>3</v>
      </c>
    </row>
    <row r="567" spans="1:3" x14ac:dyDescent="0.2">
      <c r="A567" s="2">
        <v>566</v>
      </c>
      <c r="B567" s="22">
        <v>52500</v>
      </c>
      <c r="C567">
        <v>2</v>
      </c>
    </row>
    <row r="568" spans="1:3" x14ac:dyDescent="0.2">
      <c r="A568" s="2">
        <v>567</v>
      </c>
      <c r="B568" s="22">
        <v>38500</v>
      </c>
      <c r="C568">
        <v>3</v>
      </c>
    </row>
    <row r="569" spans="1:3" x14ac:dyDescent="0.2">
      <c r="A569" s="2">
        <v>568</v>
      </c>
      <c r="B569" s="22">
        <v>37500</v>
      </c>
      <c r="C569">
        <v>2</v>
      </c>
    </row>
    <row r="570" spans="1:3" x14ac:dyDescent="0.2">
      <c r="A570" s="2">
        <v>569</v>
      </c>
      <c r="B570" s="22">
        <v>42000</v>
      </c>
      <c r="C570">
        <v>3</v>
      </c>
    </row>
    <row r="571" spans="1:3" x14ac:dyDescent="0.2">
      <c r="A571" s="2">
        <v>570</v>
      </c>
      <c r="B571" s="22">
        <v>73500</v>
      </c>
      <c r="C571">
        <v>5</v>
      </c>
    </row>
    <row r="572" spans="1:3" x14ac:dyDescent="0.2">
      <c r="A572" s="2">
        <v>571</v>
      </c>
      <c r="B572" s="22">
        <v>57000</v>
      </c>
      <c r="C572">
        <v>3</v>
      </c>
    </row>
    <row r="573" spans="1:3" x14ac:dyDescent="0.2">
      <c r="A573" s="2">
        <v>572</v>
      </c>
      <c r="B573" s="22">
        <v>36500</v>
      </c>
      <c r="C573">
        <v>3</v>
      </c>
    </row>
    <row r="574" spans="1:3" x14ac:dyDescent="0.2">
      <c r="A574" s="2">
        <v>573</v>
      </c>
      <c r="B574" s="22">
        <v>57000</v>
      </c>
      <c r="C574">
        <v>3</v>
      </c>
    </row>
    <row r="575" spans="1:3" x14ac:dyDescent="0.2">
      <c r="A575" s="2">
        <v>574</v>
      </c>
      <c r="B575" s="22">
        <v>42000</v>
      </c>
      <c r="C575">
        <v>4</v>
      </c>
    </row>
    <row r="576" spans="1:3" x14ac:dyDescent="0.2">
      <c r="A576" s="2">
        <v>575</v>
      </c>
      <c r="B576" s="22">
        <v>37000</v>
      </c>
      <c r="C576">
        <v>3</v>
      </c>
    </row>
    <row r="577" spans="1:3" x14ac:dyDescent="0.2">
      <c r="A577" s="2">
        <v>576</v>
      </c>
      <c r="B577" s="22">
        <v>25500</v>
      </c>
      <c r="C577">
        <v>2</v>
      </c>
    </row>
    <row r="578" spans="1:3" x14ac:dyDescent="0.2">
      <c r="A578" s="2">
        <v>577</v>
      </c>
      <c r="B578" s="22">
        <v>36000</v>
      </c>
      <c r="C578">
        <v>4</v>
      </c>
    </row>
    <row r="579" spans="1:3" x14ac:dyDescent="0.2">
      <c r="A579" s="2">
        <v>578</v>
      </c>
      <c r="B579" s="22">
        <v>33500</v>
      </c>
      <c r="C579">
        <v>4</v>
      </c>
    </row>
    <row r="580" spans="1:3" x14ac:dyDescent="0.2">
      <c r="A580" s="2">
        <v>579</v>
      </c>
      <c r="B580" s="22">
        <v>37000</v>
      </c>
      <c r="C580">
        <v>4</v>
      </c>
    </row>
    <row r="581" spans="1:3" x14ac:dyDescent="0.2">
      <c r="A581" s="2">
        <v>580</v>
      </c>
      <c r="B581" s="22">
        <v>52000</v>
      </c>
      <c r="C581">
        <v>4</v>
      </c>
    </row>
    <row r="582" spans="1:3" x14ac:dyDescent="0.2">
      <c r="A582" s="2">
        <v>581</v>
      </c>
      <c r="B582" s="22">
        <v>29500</v>
      </c>
      <c r="C582">
        <v>3</v>
      </c>
    </row>
    <row r="583" spans="1:3" x14ac:dyDescent="0.2">
      <c r="A583" s="2">
        <v>582</v>
      </c>
      <c r="B583" s="22">
        <v>40500</v>
      </c>
      <c r="C583">
        <v>4</v>
      </c>
    </row>
    <row r="584" spans="1:3" x14ac:dyDescent="0.2">
      <c r="A584" s="2">
        <v>583</v>
      </c>
      <c r="B584" s="22">
        <v>23500</v>
      </c>
      <c r="C584">
        <v>1</v>
      </c>
    </row>
    <row r="585" spans="1:3" x14ac:dyDescent="0.2">
      <c r="A585" s="2">
        <v>584</v>
      </c>
      <c r="B585" s="22">
        <v>41500</v>
      </c>
      <c r="C585">
        <v>3</v>
      </c>
    </row>
    <row r="586" spans="1:3" x14ac:dyDescent="0.2">
      <c r="A586" s="2">
        <v>585</v>
      </c>
      <c r="B586" s="22">
        <v>35000</v>
      </c>
      <c r="C586">
        <v>3</v>
      </c>
    </row>
    <row r="587" spans="1:3" x14ac:dyDescent="0.2">
      <c r="A587" s="2">
        <v>586</v>
      </c>
      <c r="B587" s="22">
        <v>55000</v>
      </c>
      <c r="C587">
        <v>2</v>
      </c>
    </row>
    <row r="588" spans="1:3" x14ac:dyDescent="0.2">
      <c r="A588" s="2">
        <v>587</v>
      </c>
      <c r="B588" s="22">
        <v>45000</v>
      </c>
      <c r="C588">
        <v>4</v>
      </c>
    </row>
    <row r="589" spans="1:3" x14ac:dyDescent="0.2">
      <c r="A589" s="2">
        <v>588</v>
      </c>
      <c r="B589" s="22">
        <v>48500</v>
      </c>
      <c r="C589">
        <v>1</v>
      </c>
    </row>
    <row r="590" spans="1:3" x14ac:dyDescent="0.2">
      <c r="A590" s="2">
        <v>589</v>
      </c>
      <c r="B590" s="22">
        <v>38000</v>
      </c>
      <c r="C590">
        <v>2</v>
      </c>
    </row>
    <row r="591" spans="1:3" x14ac:dyDescent="0.2">
      <c r="A591" s="2">
        <v>590</v>
      </c>
      <c r="B591" s="22">
        <v>54500</v>
      </c>
      <c r="C591">
        <v>3</v>
      </c>
    </row>
    <row r="592" spans="1:3" x14ac:dyDescent="0.2">
      <c r="A592" s="2">
        <v>591</v>
      </c>
      <c r="B592" s="22">
        <v>40500</v>
      </c>
      <c r="C592">
        <v>3</v>
      </c>
    </row>
    <row r="593" spans="1:3" x14ac:dyDescent="0.2">
      <c r="A593" s="2">
        <v>592</v>
      </c>
      <c r="B593" s="22">
        <v>42500</v>
      </c>
      <c r="C593">
        <v>4</v>
      </c>
    </row>
    <row r="594" spans="1:3" x14ac:dyDescent="0.2">
      <c r="A594" s="2">
        <v>593</v>
      </c>
      <c r="B594" s="22">
        <v>40000</v>
      </c>
      <c r="C594">
        <v>3</v>
      </c>
    </row>
    <row r="595" spans="1:3" x14ac:dyDescent="0.2">
      <c r="A595" s="2">
        <v>594</v>
      </c>
      <c r="B595" s="22">
        <v>68000</v>
      </c>
      <c r="C595">
        <v>3</v>
      </c>
    </row>
    <row r="596" spans="1:3" x14ac:dyDescent="0.2">
      <c r="A596" s="2">
        <v>595</v>
      </c>
      <c r="B596" s="22">
        <v>35500</v>
      </c>
      <c r="C596">
        <v>2</v>
      </c>
    </row>
    <row r="597" spans="1:3" x14ac:dyDescent="0.2">
      <c r="A597" s="2">
        <v>596</v>
      </c>
      <c r="B597" s="22">
        <v>41500</v>
      </c>
      <c r="C597">
        <v>2</v>
      </c>
    </row>
    <row r="598" spans="1:3" x14ac:dyDescent="0.2">
      <c r="A598" s="2">
        <v>597</v>
      </c>
      <c r="B598" s="22">
        <v>68500</v>
      </c>
      <c r="C598">
        <v>3</v>
      </c>
    </row>
    <row r="599" spans="1:3" x14ac:dyDescent="0.2">
      <c r="A599" s="2">
        <v>598</v>
      </c>
      <c r="B599" s="22">
        <v>73000</v>
      </c>
      <c r="C599">
        <v>4</v>
      </c>
    </row>
    <row r="600" spans="1:3" x14ac:dyDescent="0.2">
      <c r="A600" s="2">
        <v>599</v>
      </c>
      <c r="B600" s="22">
        <v>54000</v>
      </c>
      <c r="C600">
        <v>3</v>
      </c>
    </row>
    <row r="601" spans="1:3" x14ac:dyDescent="0.2">
      <c r="A601" s="2">
        <v>600</v>
      </c>
      <c r="B601" s="22">
        <v>38000</v>
      </c>
      <c r="C601">
        <v>4</v>
      </c>
    </row>
    <row r="602" spans="1:3" x14ac:dyDescent="0.2">
      <c r="A602" s="2">
        <v>601</v>
      </c>
      <c r="B602" s="22">
        <v>83000</v>
      </c>
      <c r="C602">
        <v>3</v>
      </c>
    </row>
    <row r="603" spans="1:3" x14ac:dyDescent="0.2">
      <c r="A603" s="2">
        <v>602</v>
      </c>
      <c r="B603" s="22">
        <v>56500</v>
      </c>
      <c r="C603">
        <v>3</v>
      </c>
    </row>
    <row r="604" spans="1:3" x14ac:dyDescent="0.2">
      <c r="A604" s="2">
        <v>603</v>
      </c>
      <c r="B604" s="22">
        <v>70500</v>
      </c>
      <c r="C604">
        <v>4</v>
      </c>
    </row>
    <row r="605" spans="1:3" x14ac:dyDescent="0.2">
      <c r="A605" s="2">
        <v>604</v>
      </c>
      <c r="B605" s="22">
        <v>42500</v>
      </c>
      <c r="C605">
        <v>2</v>
      </c>
    </row>
    <row r="606" spans="1:3" x14ac:dyDescent="0.2">
      <c r="A606" s="2">
        <v>605</v>
      </c>
      <c r="B606" s="22">
        <v>37000</v>
      </c>
      <c r="C606">
        <v>3</v>
      </c>
    </row>
    <row r="607" spans="1:3" x14ac:dyDescent="0.2">
      <c r="A607" s="2">
        <v>606</v>
      </c>
      <c r="B607" s="22">
        <v>40500</v>
      </c>
      <c r="C607">
        <v>3</v>
      </c>
    </row>
    <row r="608" spans="1:3" x14ac:dyDescent="0.2">
      <c r="A608" s="2">
        <v>607</v>
      </c>
      <c r="B608" s="22">
        <v>33500</v>
      </c>
      <c r="C608">
        <v>3</v>
      </c>
    </row>
    <row r="609" spans="1:3" x14ac:dyDescent="0.2">
      <c r="A609" s="2">
        <v>608</v>
      </c>
      <c r="B609" s="22">
        <v>40000</v>
      </c>
      <c r="C609">
        <v>4</v>
      </c>
    </row>
    <row r="610" spans="1:3" x14ac:dyDescent="0.2">
      <c r="A610" s="2">
        <v>609</v>
      </c>
      <c r="B610" s="22">
        <v>59000</v>
      </c>
      <c r="C610">
        <v>3</v>
      </c>
    </row>
    <row r="611" spans="1:3" x14ac:dyDescent="0.2">
      <c r="A611" s="2">
        <v>610</v>
      </c>
      <c r="B611" s="22">
        <v>30000</v>
      </c>
      <c r="C611">
        <v>4</v>
      </c>
    </row>
    <row r="612" spans="1:3" x14ac:dyDescent="0.2">
      <c r="A612" s="2">
        <v>611</v>
      </c>
      <c r="B612" s="22">
        <v>39000</v>
      </c>
      <c r="C612">
        <v>5</v>
      </c>
    </row>
    <row r="613" spans="1:3" x14ac:dyDescent="0.2">
      <c r="A613" s="2">
        <v>612</v>
      </c>
      <c r="B613" s="22">
        <v>42500</v>
      </c>
      <c r="C613">
        <v>3</v>
      </c>
    </row>
    <row r="614" spans="1:3" x14ac:dyDescent="0.2">
      <c r="A614" s="2">
        <v>613</v>
      </c>
      <c r="B614" s="22">
        <v>61000</v>
      </c>
      <c r="C614">
        <v>3</v>
      </c>
    </row>
    <row r="615" spans="1:3" x14ac:dyDescent="0.2">
      <c r="A615" s="2">
        <v>614</v>
      </c>
      <c r="B615" s="22">
        <v>20500</v>
      </c>
      <c r="C615">
        <v>4</v>
      </c>
    </row>
    <row r="616" spans="1:3" x14ac:dyDescent="0.2">
      <c r="A616" s="2">
        <v>615</v>
      </c>
      <c r="B616" s="22">
        <v>64500</v>
      </c>
      <c r="C616">
        <v>3</v>
      </c>
    </row>
    <row r="617" spans="1:3" x14ac:dyDescent="0.2">
      <c r="A617" s="2">
        <v>616</v>
      </c>
      <c r="B617" s="22">
        <v>35500</v>
      </c>
      <c r="C617">
        <v>4</v>
      </c>
    </row>
    <row r="618" spans="1:3" x14ac:dyDescent="0.2">
      <c r="A618" s="2">
        <v>617</v>
      </c>
      <c r="B618" s="22">
        <v>38000</v>
      </c>
      <c r="C618">
        <v>2</v>
      </c>
    </row>
    <row r="619" spans="1:3" x14ac:dyDescent="0.2">
      <c r="A619" s="2">
        <v>618</v>
      </c>
      <c r="B619" s="22">
        <v>37000</v>
      </c>
      <c r="C619">
        <v>2</v>
      </c>
    </row>
    <row r="620" spans="1:3" x14ac:dyDescent="0.2">
      <c r="A620" s="2">
        <v>619</v>
      </c>
      <c r="B620" s="22">
        <v>70500</v>
      </c>
      <c r="C620">
        <v>4</v>
      </c>
    </row>
    <row r="621" spans="1:3" x14ac:dyDescent="0.2">
      <c r="A621" s="2">
        <v>620</v>
      </c>
      <c r="B621" s="22">
        <v>37000</v>
      </c>
      <c r="C621">
        <v>3</v>
      </c>
    </row>
    <row r="622" spans="1:3" x14ac:dyDescent="0.2">
      <c r="A622" s="2">
        <v>621</v>
      </c>
      <c r="B622" s="22">
        <v>40500</v>
      </c>
      <c r="C622">
        <v>3</v>
      </c>
    </row>
    <row r="623" spans="1:3" x14ac:dyDescent="0.2">
      <c r="A623" s="2">
        <v>622</v>
      </c>
      <c r="B623" s="22">
        <v>54500</v>
      </c>
      <c r="C623">
        <v>3</v>
      </c>
    </row>
    <row r="624" spans="1:3" x14ac:dyDescent="0.2">
      <c r="A624" s="2">
        <v>623</v>
      </c>
      <c r="B624" s="22">
        <v>58000</v>
      </c>
      <c r="C624">
        <v>4</v>
      </c>
    </row>
    <row r="625" spans="1:3" x14ac:dyDescent="0.2">
      <c r="A625" s="2">
        <v>624</v>
      </c>
      <c r="B625" s="22">
        <v>43500</v>
      </c>
      <c r="C625">
        <v>3</v>
      </c>
    </row>
    <row r="626" spans="1:3" x14ac:dyDescent="0.2">
      <c r="A626" s="2">
        <v>625</v>
      </c>
      <c r="B626" s="22">
        <v>56500</v>
      </c>
      <c r="C626">
        <v>3</v>
      </c>
    </row>
    <row r="627" spans="1:3" x14ac:dyDescent="0.2">
      <c r="A627" s="2">
        <v>626</v>
      </c>
      <c r="B627" s="22">
        <v>54500</v>
      </c>
      <c r="C627">
        <v>3</v>
      </c>
    </row>
    <row r="628" spans="1:3" x14ac:dyDescent="0.2">
      <c r="A628" s="2">
        <v>627</v>
      </c>
      <c r="B628" s="22">
        <v>42500</v>
      </c>
      <c r="C628">
        <v>3</v>
      </c>
    </row>
    <row r="629" spans="1:3" x14ac:dyDescent="0.2">
      <c r="A629" s="2">
        <v>628</v>
      </c>
      <c r="B629" s="22">
        <v>59000</v>
      </c>
      <c r="C629">
        <v>4</v>
      </c>
    </row>
    <row r="630" spans="1:3" x14ac:dyDescent="0.2">
      <c r="A630" s="2">
        <v>629</v>
      </c>
      <c r="B630" s="22">
        <v>37000</v>
      </c>
      <c r="C630">
        <v>3</v>
      </c>
    </row>
    <row r="631" spans="1:3" x14ac:dyDescent="0.2">
      <c r="A631" s="2">
        <v>630</v>
      </c>
      <c r="B631" s="22">
        <v>57500</v>
      </c>
      <c r="C631">
        <v>3</v>
      </c>
    </row>
    <row r="632" spans="1:3" x14ac:dyDescent="0.2">
      <c r="A632" s="2">
        <v>631</v>
      </c>
      <c r="B632" s="22">
        <v>33000</v>
      </c>
      <c r="C632">
        <v>3</v>
      </c>
    </row>
    <row r="633" spans="1:3" x14ac:dyDescent="0.2">
      <c r="A633" s="2">
        <v>632</v>
      </c>
      <c r="B633" s="22">
        <v>37000</v>
      </c>
      <c r="C633">
        <v>3</v>
      </c>
    </row>
    <row r="634" spans="1:3" x14ac:dyDescent="0.2">
      <c r="A634" s="2">
        <v>633</v>
      </c>
      <c r="B634" s="22">
        <v>51000</v>
      </c>
      <c r="C634">
        <v>3</v>
      </c>
    </row>
    <row r="635" spans="1:3" x14ac:dyDescent="0.2">
      <c r="A635" s="2">
        <v>634</v>
      </c>
      <c r="B635" s="22">
        <v>37000</v>
      </c>
      <c r="C635">
        <v>3</v>
      </c>
    </row>
    <row r="636" spans="1:3" x14ac:dyDescent="0.2">
      <c r="A636" s="2">
        <v>635</v>
      </c>
      <c r="B636" s="22">
        <v>15000</v>
      </c>
      <c r="C636">
        <v>3</v>
      </c>
    </row>
    <row r="637" spans="1:3" x14ac:dyDescent="0.2">
      <c r="A637" s="2">
        <v>636</v>
      </c>
      <c r="B637" s="22">
        <v>143000</v>
      </c>
      <c r="C637">
        <v>4</v>
      </c>
    </row>
    <row r="638" spans="1:3" x14ac:dyDescent="0.2">
      <c r="A638" s="2">
        <v>637</v>
      </c>
      <c r="B638" s="22">
        <v>36000</v>
      </c>
      <c r="C638">
        <v>3</v>
      </c>
    </row>
    <row r="639" spans="1:3" x14ac:dyDescent="0.2">
      <c r="A639" s="2">
        <v>638</v>
      </c>
      <c r="B639" s="22">
        <v>24000</v>
      </c>
      <c r="C639">
        <v>3</v>
      </c>
    </row>
    <row r="640" spans="1:3" x14ac:dyDescent="0.2">
      <c r="A640" s="2">
        <v>639</v>
      </c>
      <c r="B640" s="22">
        <v>45000</v>
      </c>
      <c r="C640">
        <v>3</v>
      </c>
    </row>
    <row r="641" spans="1:3" x14ac:dyDescent="0.2">
      <c r="A641" s="2">
        <v>640</v>
      </c>
      <c r="B641" s="22">
        <v>30000</v>
      </c>
      <c r="C641">
        <v>3</v>
      </c>
    </row>
    <row r="642" spans="1:3" x14ac:dyDescent="0.2">
      <c r="A642" s="2">
        <v>641</v>
      </c>
      <c r="B642" s="22">
        <v>36500</v>
      </c>
      <c r="C642">
        <v>2</v>
      </c>
    </row>
    <row r="643" spans="1:3" x14ac:dyDescent="0.2">
      <c r="A643" s="2">
        <v>642</v>
      </c>
      <c r="B643" s="22">
        <v>30500</v>
      </c>
      <c r="C643">
        <v>3</v>
      </c>
    </row>
    <row r="644" spans="1:3" x14ac:dyDescent="0.2">
      <c r="A644" s="2">
        <v>643</v>
      </c>
      <c r="B644" s="22">
        <v>55500</v>
      </c>
      <c r="C644">
        <v>3</v>
      </c>
    </row>
    <row r="645" spans="1:3" x14ac:dyDescent="0.2">
      <c r="A645" s="2">
        <v>644</v>
      </c>
      <c r="B645" s="22">
        <v>15500</v>
      </c>
      <c r="C645">
        <v>2</v>
      </c>
    </row>
    <row r="646" spans="1:3" x14ac:dyDescent="0.2">
      <c r="A646" s="2">
        <v>645</v>
      </c>
      <c r="B646" s="22">
        <v>35500</v>
      </c>
      <c r="C646">
        <v>3</v>
      </c>
    </row>
    <row r="647" spans="1:3" x14ac:dyDescent="0.2">
      <c r="A647" s="2">
        <v>646</v>
      </c>
      <c r="B647" s="22">
        <v>29000</v>
      </c>
      <c r="C647">
        <v>1</v>
      </c>
    </row>
    <row r="648" spans="1:3" x14ac:dyDescent="0.2">
      <c r="A648" s="2">
        <v>647</v>
      </c>
      <c r="B648" s="22">
        <v>19000</v>
      </c>
      <c r="C648">
        <v>4</v>
      </c>
    </row>
    <row r="649" spans="1:3" x14ac:dyDescent="0.2">
      <c r="A649" s="2">
        <v>648</v>
      </c>
      <c r="B649" s="22">
        <v>30000</v>
      </c>
      <c r="C649">
        <v>3</v>
      </c>
    </row>
    <row r="650" spans="1:3" x14ac:dyDescent="0.2">
      <c r="A650" s="2">
        <v>649</v>
      </c>
      <c r="B650" s="22">
        <v>30500</v>
      </c>
      <c r="C650">
        <v>3</v>
      </c>
    </row>
    <row r="651" spans="1:3" x14ac:dyDescent="0.2">
      <c r="A651" s="2">
        <v>650</v>
      </c>
      <c r="B651" s="22">
        <v>33500</v>
      </c>
      <c r="C651">
        <v>3</v>
      </c>
    </row>
    <row r="652" spans="1:3" x14ac:dyDescent="0.2">
      <c r="A652" s="2">
        <v>651</v>
      </c>
      <c r="B652" s="22">
        <v>32000</v>
      </c>
      <c r="C652">
        <v>4</v>
      </c>
    </row>
    <row r="653" spans="1:3" x14ac:dyDescent="0.2">
      <c r="A653" s="2">
        <v>652</v>
      </c>
      <c r="B653" s="22">
        <v>36000</v>
      </c>
      <c r="C653">
        <v>4</v>
      </c>
    </row>
    <row r="654" spans="1:3" x14ac:dyDescent="0.2">
      <c r="A654" s="2">
        <v>653</v>
      </c>
      <c r="B654" s="22">
        <v>30500</v>
      </c>
      <c r="C654">
        <v>4</v>
      </c>
    </row>
    <row r="655" spans="1:3" x14ac:dyDescent="0.2">
      <c r="A655" s="2">
        <v>654</v>
      </c>
      <c r="B655" s="22">
        <v>34000</v>
      </c>
      <c r="C655">
        <v>2</v>
      </c>
    </row>
    <row r="656" spans="1:3" x14ac:dyDescent="0.2">
      <c r="A656" s="2">
        <v>655</v>
      </c>
      <c r="B656" s="22">
        <v>35500</v>
      </c>
      <c r="C656">
        <v>2</v>
      </c>
    </row>
    <row r="657" spans="1:3" x14ac:dyDescent="0.2">
      <c r="A657" s="2">
        <v>656</v>
      </c>
      <c r="B657" s="22">
        <v>18500</v>
      </c>
      <c r="C657">
        <v>3</v>
      </c>
    </row>
    <row r="658" spans="1:3" x14ac:dyDescent="0.2">
      <c r="A658" s="2">
        <v>657</v>
      </c>
      <c r="B658" s="22">
        <v>28000</v>
      </c>
      <c r="C658">
        <v>3</v>
      </c>
    </row>
    <row r="659" spans="1:3" x14ac:dyDescent="0.2">
      <c r="A659" s="2">
        <v>658</v>
      </c>
      <c r="B659" s="22">
        <v>22000</v>
      </c>
      <c r="C659">
        <v>2</v>
      </c>
    </row>
    <row r="660" spans="1:3" x14ac:dyDescent="0.2">
      <c r="A660" s="2">
        <v>659</v>
      </c>
      <c r="B660" s="22">
        <v>98500</v>
      </c>
      <c r="C660">
        <v>2</v>
      </c>
    </row>
    <row r="661" spans="1:3" x14ac:dyDescent="0.2">
      <c r="A661" s="2">
        <v>660</v>
      </c>
      <c r="B661" s="22">
        <v>112000</v>
      </c>
      <c r="C661">
        <v>3</v>
      </c>
    </row>
    <row r="662" spans="1:3" x14ac:dyDescent="0.2">
      <c r="A662" s="2">
        <v>661</v>
      </c>
      <c r="B662" s="22">
        <v>33500</v>
      </c>
      <c r="C662">
        <v>3</v>
      </c>
    </row>
    <row r="663" spans="1:3" x14ac:dyDescent="0.2">
      <c r="A663" s="2">
        <v>662</v>
      </c>
      <c r="B663" s="22">
        <v>90000</v>
      </c>
      <c r="C663">
        <v>4</v>
      </c>
    </row>
    <row r="664" spans="1:3" x14ac:dyDescent="0.2">
      <c r="A664" s="2">
        <v>663</v>
      </c>
      <c r="B664" s="22">
        <v>33500</v>
      </c>
      <c r="C664">
        <v>3</v>
      </c>
    </row>
    <row r="665" spans="1:3" x14ac:dyDescent="0.2">
      <c r="A665" s="2">
        <v>664</v>
      </c>
      <c r="B665" s="22">
        <v>91000</v>
      </c>
      <c r="C665">
        <v>3</v>
      </c>
    </row>
    <row r="666" spans="1:3" x14ac:dyDescent="0.2">
      <c r="A666" s="2">
        <v>665</v>
      </c>
      <c r="B666" s="22">
        <v>38500</v>
      </c>
      <c r="C666">
        <v>3</v>
      </c>
    </row>
    <row r="667" spans="1:3" x14ac:dyDescent="0.2">
      <c r="A667" s="2">
        <v>666</v>
      </c>
      <c r="B667" s="22">
        <v>91000</v>
      </c>
      <c r="C667">
        <v>3</v>
      </c>
    </row>
    <row r="668" spans="1:3" x14ac:dyDescent="0.2">
      <c r="A668" s="2">
        <v>667</v>
      </c>
      <c r="B668" s="22">
        <v>34000</v>
      </c>
      <c r="C668">
        <v>3</v>
      </c>
    </row>
    <row r="669" spans="1:3" x14ac:dyDescent="0.2">
      <c r="A669" s="2">
        <v>668</v>
      </c>
      <c r="B669" s="22">
        <v>42000</v>
      </c>
      <c r="C669">
        <v>4</v>
      </c>
    </row>
    <row r="670" spans="1:3" x14ac:dyDescent="0.2">
      <c r="A670" s="2">
        <v>669</v>
      </c>
      <c r="B670" s="22">
        <v>28000</v>
      </c>
      <c r="C670">
        <v>2</v>
      </c>
    </row>
    <row r="671" spans="1:3" x14ac:dyDescent="0.2">
      <c r="A671" s="2">
        <v>670</v>
      </c>
      <c r="B671" s="22">
        <v>57500</v>
      </c>
      <c r="C671">
        <v>4</v>
      </c>
    </row>
    <row r="672" spans="1:3" x14ac:dyDescent="0.2">
      <c r="A672" s="2">
        <v>671</v>
      </c>
      <c r="B672" s="22">
        <v>35500</v>
      </c>
      <c r="C672">
        <v>2</v>
      </c>
    </row>
    <row r="673" spans="1:3" x14ac:dyDescent="0.2">
      <c r="A673" s="2">
        <v>672</v>
      </c>
      <c r="B673" s="22">
        <v>76000</v>
      </c>
      <c r="C673">
        <v>1</v>
      </c>
    </row>
    <row r="674" spans="1:3" x14ac:dyDescent="0.2">
      <c r="A674" s="2">
        <v>673</v>
      </c>
      <c r="B674" s="22">
        <v>33500</v>
      </c>
      <c r="C674">
        <v>1</v>
      </c>
    </row>
    <row r="675" spans="1:3" x14ac:dyDescent="0.2">
      <c r="A675" s="2">
        <v>674</v>
      </c>
      <c r="B675" s="22">
        <v>55000</v>
      </c>
      <c r="C675">
        <v>2</v>
      </c>
    </row>
    <row r="676" spans="1:3" x14ac:dyDescent="0.2">
      <c r="A676" s="2">
        <v>675</v>
      </c>
      <c r="B676" s="22">
        <v>23500</v>
      </c>
      <c r="C676">
        <v>2</v>
      </c>
    </row>
    <row r="677" spans="1:3" x14ac:dyDescent="0.2">
      <c r="A677" s="2">
        <v>676</v>
      </c>
      <c r="B677" s="22">
        <v>43500</v>
      </c>
      <c r="C677">
        <v>5</v>
      </c>
    </row>
    <row r="678" spans="1:3" x14ac:dyDescent="0.2">
      <c r="A678" s="2">
        <v>677</v>
      </c>
      <c r="B678" s="22">
        <v>59500</v>
      </c>
      <c r="C678">
        <v>3</v>
      </c>
    </row>
    <row r="679" spans="1:3" x14ac:dyDescent="0.2">
      <c r="A679" s="2">
        <v>678</v>
      </c>
      <c r="B679" s="22">
        <v>31000</v>
      </c>
      <c r="C679">
        <v>3</v>
      </c>
    </row>
    <row r="680" spans="1:3" x14ac:dyDescent="0.2">
      <c r="A680" s="2">
        <v>679</v>
      </c>
      <c r="B680" s="22">
        <v>92000</v>
      </c>
      <c r="C680">
        <v>4</v>
      </c>
    </row>
    <row r="681" spans="1:3" x14ac:dyDescent="0.2">
      <c r="A681" s="2">
        <v>680</v>
      </c>
      <c r="B681" s="22">
        <v>68500</v>
      </c>
      <c r="C681">
        <v>3</v>
      </c>
    </row>
    <row r="682" spans="1:3" x14ac:dyDescent="0.2">
      <c r="A682" s="2">
        <v>681</v>
      </c>
      <c r="B682" s="22">
        <v>42000</v>
      </c>
      <c r="C682">
        <v>4</v>
      </c>
    </row>
    <row r="683" spans="1:3" x14ac:dyDescent="0.2">
      <c r="A683" s="2">
        <v>682</v>
      </c>
      <c r="B683" s="22">
        <v>44500</v>
      </c>
      <c r="C683">
        <v>3</v>
      </c>
    </row>
    <row r="684" spans="1:3" x14ac:dyDescent="0.2">
      <c r="A684" s="2">
        <v>683</v>
      </c>
      <c r="B684" s="22">
        <v>42000</v>
      </c>
      <c r="C684">
        <v>3</v>
      </c>
    </row>
    <row r="685" spans="1:3" x14ac:dyDescent="0.2">
      <c r="A685" s="2">
        <v>684</v>
      </c>
      <c r="B685" s="22">
        <v>35500</v>
      </c>
      <c r="C685">
        <v>3</v>
      </c>
    </row>
    <row r="686" spans="1:3" x14ac:dyDescent="0.2">
      <c r="A686" s="2">
        <v>685</v>
      </c>
      <c r="B686" s="22">
        <v>43000</v>
      </c>
      <c r="C686">
        <v>4</v>
      </c>
    </row>
    <row r="687" spans="1:3" x14ac:dyDescent="0.2">
      <c r="A687" s="2">
        <v>686</v>
      </c>
      <c r="B687" s="22">
        <v>54000</v>
      </c>
      <c r="C687">
        <v>4</v>
      </c>
    </row>
    <row r="688" spans="1:3" x14ac:dyDescent="0.2">
      <c r="A688" s="2">
        <v>687</v>
      </c>
      <c r="B688" s="22">
        <v>40000</v>
      </c>
      <c r="C688">
        <v>3</v>
      </c>
    </row>
    <row r="689" spans="1:3" x14ac:dyDescent="0.2">
      <c r="A689" s="2">
        <v>688</v>
      </c>
      <c r="B689" s="22">
        <v>23000</v>
      </c>
      <c r="C689">
        <v>3</v>
      </c>
    </row>
    <row r="690" spans="1:3" x14ac:dyDescent="0.2">
      <c r="A690" s="2">
        <v>689</v>
      </c>
      <c r="B690" s="22">
        <v>41000</v>
      </c>
      <c r="C690">
        <v>3</v>
      </c>
    </row>
    <row r="691" spans="1:3" x14ac:dyDescent="0.2">
      <c r="A691" s="2">
        <v>690</v>
      </c>
      <c r="B691" s="22">
        <v>37500</v>
      </c>
      <c r="C691">
        <v>2</v>
      </c>
    </row>
    <row r="692" spans="1:3" x14ac:dyDescent="0.2">
      <c r="A692" s="2">
        <v>691</v>
      </c>
      <c r="B692" s="22">
        <v>33500</v>
      </c>
      <c r="C692">
        <v>3</v>
      </c>
    </row>
    <row r="693" spans="1:3" x14ac:dyDescent="0.2">
      <c r="A693" s="2">
        <v>692</v>
      </c>
      <c r="B693" s="22">
        <v>38500</v>
      </c>
      <c r="C693">
        <v>4</v>
      </c>
    </row>
    <row r="694" spans="1:3" x14ac:dyDescent="0.2">
      <c r="A694" s="2">
        <v>693</v>
      </c>
      <c r="B694" s="22">
        <v>30000</v>
      </c>
      <c r="C694">
        <v>2</v>
      </c>
    </row>
    <row r="695" spans="1:3" x14ac:dyDescent="0.2">
      <c r="A695" s="2">
        <v>694</v>
      </c>
      <c r="B695" s="22">
        <v>22500</v>
      </c>
      <c r="C695">
        <v>3</v>
      </c>
    </row>
    <row r="696" spans="1:3" x14ac:dyDescent="0.2">
      <c r="A696" s="2">
        <v>695</v>
      </c>
      <c r="B696" s="22">
        <v>74000</v>
      </c>
      <c r="C696">
        <v>4</v>
      </c>
    </row>
    <row r="697" spans="1:3" x14ac:dyDescent="0.2">
      <c r="A697" s="2">
        <v>696</v>
      </c>
      <c r="B697" s="22">
        <v>33500</v>
      </c>
      <c r="C697">
        <v>3</v>
      </c>
    </row>
    <row r="698" spans="1:3" x14ac:dyDescent="0.2">
      <c r="A698" s="2">
        <v>697</v>
      </c>
      <c r="B698" s="22">
        <v>47000</v>
      </c>
      <c r="C698">
        <v>2</v>
      </c>
    </row>
    <row r="699" spans="1:3" x14ac:dyDescent="0.2">
      <c r="A699" s="2">
        <v>698</v>
      </c>
      <c r="B699" s="22">
        <v>36500</v>
      </c>
      <c r="C699">
        <v>3</v>
      </c>
    </row>
    <row r="700" spans="1:3" x14ac:dyDescent="0.2">
      <c r="A700" s="2">
        <v>699</v>
      </c>
      <c r="B700" s="22">
        <v>22000</v>
      </c>
      <c r="C700">
        <v>3</v>
      </c>
    </row>
    <row r="701" spans="1:3" x14ac:dyDescent="0.2">
      <c r="A701" s="2">
        <v>700</v>
      </c>
      <c r="B701" s="22">
        <v>43500</v>
      </c>
      <c r="C701">
        <v>2</v>
      </c>
    </row>
    <row r="702" spans="1:3" x14ac:dyDescent="0.2">
      <c r="A702" s="2">
        <v>701</v>
      </c>
      <c r="B702" s="22">
        <v>39000</v>
      </c>
      <c r="C702">
        <v>3</v>
      </c>
    </row>
    <row r="703" spans="1:3" x14ac:dyDescent="0.2">
      <c r="A703" s="2">
        <v>702</v>
      </c>
      <c r="B703" s="22">
        <v>89000</v>
      </c>
      <c r="C703">
        <v>4</v>
      </c>
    </row>
    <row r="704" spans="1:3" x14ac:dyDescent="0.2">
      <c r="A704" s="2">
        <v>703</v>
      </c>
      <c r="B704" s="22">
        <v>59500</v>
      </c>
      <c r="C704">
        <v>3</v>
      </c>
    </row>
    <row r="705" spans="1:3" x14ac:dyDescent="0.2">
      <c r="A705" s="2">
        <v>704</v>
      </c>
      <c r="B705" s="22">
        <v>43500</v>
      </c>
      <c r="C705">
        <v>3</v>
      </c>
    </row>
    <row r="706" spans="1:3" x14ac:dyDescent="0.2">
      <c r="A706" s="2">
        <v>705</v>
      </c>
      <c r="B706" s="22">
        <v>72000</v>
      </c>
      <c r="C706">
        <v>4</v>
      </c>
    </row>
    <row r="707" spans="1:3" x14ac:dyDescent="0.2">
      <c r="A707" s="2">
        <v>706</v>
      </c>
      <c r="B707" s="22">
        <v>23000</v>
      </c>
      <c r="C707">
        <v>4</v>
      </c>
    </row>
    <row r="708" spans="1:3" x14ac:dyDescent="0.2">
      <c r="A708" s="2">
        <v>707</v>
      </c>
      <c r="B708" s="22">
        <v>35500</v>
      </c>
      <c r="C708">
        <v>3</v>
      </c>
    </row>
    <row r="709" spans="1:3" x14ac:dyDescent="0.2">
      <c r="A709" s="2">
        <v>708</v>
      </c>
      <c r="B709" s="22">
        <v>38000</v>
      </c>
      <c r="C709">
        <v>4</v>
      </c>
    </row>
    <row r="710" spans="1:3" x14ac:dyDescent="0.2">
      <c r="A710" s="2">
        <v>709</v>
      </c>
      <c r="B710" s="22">
        <v>40000</v>
      </c>
      <c r="C710">
        <v>3</v>
      </c>
    </row>
    <row r="711" spans="1:3" x14ac:dyDescent="0.2">
      <c r="A711" s="2">
        <v>710</v>
      </c>
      <c r="B711" s="22">
        <v>22500</v>
      </c>
      <c r="C711">
        <v>3</v>
      </c>
    </row>
    <row r="712" spans="1:3" x14ac:dyDescent="0.2">
      <c r="A712" s="2">
        <v>711</v>
      </c>
      <c r="B712" s="22">
        <v>41000</v>
      </c>
      <c r="C712">
        <v>3</v>
      </c>
    </row>
    <row r="713" spans="1:3" x14ac:dyDescent="0.2">
      <c r="A713" s="2">
        <v>712</v>
      </c>
      <c r="B713" s="22">
        <v>34500</v>
      </c>
      <c r="C713">
        <v>4</v>
      </c>
    </row>
    <row r="714" spans="1:3" x14ac:dyDescent="0.2">
      <c r="A714" s="2">
        <v>713</v>
      </c>
      <c r="B714" s="22">
        <v>20500</v>
      </c>
      <c r="C714">
        <v>5</v>
      </c>
    </row>
    <row r="715" spans="1:3" x14ac:dyDescent="0.2">
      <c r="A715" s="2">
        <v>714</v>
      </c>
      <c r="B715" s="22">
        <v>42000</v>
      </c>
      <c r="C715">
        <v>4</v>
      </c>
    </row>
    <row r="716" spans="1:3" x14ac:dyDescent="0.2">
      <c r="A716" s="2">
        <v>715</v>
      </c>
      <c r="B716" s="22">
        <v>19000</v>
      </c>
      <c r="C716">
        <v>3</v>
      </c>
    </row>
    <row r="717" spans="1:3" x14ac:dyDescent="0.2">
      <c r="A717" s="2">
        <v>716</v>
      </c>
      <c r="B717" s="22">
        <v>36000</v>
      </c>
      <c r="C717">
        <v>5</v>
      </c>
    </row>
    <row r="718" spans="1:3" x14ac:dyDescent="0.2">
      <c r="A718" s="2">
        <v>717</v>
      </c>
      <c r="B718" s="22">
        <v>36000</v>
      </c>
      <c r="C718">
        <v>4</v>
      </c>
    </row>
    <row r="719" spans="1:3" x14ac:dyDescent="0.2">
      <c r="A719" s="2">
        <v>718</v>
      </c>
      <c r="B719" s="22">
        <v>33500</v>
      </c>
      <c r="C719">
        <v>4</v>
      </c>
    </row>
    <row r="720" spans="1:3" x14ac:dyDescent="0.2">
      <c r="A720" s="2">
        <v>719</v>
      </c>
      <c r="B720" s="22">
        <v>17000</v>
      </c>
      <c r="C720">
        <v>2</v>
      </c>
    </row>
    <row r="721" spans="1:3" x14ac:dyDescent="0.2">
      <c r="A721" s="2">
        <v>720</v>
      </c>
      <c r="B721" s="22">
        <v>67500</v>
      </c>
      <c r="C721">
        <v>1</v>
      </c>
    </row>
    <row r="722" spans="1:3" x14ac:dyDescent="0.2">
      <c r="A722" s="2">
        <v>721</v>
      </c>
      <c r="B722" s="22">
        <v>39500</v>
      </c>
      <c r="C722">
        <v>2</v>
      </c>
    </row>
    <row r="723" spans="1:3" x14ac:dyDescent="0.2">
      <c r="A723" s="2">
        <v>722</v>
      </c>
      <c r="B723" s="22">
        <v>36500</v>
      </c>
      <c r="C723">
        <v>4</v>
      </c>
    </row>
    <row r="724" spans="1:3" x14ac:dyDescent="0.2">
      <c r="A724" s="2">
        <v>723</v>
      </c>
      <c r="B724" s="22">
        <v>20500</v>
      </c>
      <c r="C724">
        <v>3</v>
      </c>
    </row>
    <row r="725" spans="1:3" x14ac:dyDescent="0.2">
      <c r="A725" s="2">
        <v>724</v>
      </c>
      <c r="B725" s="22">
        <v>62000</v>
      </c>
      <c r="C725">
        <v>4</v>
      </c>
    </row>
    <row r="726" spans="1:3" x14ac:dyDescent="0.2">
      <c r="A726" s="2">
        <v>725</v>
      </c>
      <c r="B726" s="22">
        <v>38000</v>
      </c>
      <c r="C726">
        <v>5</v>
      </c>
    </row>
    <row r="727" spans="1:3" x14ac:dyDescent="0.2">
      <c r="A727" s="2">
        <v>726</v>
      </c>
      <c r="B727" s="22">
        <v>25000</v>
      </c>
      <c r="C727">
        <v>1</v>
      </c>
    </row>
    <row r="728" spans="1:3" x14ac:dyDescent="0.2">
      <c r="A728" s="2">
        <v>727</v>
      </c>
      <c r="B728" s="22">
        <v>99500</v>
      </c>
      <c r="C728">
        <v>4</v>
      </c>
    </row>
    <row r="729" spans="1:3" x14ac:dyDescent="0.2">
      <c r="A729" s="2">
        <v>728</v>
      </c>
      <c r="B729" s="22">
        <v>35000</v>
      </c>
      <c r="C729">
        <v>3</v>
      </c>
    </row>
    <row r="730" spans="1:3" x14ac:dyDescent="0.2">
      <c r="A730" s="2">
        <v>729</v>
      </c>
      <c r="B730" s="22">
        <v>38000</v>
      </c>
      <c r="C730">
        <v>3</v>
      </c>
    </row>
    <row r="731" spans="1:3" x14ac:dyDescent="0.2">
      <c r="A731" s="2">
        <v>730</v>
      </c>
      <c r="B731" s="22">
        <v>55500</v>
      </c>
      <c r="C731">
        <v>3</v>
      </c>
    </row>
    <row r="732" spans="1:3" x14ac:dyDescent="0.2">
      <c r="A732" s="2">
        <v>731</v>
      </c>
      <c r="B732" s="22">
        <v>38000</v>
      </c>
      <c r="C732">
        <v>4</v>
      </c>
    </row>
    <row r="733" spans="1:3" x14ac:dyDescent="0.2">
      <c r="A733" s="2">
        <v>732</v>
      </c>
      <c r="B733" s="22">
        <v>33500</v>
      </c>
      <c r="C733">
        <v>3</v>
      </c>
    </row>
    <row r="734" spans="1:3" x14ac:dyDescent="0.2">
      <c r="A734" s="2">
        <v>733</v>
      </c>
      <c r="B734" s="22">
        <v>41000</v>
      </c>
      <c r="C734">
        <v>3</v>
      </c>
    </row>
    <row r="735" spans="1:3" x14ac:dyDescent="0.2">
      <c r="A735" s="2">
        <v>734</v>
      </c>
      <c r="B735" s="22">
        <v>41500</v>
      </c>
      <c r="C735">
        <v>3</v>
      </c>
    </row>
    <row r="736" spans="1:3" x14ac:dyDescent="0.2">
      <c r="A736" s="2">
        <v>735</v>
      </c>
      <c r="B736" s="22">
        <v>42500</v>
      </c>
      <c r="C736">
        <v>4</v>
      </c>
    </row>
    <row r="737" spans="1:3" x14ac:dyDescent="0.2">
      <c r="A737" s="2">
        <v>736</v>
      </c>
      <c r="B737" s="22">
        <v>76500</v>
      </c>
      <c r="C737">
        <v>3</v>
      </c>
    </row>
    <row r="738" spans="1:3" x14ac:dyDescent="0.2">
      <c r="A738" s="2">
        <v>737</v>
      </c>
      <c r="B738" s="22">
        <v>34500</v>
      </c>
      <c r="C738">
        <v>3</v>
      </c>
    </row>
    <row r="739" spans="1:3" x14ac:dyDescent="0.2">
      <c r="A739" s="2">
        <v>738</v>
      </c>
      <c r="B739" s="22">
        <v>34000</v>
      </c>
      <c r="C739">
        <v>5</v>
      </c>
    </row>
    <row r="740" spans="1:3" x14ac:dyDescent="0.2">
      <c r="A740" s="2">
        <v>739</v>
      </c>
      <c r="B740" s="22">
        <v>96000</v>
      </c>
      <c r="C740">
        <v>5</v>
      </c>
    </row>
    <row r="741" spans="1:3" x14ac:dyDescent="0.2">
      <c r="A741" s="2">
        <v>740</v>
      </c>
      <c r="B741" s="22">
        <v>42000</v>
      </c>
      <c r="C741">
        <v>4</v>
      </c>
    </row>
    <row r="742" spans="1:3" x14ac:dyDescent="0.2">
      <c r="A742" s="2">
        <v>741</v>
      </c>
      <c r="B742" s="22">
        <v>47000</v>
      </c>
      <c r="C742">
        <v>2</v>
      </c>
    </row>
    <row r="743" spans="1:3" x14ac:dyDescent="0.2">
      <c r="A743" s="2">
        <v>742</v>
      </c>
      <c r="B743" s="22">
        <v>64500</v>
      </c>
      <c r="C743">
        <v>4</v>
      </c>
    </row>
    <row r="744" spans="1:3" x14ac:dyDescent="0.2">
      <c r="A744" s="2">
        <v>743</v>
      </c>
      <c r="B744" s="22">
        <v>80000</v>
      </c>
      <c r="C744">
        <v>3</v>
      </c>
    </row>
    <row r="745" spans="1:3" x14ac:dyDescent="0.2">
      <c r="A745" s="2">
        <v>744</v>
      </c>
      <c r="B745" s="22">
        <v>36000</v>
      </c>
      <c r="C745">
        <v>5</v>
      </c>
    </row>
    <row r="746" spans="1:3" x14ac:dyDescent="0.2">
      <c r="A746" s="2">
        <v>745</v>
      </c>
      <c r="B746" s="22">
        <v>32000</v>
      </c>
      <c r="C746">
        <v>3</v>
      </c>
    </row>
    <row r="747" spans="1:3" x14ac:dyDescent="0.2">
      <c r="A747" s="2">
        <v>746</v>
      </c>
      <c r="B747" s="22">
        <v>40000</v>
      </c>
      <c r="C747">
        <v>3</v>
      </c>
    </row>
    <row r="748" spans="1:3" x14ac:dyDescent="0.2">
      <c r="A748" s="2">
        <v>747</v>
      </c>
      <c r="B748" s="22">
        <v>35000</v>
      </c>
      <c r="C748">
        <v>3</v>
      </c>
    </row>
    <row r="749" spans="1:3" x14ac:dyDescent="0.2">
      <c r="A749" s="2">
        <v>748</v>
      </c>
      <c r="B749" s="22">
        <v>52500</v>
      </c>
      <c r="C749">
        <v>4</v>
      </c>
    </row>
    <row r="750" spans="1:3" x14ac:dyDescent="0.2">
      <c r="A750" s="2">
        <v>749</v>
      </c>
      <c r="B750" s="22">
        <v>34500</v>
      </c>
      <c r="C750">
        <v>2</v>
      </c>
    </row>
    <row r="751" spans="1:3" x14ac:dyDescent="0.2">
      <c r="A751" s="2">
        <v>750</v>
      </c>
      <c r="B751" s="22">
        <v>34000</v>
      </c>
      <c r="C751">
        <v>4</v>
      </c>
    </row>
    <row r="752" spans="1:3" x14ac:dyDescent="0.2">
      <c r="A752" s="2">
        <v>751</v>
      </c>
      <c r="B752" s="22">
        <v>57000</v>
      </c>
      <c r="C752">
        <v>3</v>
      </c>
    </row>
    <row r="753" spans="1:3" x14ac:dyDescent="0.2">
      <c r="A753" s="2">
        <v>752</v>
      </c>
      <c r="B753" s="22">
        <v>40000</v>
      </c>
      <c r="C753">
        <v>4</v>
      </c>
    </row>
    <row r="754" spans="1:3" x14ac:dyDescent="0.2">
      <c r="A754" s="2">
        <v>753</v>
      </c>
      <c r="B754" s="22">
        <v>42000</v>
      </c>
      <c r="C754">
        <v>3</v>
      </c>
    </row>
    <row r="755" spans="1:3" x14ac:dyDescent="0.2">
      <c r="A755" s="2">
        <v>754</v>
      </c>
      <c r="B755" s="22">
        <v>37000</v>
      </c>
      <c r="C755">
        <v>4</v>
      </c>
    </row>
    <row r="756" spans="1:3" x14ac:dyDescent="0.2">
      <c r="A756" s="2">
        <v>755</v>
      </c>
      <c r="B756" s="22">
        <v>23500</v>
      </c>
      <c r="C756">
        <v>4</v>
      </c>
    </row>
    <row r="757" spans="1:3" x14ac:dyDescent="0.2">
      <c r="A757" s="2">
        <v>756</v>
      </c>
      <c r="B757" s="22">
        <v>42000</v>
      </c>
      <c r="C757">
        <v>3</v>
      </c>
    </row>
    <row r="758" spans="1:3" x14ac:dyDescent="0.2">
      <c r="A758" s="2">
        <v>757</v>
      </c>
      <c r="B758" s="22">
        <v>79000</v>
      </c>
      <c r="C758">
        <v>3</v>
      </c>
    </row>
    <row r="759" spans="1:3" x14ac:dyDescent="0.2">
      <c r="A759" s="2">
        <v>758</v>
      </c>
      <c r="B759" s="22">
        <v>29500</v>
      </c>
      <c r="C759">
        <v>5</v>
      </c>
    </row>
    <row r="760" spans="1:3" x14ac:dyDescent="0.2">
      <c r="A760" s="2">
        <v>759</v>
      </c>
      <c r="B760" s="22">
        <v>74000</v>
      </c>
      <c r="C760">
        <v>5</v>
      </c>
    </row>
    <row r="761" spans="1:3" x14ac:dyDescent="0.2">
      <c r="A761" s="2">
        <v>760</v>
      </c>
      <c r="B761" s="22">
        <v>36500</v>
      </c>
      <c r="C761">
        <v>2</v>
      </c>
    </row>
    <row r="762" spans="1:3" x14ac:dyDescent="0.2">
      <c r="A762" s="2">
        <v>761</v>
      </c>
      <c r="B762" s="22">
        <v>81500</v>
      </c>
      <c r="C762">
        <v>3</v>
      </c>
    </row>
    <row r="763" spans="1:3" x14ac:dyDescent="0.2">
      <c r="A763" s="2">
        <v>762</v>
      </c>
      <c r="B763" s="22">
        <v>26000</v>
      </c>
      <c r="C763">
        <v>2</v>
      </c>
    </row>
    <row r="764" spans="1:3" x14ac:dyDescent="0.2">
      <c r="A764" s="2">
        <v>763</v>
      </c>
      <c r="B764" s="22">
        <v>33000</v>
      </c>
      <c r="C764">
        <v>3</v>
      </c>
    </row>
    <row r="765" spans="1:3" x14ac:dyDescent="0.2">
      <c r="A765" s="2">
        <v>764</v>
      </c>
      <c r="B765" s="22">
        <v>73000</v>
      </c>
      <c r="C765">
        <v>4</v>
      </c>
    </row>
    <row r="766" spans="1:3" x14ac:dyDescent="0.2">
      <c r="A766" s="2">
        <v>765</v>
      </c>
      <c r="B766" s="22">
        <v>37500</v>
      </c>
      <c r="C766">
        <v>3</v>
      </c>
    </row>
    <row r="767" spans="1:3" x14ac:dyDescent="0.2">
      <c r="A767" s="2">
        <v>766</v>
      </c>
      <c r="B767" s="22">
        <v>19000</v>
      </c>
      <c r="C767">
        <v>4</v>
      </c>
    </row>
    <row r="768" spans="1:3" x14ac:dyDescent="0.2">
      <c r="A768" s="2">
        <v>767</v>
      </c>
      <c r="B768" s="22">
        <v>36000</v>
      </c>
      <c r="C768">
        <v>3</v>
      </c>
    </row>
    <row r="769" spans="1:3" x14ac:dyDescent="0.2">
      <c r="A769" s="2">
        <v>768</v>
      </c>
      <c r="B769" s="22">
        <v>23500</v>
      </c>
      <c r="C769">
        <v>3</v>
      </c>
    </row>
    <row r="770" spans="1:3" x14ac:dyDescent="0.2">
      <c r="A770" s="2">
        <v>769</v>
      </c>
      <c r="B770" s="22">
        <v>39000</v>
      </c>
      <c r="C770">
        <v>3</v>
      </c>
    </row>
    <row r="771" spans="1:3" x14ac:dyDescent="0.2">
      <c r="A771" s="2">
        <v>770</v>
      </c>
      <c r="B771" s="22">
        <v>35500</v>
      </c>
      <c r="C771">
        <v>3</v>
      </c>
    </row>
    <row r="772" spans="1:3" x14ac:dyDescent="0.2">
      <c r="A772" s="2">
        <v>771</v>
      </c>
      <c r="B772" s="22">
        <v>40000</v>
      </c>
      <c r="C772">
        <v>2</v>
      </c>
    </row>
    <row r="773" spans="1:3" x14ac:dyDescent="0.2">
      <c r="A773" s="2">
        <v>772</v>
      </c>
      <c r="B773" s="22">
        <v>63000</v>
      </c>
      <c r="C773">
        <v>4</v>
      </c>
    </row>
    <row r="774" spans="1:3" x14ac:dyDescent="0.2">
      <c r="A774" s="2">
        <v>773</v>
      </c>
      <c r="B774" s="22">
        <v>18500</v>
      </c>
      <c r="C774">
        <v>4</v>
      </c>
    </row>
    <row r="775" spans="1:3" x14ac:dyDescent="0.2">
      <c r="A775" s="2">
        <v>774</v>
      </c>
      <c r="B775" s="22">
        <v>30500</v>
      </c>
      <c r="C775">
        <v>3</v>
      </c>
    </row>
    <row r="776" spans="1:3" x14ac:dyDescent="0.2">
      <c r="A776" s="2">
        <v>775</v>
      </c>
      <c r="B776" s="22">
        <v>34000</v>
      </c>
      <c r="C776">
        <v>3</v>
      </c>
    </row>
    <row r="777" spans="1:3" x14ac:dyDescent="0.2">
      <c r="A777" s="2">
        <v>776</v>
      </c>
      <c r="B777" s="22">
        <v>34000</v>
      </c>
      <c r="C777">
        <v>3</v>
      </c>
    </row>
    <row r="778" spans="1:3" x14ac:dyDescent="0.2">
      <c r="A778" s="2">
        <v>777</v>
      </c>
      <c r="B778" s="22">
        <v>50000</v>
      </c>
      <c r="C778">
        <v>3</v>
      </c>
    </row>
    <row r="779" spans="1:3" x14ac:dyDescent="0.2">
      <c r="A779" s="2">
        <v>778</v>
      </c>
      <c r="B779" s="22">
        <v>35000</v>
      </c>
      <c r="C779">
        <v>4</v>
      </c>
    </row>
    <row r="780" spans="1:3" x14ac:dyDescent="0.2">
      <c r="A780" s="2">
        <v>779</v>
      </c>
      <c r="B780" s="22">
        <v>54000</v>
      </c>
      <c r="C780">
        <v>3</v>
      </c>
    </row>
    <row r="781" spans="1:3" x14ac:dyDescent="0.2">
      <c r="A781" s="2">
        <v>780</v>
      </c>
      <c r="B781" s="22">
        <v>49500</v>
      </c>
      <c r="C781">
        <v>3</v>
      </c>
    </row>
    <row r="782" spans="1:3" x14ac:dyDescent="0.2">
      <c r="A782" s="2">
        <v>781</v>
      </c>
      <c r="B782" s="22">
        <v>34000</v>
      </c>
      <c r="C782">
        <v>3</v>
      </c>
    </row>
    <row r="783" spans="1:3" x14ac:dyDescent="0.2">
      <c r="A783" s="2">
        <v>782</v>
      </c>
      <c r="B783" s="22">
        <v>20000</v>
      </c>
      <c r="C783">
        <v>4</v>
      </c>
    </row>
    <row r="784" spans="1:3" x14ac:dyDescent="0.2">
      <c r="A784" s="2">
        <v>783</v>
      </c>
      <c r="B784" s="22">
        <v>207000</v>
      </c>
      <c r="C784">
        <v>4</v>
      </c>
    </row>
    <row r="785" spans="1:3" x14ac:dyDescent="0.2">
      <c r="A785" s="2">
        <v>784</v>
      </c>
      <c r="B785" s="22">
        <v>40500</v>
      </c>
      <c r="C785">
        <v>4</v>
      </c>
    </row>
    <row r="786" spans="1:3" x14ac:dyDescent="0.2">
      <c r="A786" s="2">
        <v>785</v>
      </c>
      <c r="B786" s="22">
        <v>58000</v>
      </c>
      <c r="C786">
        <v>4</v>
      </c>
    </row>
    <row r="787" spans="1:3" x14ac:dyDescent="0.2">
      <c r="A787" s="2">
        <v>786</v>
      </c>
      <c r="B787" s="22">
        <v>58000</v>
      </c>
      <c r="C787">
        <v>2</v>
      </c>
    </row>
    <row r="788" spans="1:3" x14ac:dyDescent="0.2">
      <c r="A788" s="2">
        <v>787</v>
      </c>
      <c r="B788" s="22">
        <v>56000</v>
      </c>
      <c r="C788">
        <v>2</v>
      </c>
    </row>
    <row r="789" spans="1:3" x14ac:dyDescent="0.2">
      <c r="A789" s="2">
        <v>788</v>
      </c>
      <c r="B789" s="22">
        <v>36000</v>
      </c>
      <c r="C789">
        <v>1</v>
      </c>
    </row>
    <row r="790" spans="1:3" x14ac:dyDescent="0.2">
      <c r="A790" s="2">
        <v>789</v>
      </c>
      <c r="B790" s="22">
        <v>39500</v>
      </c>
      <c r="C790">
        <v>2</v>
      </c>
    </row>
    <row r="791" spans="1:3" x14ac:dyDescent="0.2">
      <c r="A791" s="2">
        <v>790</v>
      </c>
      <c r="B791" s="22">
        <v>41500</v>
      </c>
      <c r="C791">
        <v>3</v>
      </c>
    </row>
    <row r="792" spans="1:3" x14ac:dyDescent="0.2">
      <c r="A792" s="2">
        <v>791</v>
      </c>
      <c r="B792" s="22">
        <v>58500</v>
      </c>
      <c r="C792">
        <v>3</v>
      </c>
    </row>
    <row r="793" spans="1:3" x14ac:dyDescent="0.2">
      <c r="A793" s="2">
        <v>792</v>
      </c>
      <c r="B793" s="22">
        <v>70500</v>
      </c>
      <c r="C793">
        <v>3</v>
      </c>
    </row>
    <row r="794" spans="1:3" x14ac:dyDescent="0.2">
      <c r="A794" s="2">
        <v>793</v>
      </c>
      <c r="B794" s="22">
        <v>54000</v>
      </c>
      <c r="C794">
        <v>3</v>
      </c>
    </row>
    <row r="795" spans="1:3" x14ac:dyDescent="0.2">
      <c r="A795" s="2">
        <v>794</v>
      </c>
      <c r="B795" s="22">
        <v>43500</v>
      </c>
      <c r="C795">
        <v>3</v>
      </c>
    </row>
    <row r="796" spans="1:3" x14ac:dyDescent="0.2">
      <c r="A796" s="2">
        <v>795</v>
      </c>
      <c r="B796" s="22">
        <v>78000</v>
      </c>
      <c r="C796">
        <v>3</v>
      </c>
    </row>
    <row r="797" spans="1:3" x14ac:dyDescent="0.2">
      <c r="A797" s="2">
        <v>796</v>
      </c>
      <c r="B797" s="22">
        <v>74000</v>
      </c>
      <c r="C797">
        <v>2</v>
      </c>
    </row>
    <row r="798" spans="1:3" x14ac:dyDescent="0.2">
      <c r="A798" s="2">
        <v>797</v>
      </c>
      <c r="B798" s="22">
        <v>45000</v>
      </c>
      <c r="C798">
        <v>4</v>
      </c>
    </row>
    <row r="799" spans="1:3" x14ac:dyDescent="0.2">
      <c r="A799" s="2">
        <v>798</v>
      </c>
      <c r="B799" s="22">
        <v>43000</v>
      </c>
      <c r="C799">
        <v>3</v>
      </c>
    </row>
    <row r="800" spans="1:3" x14ac:dyDescent="0.2">
      <c r="A800" s="2">
        <v>799</v>
      </c>
      <c r="B800" s="22">
        <v>40500</v>
      </c>
      <c r="C800">
        <v>3</v>
      </c>
    </row>
    <row r="801" spans="1:3" x14ac:dyDescent="0.2">
      <c r="A801" s="2">
        <v>800</v>
      </c>
      <c r="B801" s="22">
        <v>157000</v>
      </c>
      <c r="C801">
        <v>4</v>
      </c>
    </row>
    <row r="802" spans="1:3" x14ac:dyDescent="0.2">
      <c r="A802" s="2">
        <v>801</v>
      </c>
      <c r="B802" s="22">
        <v>33500</v>
      </c>
      <c r="C802">
        <v>1</v>
      </c>
    </row>
    <row r="803" spans="1:3" x14ac:dyDescent="0.2">
      <c r="A803" s="2">
        <v>802</v>
      </c>
      <c r="B803" s="22">
        <v>57000</v>
      </c>
      <c r="C803">
        <v>2</v>
      </c>
    </row>
    <row r="804" spans="1:3" x14ac:dyDescent="0.2">
      <c r="A804" s="2">
        <v>803</v>
      </c>
      <c r="B804" s="22">
        <v>37000</v>
      </c>
      <c r="C804">
        <v>1</v>
      </c>
    </row>
    <row r="805" spans="1:3" x14ac:dyDescent="0.2">
      <c r="A805" s="2">
        <v>804</v>
      </c>
      <c r="B805" s="22">
        <v>58500</v>
      </c>
      <c r="C805">
        <v>4</v>
      </c>
    </row>
    <row r="806" spans="1:3" x14ac:dyDescent="0.2">
      <c r="A806" s="2">
        <v>805</v>
      </c>
      <c r="B806" s="22">
        <v>58500</v>
      </c>
      <c r="C806">
        <v>2</v>
      </c>
    </row>
    <row r="807" spans="1:3" x14ac:dyDescent="0.2">
      <c r="A807" s="2">
        <v>806</v>
      </c>
      <c r="B807" s="22">
        <v>43000</v>
      </c>
      <c r="C807">
        <v>2</v>
      </c>
    </row>
    <row r="808" spans="1:3" x14ac:dyDescent="0.2">
      <c r="A808" s="2">
        <v>807</v>
      </c>
      <c r="B808" s="22">
        <v>111500</v>
      </c>
      <c r="C808">
        <v>3</v>
      </c>
    </row>
    <row r="809" spans="1:3" x14ac:dyDescent="0.2">
      <c r="A809" s="2">
        <v>808</v>
      </c>
      <c r="B809" s="22">
        <v>70500</v>
      </c>
      <c r="C809">
        <v>4</v>
      </c>
    </row>
    <row r="810" spans="1:3" x14ac:dyDescent="0.2">
      <c r="A810" s="2">
        <v>809</v>
      </c>
      <c r="B810" s="22">
        <v>49000</v>
      </c>
      <c r="C810">
        <v>3</v>
      </c>
    </row>
    <row r="811" spans="1:3" x14ac:dyDescent="0.2">
      <c r="A811" s="2">
        <v>810</v>
      </c>
      <c r="B811" s="22">
        <v>62000</v>
      </c>
      <c r="C811">
        <v>4</v>
      </c>
    </row>
    <row r="812" spans="1:3" x14ac:dyDescent="0.2">
      <c r="A812" s="2">
        <v>811</v>
      </c>
      <c r="B812" s="22">
        <v>59500</v>
      </c>
      <c r="C812">
        <v>4</v>
      </c>
    </row>
    <row r="813" spans="1:3" x14ac:dyDescent="0.2">
      <c r="A813" s="2">
        <v>812</v>
      </c>
      <c r="B813" s="22">
        <v>144000</v>
      </c>
      <c r="C813">
        <v>3</v>
      </c>
    </row>
    <row r="814" spans="1:3" x14ac:dyDescent="0.2">
      <c r="A814" s="2">
        <v>813</v>
      </c>
      <c r="B814" s="22">
        <v>125500</v>
      </c>
      <c r="C814">
        <v>2</v>
      </c>
    </row>
    <row r="815" spans="1:3" x14ac:dyDescent="0.2">
      <c r="A815" s="2">
        <v>814</v>
      </c>
      <c r="B815" s="22">
        <v>112500</v>
      </c>
      <c r="C815">
        <v>4</v>
      </c>
    </row>
    <row r="816" spans="1:3" x14ac:dyDescent="0.2">
      <c r="A816" s="2">
        <v>815</v>
      </c>
      <c r="B816" s="22">
        <v>111500</v>
      </c>
      <c r="C816">
        <v>4</v>
      </c>
    </row>
    <row r="817" spans="1:3" x14ac:dyDescent="0.2">
      <c r="A817" s="2">
        <v>816</v>
      </c>
      <c r="B817" s="22">
        <v>115000</v>
      </c>
      <c r="C817">
        <v>5</v>
      </c>
    </row>
    <row r="818" spans="1:3" x14ac:dyDescent="0.2">
      <c r="A818" s="2">
        <v>817</v>
      </c>
      <c r="B818" s="22">
        <v>44000</v>
      </c>
      <c r="C818">
        <v>5</v>
      </c>
    </row>
    <row r="819" spans="1:3" x14ac:dyDescent="0.2">
      <c r="A819" s="2">
        <v>818</v>
      </c>
      <c r="B819" s="22">
        <v>39000</v>
      </c>
      <c r="C819">
        <v>3</v>
      </c>
    </row>
    <row r="820" spans="1:3" x14ac:dyDescent="0.2">
      <c r="A820" s="2">
        <v>819</v>
      </c>
      <c r="B820" s="22">
        <v>46500</v>
      </c>
      <c r="C820">
        <v>5</v>
      </c>
    </row>
    <row r="821" spans="1:3" x14ac:dyDescent="0.2">
      <c r="A821" s="2">
        <v>820</v>
      </c>
      <c r="B821" s="22">
        <v>52500</v>
      </c>
      <c r="C821">
        <v>2</v>
      </c>
    </row>
    <row r="822" spans="1:3" x14ac:dyDescent="0.2">
      <c r="A822" s="2">
        <v>821</v>
      </c>
      <c r="B822" s="22">
        <v>62500</v>
      </c>
      <c r="C822">
        <v>3</v>
      </c>
    </row>
    <row r="823" spans="1:3" x14ac:dyDescent="0.2">
      <c r="A823" s="2">
        <v>822</v>
      </c>
      <c r="B823" s="22">
        <v>75000</v>
      </c>
      <c r="C823">
        <v>4</v>
      </c>
    </row>
    <row r="824" spans="1:3" x14ac:dyDescent="0.2">
      <c r="A824" s="2">
        <v>823</v>
      </c>
      <c r="B824" s="22">
        <v>52000</v>
      </c>
      <c r="C824">
        <v>4</v>
      </c>
    </row>
    <row r="825" spans="1:3" x14ac:dyDescent="0.2">
      <c r="A825" s="2">
        <v>824</v>
      </c>
      <c r="B825" s="22">
        <v>55000</v>
      </c>
      <c r="C825">
        <v>3</v>
      </c>
    </row>
    <row r="826" spans="1:3" x14ac:dyDescent="0.2">
      <c r="A826" s="2">
        <v>825</v>
      </c>
      <c r="B826" s="22">
        <v>84000</v>
      </c>
      <c r="C826">
        <v>4</v>
      </c>
    </row>
    <row r="827" spans="1:3" x14ac:dyDescent="0.2">
      <c r="A827" s="2">
        <v>826</v>
      </c>
      <c r="B827" s="22">
        <v>61500</v>
      </c>
      <c r="C827">
        <v>4</v>
      </c>
    </row>
    <row r="828" spans="1:3" x14ac:dyDescent="0.2">
      <c r="A828" s="2">
        <v>827</v>
      </c>
      <c r="B828" s="22">
        <v>61500</v>
      </c>
      <c r="C828">
        <v>4</v>
      </c>
    </row>
    <row r="829" spans="1:3" x14ac:dyDescent="0.2">
      <c r="A829" s="2">
        <v>828</v>
      </c>
      <c r="B829" s="22">
        <v>62500</v>
      </c>
      <c r="C829">
        <v>4</v>
      </c>
    </row>
    <row r="830" spans="1:3" x14ac:dyDescent="0.2">
      <c r="A830" s="2">
        <v>829</v>
      </c>
      <c r="B830" s="22">
        <v>43500</v>
      </c>
      <c r="C830">
        <v>3</v>
      </c>
    </row>
    <row r="831" spans="1:3" x14ac:dyDescent="0.2">
      <c r="A831" s="2">
        <v>830</v>
      </c>
      <c r="B831" s="22">
        <v>46500</v>
      </c>
      <c r="C831">
        <v>5</v>
      </c>
    </row>
    <row r="832" spans="1:3" x14ac:dyDescent="0.2">
      <c r="A832" s="2">
        <v>831</v>
      </c>
      <c r="B832" s="22">
        <v>43500</v>
      </c>
      <c r="C832">
        <v>4</v>
      </c>
    </row>
    <row r="833" spans="1:3" x14ac:dyDescent="0.2">
      <c r="A833" s="2">
        <v>832</v>
      </c>
      <c r="B833" s="22">
        <v>39500</v>
      </c>
      <c r="C833">
        <v>4</v>
      </c>
    </row>
    <row r="834" spans="1:3" x14ac:dyDescent="0.2">
      <c r="A834" s="2">
        <v>833</v>
      </c>
      <c r="B834" s="22">
        <v>76500</v>
      </c>
      <c r="C834">
        <v>4</v>
      </c>
    </row>
    <row r="835" spans="1:3" x14ac:dyDescent="0.2">
      <c r="A835" s="2">
        <v>834</v>
      </c>
      <c r="B835" s="22">
        <v>36000</v>
      </c>
      <c r="C835">
        <v>1</v>
      </c>
    </row>
    <row r="836" spans="1:3" x14ac:dyDescent="0.2">
      <c r="A836" s="2">
        <v>835</v>
      </c>
      <c r="B836" s="22">
        <v>47500</v>
      </c>
      <c r="C836">
        <v>5</v>
      </c>
    </row>
    <row r="837" spans="1:3" x14ac:dyDescent="0.2">
      <c r="A837" s="2">
        <v>836</v>
      </c>
      <c r="B837" s="22">
        <v>58000</v>
      </c>
      <c r="C837">
        <v>3</v>
      </c>
    </row>
    <row r="838" spans="1:3" x14ac:dyDescent="0.2">
      <c r="A838" s="2">
        <v>837</v>
      </c>
      <c r="B838" s="22">
        <v>120000</v>
      </c>
      <c r="C838">
        <v>5</v>
      </c>
    </row>
    <row r="839" spans="1:3" x14ac:dyDescent="0.2">
      <c r="A839" s="2">
        <v>838</v>
      </c>
      <c r="B839" s="22">
        <v>103500</v>
      </c>
      <c r="C839">
        <v>3</v>
      </c>
    </row>
    <row r="840" spans="1:3" x14ac:dyDescent="0.2">
      <c r="A840" s="2">
        <v>839</v>
      </c>
      <c r="B840" s="22">
        <v>54000</v>
      </c>
      <c r="C840">
        <v>3</v>
      </c>
    </row>
    <row r="841" spans="1:3" x14ac:dyDescent="0.2">
      <c r="A841" s="2">
        <v>840</v>
      </c>
      <c r="B841" s="22">
        <v>36000</v>
      </c>
      <c r="C841">
        <v>3</v>
      </c>
    </row>
    <row r="842" spans="1:3" x14ac:dyDescent="0.2">
      <c r="A842" s="2">
        <v>841</v>
      </c>
      <c r="B842" s="22">
        <v>39500</v>
      </c>
      <c r="C842">
        <v>5</v>
      </c>
    </row>
    <row r="843" spans="1:3" x14ac:dyDescent="0.2">
      <c r="A843" s="2">
        <v>842</v>
      </c>
      <c r="B843" s="22">
        <v>71500</v>
      </c>
      <c r="C843">
        <v>3</v>
      </c>
    </row>
    <row r="844" spans="1:3" x14ac:dyDescent="0.2">
      <c r="A844" s="2">
        <v>843</v>
      </c>
      <c r="B844" s="22">
        <v>85000</v>
      </c>
      <c r="C844">
        <v>3</v>
      </c>
    </row>
    <row r="845" spans="1:3" x14ac:dyDescent="0.2">
      <c r="A845" s="2">
        <v>844</v>
      </c>
      <c r="B845" s="22">
        <v>58500</v>
      </c>
      <c r="C845">
        <v>3</v>
      </c>
    </row>
    <row r="846" spans="1:3" x14ac:dyDescent="0.2">
      <c r="A846" s="2">
        <v>845</v>
      </c>
      <c r="B846" s="22">
        <v>65000</v>
      </c>
      <c r="C846">
        <v>4</v>
      </c>
    </row>
    <row r="847" spans="1:3" x14ac:dyDescent="0.2">
      <c r="A847" s="2">
        <v>846</v>
      </c>
      <c r="B847" s="22">
        <v>61500</v>
      </c>
      <c r="C847">
        <v>4</v>
      </c>
    </row>
    <row r="848" spans="1:3" x14ac:dyDescent="0.2">
      <c r="A848" s="2">
        <v>847</v>
      </c>
      <c r="B848" s="22">
        <v>46000</v>
      </c>
      <c r="C848">
        <v>4</v>
      </c>
    </row>
    <row r="849" spans="1:3" x14ac:dyDescent="0.2">
      <c r="A849" s="2">
        <v>848</v>
      </c>
      <c r="B849" s="22">
        <v>42000</v>
      </c>
      <c r="C849">
        <v>4</v>
      </c>
    </row>
    <row r="850" spans="1:3" x14ac:dyDescent="0.2">
      <c r="A850" s="2">
        <v>849</v>
      </c>
      <c r="B850" s="22">
        <v>56000</v>
      </c>
      <c r="C850">
        <v>3</v>
      </c>
    </row>
    <row r="851" spans="1:3" x14ac:dyDescent="0.2">
      <c r="A851" s="2">
        <v>850</v>
      </c>
      <c r="B851" s="22">
        <v>56500</v>
      </c>
      <c r="C851">
        <v>3</v>
      </c>
    </row>
    <row r="852" spans="1:3" x14ac:dyDescent="0.2">
      <c r="A852" s="2">
        <v>851</v>
      </c>
      <c r="B852" s="22">
        <v>73500</v>
      </c>
      <c r="C852">
        <v>3</v>
      </c>
    </row>
    <row r="853" spans="1:3" x14ac:dyDescent="0.2">
      <c r="A853" s="2">
        <v>852</v>
      </c>
      <c r="B853" s="22">
        <v>60000</v>
      </c>
      <c r="C853">
        <v>4</v>
      </c>
    </row>
    <row r="854" spans="1:3" x14ac:dyDescent="0.2">
      <c r="A854" s="2">
        <v>853</v>
      </c>
      <c r="B854" s="22">
        <v>34500</v>
      </c>
      <c r="C854">
        <v>2</v>
      </c>
    </row>
    <row r="855" spans="1:3" x14ac:dyDescent="0.2">
      <c r="A855" s="2">
        <v>854</v>
      </c>
      <c r="B855" s="22">
        <v>99500</v>
      </c>
      <c r="C855">
        <v>2</v>
      </c>
    </row>
    <row r="856" spans="1:3" x14ac:dyDescent="0.2">
      <c r="A856" s="2">
        <v>855</v>
      </c>
      <c r="B856" s="22">
        <v>43500</v>
      </c>
      <c r="C856">
        <v>3</v>
      </c>
    </row>
    <row r="857" spans="1:3" x14ac:dyDescent="0.2">
      <c r="A857" s="2">
        <v>856</v>
      </c>
      <c r="B857" s="22">
        <v>53500</v>
      </c>
      <c r="C857">
        <v>1</v>
      </c>
    </row>
    <row r="858" spans="1:3" x14ac:dyDescent="0.2">
      <c r="A858" s="2">
        <v>857</v>
      </c>
      <c r="B858" s="22">
        <v>67500</v>
      </c>
      <c r="C858">
        <v>3</v>
      </c>
    </row>
    <row r="859" spans="1:3" x14ac:dyDescent="0.2">
      <c r="A859" s="2">
        <v>858</v>
      </c>
      <c r="B859" s="22">
        <v>44000</v>
      </c>
      <c r="C859">
        <v>2</v>
      </c>
    </row>
    <row r="860" spans="1:3" x14ac:dyDescent="0.2">
      <c r="A860" s="2">
        <v>859</v>
      </c>
      <c r="B860" s="22">
        <v>47000</v>
      </c>
      <c r="C860">
        <v>3</v>
      </c>
    </row>
    <row r="861" spans="1:3" x14ac:dyDescent="0.2">
      <c r="A861" s="2">
        <v>860</v>
      </c>
      <c r="B861" s="22">
        <v>48500</v>
      </c>
      <c r="C861">
        <v>4</v>
      </c>
    </row>
    <row r="862" spans="1:3" x14ac:dyDescent="0.2">
      <c r="A862" s="2">
        <v>861</v>
      </c>
      <c r="B862" s="22">
        <v>60500</v>
      </c>
      <c r="C862">
        <v>4</v>
      </c>
    </row>
    <row r="863" spans="1:3" x14ac:dyDescent="0.2">
      <c r="A863" s="2">
        <v>862</v>
      </c>
      <c r="B863" s="22">
        <v>55500</v>
      </c>
      <c r="C863">
        <v>3</v>
      </c>
    </row>
    <row r="864" spans="1:3" x14ac:dyDescent="0.2">
      <c r="A864" s="2">
        <v>863</v>
      </c>
      <c r="B864" s="22">
        <v>41000</v>
      </c>
      <c r="C864">
        <v>3</v>
      </c>
    </row>
    <row r="865" spans="1:3" x14ac:dyDescent="0.2">
      <c r="A865" s="2">
        <v>864</v>
      </c>
      <c r="B865" s="22">
        <v>79500</v>
      </c>
      <c r="C865">
        <v>3</v>
      </c>
    </row>
    <row r="866" spans="1:3" x14ac:dyDescent="0.2">
      <c r="A866" s="2">
        <v>865</v>
      </c>
      <c r="B866" s="22">
        <v>46500</v>
      </c>
      <c r="C866">
        <v>3</v>
      </c>
    </row>
    <row r="867" spans="1:3" x14ac:dyDescent="0.2">
      <c r="A867" s="2">
        <v>866</v>
      </c>
      <c r="B867" s="22">
        <v>57500</v>
      </c>
      <c r="C867">
        <v>4</v>
      </c>
    </row>
    <row r="868" spans="1:3" x14ac:dyDescent="0.2">
      <c r="A868" s="2">
        <v>867</v>
      </c>
      <c r="B868" s="22">
        <v>54500</v>
      </c>
      <c r="C868">
        <v>2</v>
      </c>
    </row>
    <row r="869" spans="1:3" x14ac:dyDescent="0.2">
      <c r="A869" s="2">
        <v>868</v>
      </c>
      <c r="B869" s="22">
        <v>72000</v>
      </c>
      <c r="C869">
        <v>2</v>
      </c>
    </row>
    <row r="870" spans="1:3" x14ac:dyDescent="0.2">
      <c r="A870" s="2">
        <v>869</v>
      </c>
      <c r="B870" s="22">
        <v>56000</v>
      </c>
      <c r="C870">
        <v>3</v>
      </c>
    </row>
    <row r="871" spans="1:3" x14ac:dyDescent="0.2">
      <c r="A871" s="2">
        <v>870</v>
      </c>
      <c r="B871" s="22">
        <v>71500</v>
      </c>
      <c r="C871">
        <v>2</v>
      </c>
    </row>
    <row r="872" spans="1:3" x14ac:dyDescent="0.2">
      <c r="A872" s="2">
        <v>871</v>
      </c>
      <c r="B872" s="22">
        <v>74500</v>
      </c>
      <c r="C872">
        <v>3</v>
      </c>
    </row>
    <row r="873" spans="1:3" x14ac:dyDescent="0.2">
      <c r="A873" s="2">
        <v>872</v>
      </c>
      <c r="B873" s="22">
        <v>43000</v>
      </c>
      <c r="C873">
        <v>5</v>
      </c>
    </row>
    <row r="874" spans="1:3" x14ac:dyDescent="0.2">
      <c r="A874" s="2">
        <v>873</v>
      </c>
      <c r="B874" s="22">
        <v>61000</v>
      </c>
      <c r="C874">
        <v>3</v>
      </c>
    </row>
    <row r="875" spans="1:3" x14ac:dyDescent="0.2">
      <c r="A875" s="2">
        <v>874</v>
      </c>
      <c r="B875" s="22">
        <v>62500</v>
      </c>
      <c r="C875">
        <v>3</v>
      </c>
    </row>
    <row r="876" spans="1:3" x14ac:dyDescent="0.2">
      <c r="A876" s="2">
        <v>875</v>
      </c>
      <c r="B876" s="22">
        <v>72000</v>
      </c>
      <c r="C876">
        <v>4</v>
      </c>
    </row>
    <row r="877" spans="1:3" x14ac:dyDescent="0.2">
      <c r="A877" s="2">
        <v>876</v>
      </c>
      <c r="B877" s="22">
        <v>64500</v>
      </c>
      <c r="C877">
        <v>5</v>
      </c>
    </row>
    <row r="878" spans="1:3" x14ac:dyDescent="0.2">
      <c r="A878" s="2">
        <v>877</v>
      </c>
      <c r="B878" s="22">
        <v>41500</v>
      </c>
      <c r="C878">
        <v>2</v>
      </c>
    </row>
    <row r="879" spans="1:3" x14ac:dyDescent="0.2">
      <c r="A879" s="2">
        <v>878</v>
      </c>
      <c r="B879" s="22">
        <v>42500</v>
      </c>
      <c r="C879">
        <v>3</v>
      </c>
    </row>
    <row r="880" spans="1:3" x14ac:dyDescent="0.2">
      <c r="A880" s="2">
        <v>879</v>
      </c>
      <c r="B880" s="22">
        <v>43000</v>
      </c>
      <c r="C880">
        <v>3</v>
      </c>
    </row>
    <row r="881" spans="1:3" x14ac:dyDescent="0.2">
      <c r="A881" s="2">
        <v>880</v>
      </c>
      <c r="B881" s="22">
        <v>74500</v>
      </c>
      <c r="C881">
        <v>2</v>
      </c>
    </row>
    <row r="882" spans="1:3" x14ac:dyDescent="0.2">
      <c r="A882" s="2">
        <v>881</v>
      </c>
      <c r="B882" s="22">
        <v>43000</v>
      </c>
      <c r="C882">
        <v>3</v>
      </c>
    </row>
    <row r="883" spans="1:3" x14ac:dyDescent="0.2">
      <c r="A883" s="2">
        <v>882</v>
      </c>
      <c r="B883" s="22">
        <v>61500</v>
      </c>
      <c r="C883">
        <v>2</v>
      </c>
    </row>
    <row r="884" spans="1:3" x14ac:dyDescent="0.2">
      <c r="A884" s="2">
        <v>883</v>
      </c>
      <c r="B884" s="22">
        <v>40000</v>
      </c>
      <c r="C884">
        <v>3</v>
      </c>
    </row>
    <row r="885" spans="1:3" x14ac:dyDescent="0.2">
      <c r="A885" s="2">
        <v>884</v>
      </c>
      <c r="B885" s="22">
        <v>58000</v>
      </c>
      <c r="C885">
        <v>3</v>
      </c>
    </row>
    <row r="886" spans="1:3" x14ac:dyDescent="0.2">
      <c r="A886" s="2">
        <v>885</v>
      </c>
      <c r="B886" s="22">
        <v>52500</v>
      </c>
      <c r="C886">
        <v>2</v>
      </c>
    </row>
    <row r="887" spans="1:3" x14ac:dyDescent="0.2">
      <c r="A887" s="2">
        <v>886</v>
      </c>
      <c r="B887" s="22">
        <v>68500</v>
      </c>
      <c r="C887">
        <v>3</v>
      </c>
    </row>
    <row r="888" spans="1:3" x14ac:dyDescent="0.2">
      <c r="A888" s="2">
        <v>887</v>
      </c>
      <c r="B888" s="22">
        <v>70500</v>
      </c>
      <c r="C888">
        <v>3</v>
      </c>
    </row>
    <row r="889" spans="1:3" x14ac:dyDescent="0.2">
      <c r="A889" s="2">
        <v>888</v>
      </c>
      <c r="B889" s="22">
        <v>44500</v>
      </c>
      <c r="C889">
        <v>4</v>
      </c>
    </row>
    <row r="890" spans="1:3" x14ac:dyDescent="0.2">
      <c r="A890" s="2">
        <v>889</v>
      </c>
      <c r="B890" s="22">
        <v>56000</v>
      </c>
      <c r="C890">
        <v>4</v>
      </c>
    </row>
    <row r="891" spans="1:3" x14ac:dyDescent="0.2">
      <c r="A891" s="2">
        <v>890</v>
      </c>
      <c r="B891" s="22">
        <v>57000</v>
      </c>
      <c r="C891">
        <v>1</v>
      </c>
    </row>
    <row r="892" spans="1:3" x14ac:dyDescent="0.2">
      <c r="A892" s="2">
        <v>891</v>
      </c>
      <c r="B892" s="22">
        <v>56500</v>
      </c>
      <c r="C892">
        <v>3</v>
      </c>
    </row>
    <row r="893" spans="1:3" x14ac:dyDescent="0.2">
      <c r="A893" s="2">
        <v>892</v>
      </c>
      <c r="B893" s="22">
        <v>79500</v>
      </c>
      <c r="C893">
        <v>3</v>
      </c>
    </row>
    <row r="894" spans="1:3" x14ac:dyDescent="0.2">
      <c r="A894" s="2">
        <v>893</v>
      </c>
      <c r="B894" s="22">
        <v>62500</v>
      </c>
      <c r="C894">
        <v>3</v>
      </c>
    </row>
    <row r="895" spans="1:3" x14ac:dyDescent="0.2">
      <c r="A895" s="2">
        <v>894</v>
      </c>
      <c r="B895" s="22">
        <v>58000</v>
      </c>
      <c r="C895">
        <v>3</v>
      </c>
    </row>
    <row r="896" spans="1:3" x14ac:dyDescent="0.2">
      <c r="A896" s="2">
        <v>895</v>
      </c>
      <c r="B896" s="22">
        <v>43500</v>
      </c>
      <c r="C896">
        <v>3</v>
      </c>
    </row>
    <row r="897" spans="1:3" x14ac:dyDescent="0.2">
      <c r="A897" s="2">
        <v>896</v>
      </c>
      <c r="B897" s="22">
        <v>57000</v>
      </c>
      <c r="C897">
        <v>4</v>
      </c>
    </row>
    <row r="898" spans="1:3" x14ac:dyDescent="0.2">
      <c r="A898" s="2">
        <v>897</v>
      </c>
      <c r="B898" s="22">
        <v>198500</v>
      </c>
      <c r="C898">
        <v>4</v>
      </c>
    </row>
    <row r="899" spans="1:3" x14ac:dyDescent="0.2">
      <c r="A899" s="2">
        <v>898</v>
      </c>
      <c r="B899" s="22">
        <v>53000</v>
      </c>
      <c r="C899">
        <v>3</v>
      </c>
    </row>
    <row r="900" spans="1:3" x14ac:dyDescent="0.2">
      <c r="A900" s="2">
        <v>899</v>
      </c>
      <c r="B900" s="22">
        <v>56500</v>
      </c>
      <c r="C900">
        <v>3</v>
      </c>
    </row>
    <row r="901" spans="1:3" x14ac:dyDescent="0.2">
      <c r="A901" s="2">
        <v>900</v>
      </c>
      <c r="B901" s="22">
        <v>73000</v>
      </c>
      <c r="C901">
        <v>3</v>
      </c>
    </row>
    <row r="902" spans="1:3" x14ac:dyDescent="0.2">
      <c r="A902" s="2">
        <v>901</v>
      </c>
      <c r="B902" s="22">
        <v>60500</v>
      </c>
      <c r="C902">
        <v>3</v>
      </c>
    </row>
    <row r="903" spans="1:3" x14ac:dyDescent="0.2">
      <c r="A903" s="2">
        <v>902</v>
      </c>
      <c r="B903" s="22">
        <v>160500</v>
      </c>
      <c r="C903">
        <v>5</v>
      </c>
    </row>
    <row r="904" spans="1:3" x14ac:dyDescent="0.2">
      <c r="A904" s="2">
        <v>903</v>
      </c>
      <c r="B904" s="22">
        <v>142500</v>
      </c>
      <c r="C904">
        <v>2</v>
      </c>
    </row>
    <row r="905" spans="1:3" x14ac:dyDescent="0.2">
      <c r="A905" s="2">
        <v>904</v>
      </c>
      <c r="B905" s="22">
        <v>46000</v>
      </c>
      <c r="C905">
        <v>4</v>
      </c>
    </row>
    <row r="906" spans="1:3" x14ac:dyDescent="0.2">
      <c r="A906" s="2">
        <v>905</v>
      </c>
      <c r="B906" s="22">
        <v>121500</v>
      </c>
      <c r="C906">
        <v>3</v>
      </c>
    </row>
    <row r="907" spans="1:3" x14ac:dyDescent="0.2">
      <c r="A907" s="2">
        <v>906</v>
      </c>
      <c r="B907" s="22">
        <v>45000</v>
      </c>
      <c r="C907">
        <v>3</v>
      </c>
    </row>
    <row r="908" spans="1:3" x14ac:dyDescent="0.2">
      <c r="A908" s="2">
        <v>907</v>
      </c>
      <c r="B908" s="22">
        <v>67500</v>
      </c>
      <c r="C908">
        <v>5</v>
      </c>
    </row>
    <row r="909" spans="1:3" x14ac:dyDescent="0.2">
      <c r="A909" s="2">
        <v>908</v>
      </c>
      <c r="B909" s="22">
        <v>46000</v>
      </c>
      <c r="C909">
        <v>4</v>
      </c>
    </row>
    <row r="910" spans="1:3" x14ac:dyDescent="0.2">
      <c r="A910" s="2">
        <v>909</v>
      </c>
      <c r="B910" s="22">
        <v>117000</v>
      </c>
      <c r="C910">
        <v>4</v>
      </c>
    </row>
    <row r="911" spans="1:3" x14ac:dyDescent="0.2">
      <c r="A911" s="2">
        <v>910</v>
      </c>
      <c r="B911" s="22">
        <v>126000</v>
      </c>
      <c r="C911">
        <v>4</v>
      </c>
    </row>
    <row r="912" spans="1:3" x14ac:dyDescent="0.2">
      <c r="A912" s="2">
        <v>911</v>
      </c>
      <c r="B912" s="22">
        <v>120500</v>
      </c>
      <c r="C912">
        <v>4</v>
      </c>
    </row>
    <row r="913" spans="1:3" x14ac:dyDescent="0.2">
      <c r="A913" s="2">
        <v>912</v>
      </c>
      <c r="B913" s="22">
        <v>81500</v>
      </c>
      <c r="C913">
        <v>4</v>
      </c>
    </row>
    <row r="914" spans="1:3" x14ac:dyDescent="0.2">
      <c r="A914" s="2">
        <v>913</v>
      </c>
      <c r="B914" s="22">
        <v>60500</v>
      </c>
      <c r="C914">
        <v>4</v>
      </c>
    </row>
    <row r="915" spans="1:3" x14ac:dyDescent="0.2">
      <c r="A915" s="2">
        <v>914</v>
      </c>
      <c r="B915" s="22">
        <v>57000</v>
      </c>
      <c r="C915">
        <v>3</v>
      </c>
    </row>
    <row r="916" spans="1:3" x14ac:dyDescent="0.2">
      <c r="A916" s="2">
        <v>915</v>
      </c>
      <c r="B916" s="22">
        <v>68000</v>
      </c>
      <c r="C916">
        <v>5</v>
      </c>
    </row>
    <row r="917" spans="1:3" x14ac:dyDescent="0.2">
      <c r="A917" s="2">
        <v>916</v>
      </c>
      <c r="B917" s="22">
        <v>61000</v>
      </c>
      <c r="C917">
        <v>3</v>
      </c>
    </row>
    <row r="918" spans="1:3" x14ac:dyDescent="0.2">
      <c r="A918" s="2">
        <v>917</v>
      </c>
      <c r="B918" s="22">
        <v>62000</v>
      </c>
      <c r="C918">
        <v>4</v>
      </c>
    </row>
    <row r="919" spans="1:3" x14ac:dyDescent="0.2">
      <c r="A919" s="2">
        <v>918</v>
      </c>
      <c r="B919" s="22">
        <v>64500</v>
      </c>
      <c r="C919">
        <v>4</v>
      </c>
    </row>
    <row r="920" spans="1:3" x14ac:dyDescent="0.2">
      <c r="A920" s="2">
        <v>919</v>
      </c>
      <c r="B920" s="22">
        <v>68500</v>
      </c>
      <c r="C920">
        <v>4</v>
      </c>
    </row>
    <row r="921" spans="1:3" x14ac:dyDescent="0.2">
      <c r="A921" s="2">
        <v>920</v>
      </c>
      <c r="B921" s="22">
        <v>57500</v>
      </c>
      <c r="C921">
        <v>2</v>
      </c>
    </row>
    <row r="922" spans="1:3" x14ac:dyDescent="0.2">
      <c r="A922" s="2">
        <v>921</v>
      </c>
      <c r="B922" s="22">
        <v>83000</v>
      </c>
      <c r="C922">
        <v>2</v>
      </c>
    </row>
    <row r="923" spans="1:3" x14ac:dyDescent="0.2">
      <c r="A923" s="2">
        <v>922</v>
      </c>
      <c r="B923" s="22">
        <v>66000</v>
      </c>
      <c r="C923">
        <v>3</v>
      </c>
    </row>
    <row r="924" spans="1:3" x14ac:dyDescent="0.2">
      <c r="A924" s="2">
        <v>923</v>
      </c>
      <c r="B924" s="22">
        <v>64000</v>
      </c>
      <c r="C924">
        <v>3</v>
      </c>
    </row>
    <row r="925" spans="1:3" x14ac:dyDescent="0.2">
      <c r="A925" s="2">
        <v>924</v>
      </c>
      <c r="B925" s="22">
        <v>59500</v>
      </c>
      <c r="C925">
        <v>3</v>
      </c>
    </row>
    <row r="926" spans="1:3" x14ac:dyDescent="0.2">
      <c r="A926" s="2">
        <v>925</v>
      </c>
      <c r="B926" s="22">
        <v>47000</v>
      </c>
      <c r="C926">
        <v>3</v>
      </c>
    </row>
    <row r="927" spans="1:3" x14ac:dyDescent="0.2">
      <c r="A927" s="2">
        <v>926</v>
      </c>
      <c r="B927" s="22">
        <v>60500</v>
      </c>
      <c r="C927">
        <v>3</v>
      </c>
    </row>
    <row r="928" spans="1:3" x14ac:dyDescent="0.2">
      <c r="A928" s="2">
        <v>927</v>
      </c>
      <c r="B928" s="22">
        <v>58500</v>
      </c>
      <c r="C928">
        <v>3</v>
      </c>
    </row>
    <row r="929" spans="1:3" x14ac:dyDescent="0.2">
      <c r="A929" s="2">
        <v>928</v>
      </c>
      <c r="B929" s="22">
        <v>64500</v>
      </c>
      <c r="C929">
        <v>3</v>
      </c>
    </row>
    <row r="930" spans="1:3" x14ac:dyDescent="0.2">
      <c r="A930" s="2">
        <v>929</v>
      </c>
      <c r="B930" s="22">
        <v>41000</v>
      </c>
      <c r="C930">
        <v>2</v>
      </c>
    </row>
    <row r="931" spans="1:3" x14ac:dyDescent="0.2">
      <c r="A931" s="2">
        <v>930</v>
      </c>
      <c r="B931" s="22">
        <v>74000</v>
      </c>
      <c r="C931">
        <v>3</v>
      </c>
    </row>
    <row r="932" spans="1:3" x14ac:dyDescent="0.2">
      <c r="A932" s="2">
        <v>931</v>
      </c>
      <c r="B932" s="22">
        <v>64000</v>
      </c>
      <c r="C932">
        <v>4</v>
      </c>
    </row>
    <row r="933" spans="1:3" x14ac:dyDescent="0.2">
      <c r="A933" s="2">
        <v>932</v>
      </c>
      <c r="B933" s="22">
        <v>57500</v>
      </c>
      <c r="C933">
        <v>3</v>
      </c>
    </row>
    <row r="934" spans="1:3" x14ac:dyDescent="0.2">
      <c r="A934" s="2">
        <v>933</v>
      </c>
      <c r="B934" s="22">
        <v>84500</v>
      </c>
      <c r="C934">
        <v>4</v>
      </c>
    </row>
    <row r="935" spans="1:3" x14ac:dyDescent="0.2">
      <c r="A935" s="2">
        <v>934</v>
      </c>
      <c r="B935" s="22">
        <v>77500</v>
      </c>
      <c r="C935">
        <v>4</v>
      </c>
    </row>
    <row r="936" spans="1:3" x14ac:dyDescent="0.2">
      <c r="A936" s="2">
        <v>935</v>
      </c>
      <c r="B936" s="22">
        <v>88000</v>
      </c>
      <c r="C936">
        <v>5</v>
      </c>
    </row>
    <row r="937" spans="1:3" x14ac:dyDescent="0.2">
      <c r="A937" s="2">
        <v>936</v>
      </c>
      <c r="B937" s="22">
        <v>50000</v>
      </c>
      <c r="C937">
        <v>3</v>
      </c>
    </row>
    <row r="938" spans="1:3" x14ac:dyDescent="0.2">
      <c r="A938" s="2">
        <v>937</v>
      </c>
      <c r="B938" s="22">
        <v>48000</v>
      </c>
      <c r="C938">
        <v>3</v>
      </c>
    </row>
    <row r="939" spans="1:3" x14ac:dyDescent="0.2">
      <c r="A939" s="2">
        <v>938</v>
      </c>
      <c r="B939" s="22">
        <v>133000</v>
      </c>
      <c r="C939">
        <v>3</v>
      </c>
    </row>
    <row r="940" spans="1:3" x14ac:dyDescent="0.2">
      <c r="A940" s="2">
        <v>939</v>
      </c>
      <c r="B940" s="22">
        <v>56500</v>
      </c>
      <c r="C940">
        <v>3</v>
      </c>
    </row>
    <row r="941" spans="1:3" x14ac:dyDescent="0.2">
      <c r="A941" s="2">
        <v>940</v>
      </c>
      <c r="B941" s="22">
        <v>38500</v>
      </c>
      <c r="C941">
        <v>3</v>
      </c>
    </row>
    <row r="942" spans="1:3" x14ac:dyDescent="0.2">
      <c r="A942" s="2">
        <v>941</v>
      </c>
      <c r="B942" s="22">
        <v>33500</v>
      </c>
      <c r="C942">
        <v>3</v>
      </c>
    </row>
    <row r="943" spans="1:3" x14ac:dyDescent="0.2">
      <c r="A943" s="2">
        <v>942</v>
      </c>
      <c r="B943" s="22">
        <v>35000</v>
      </c>
      <c r="C943">
        <v>4</v>
      </c>
    </row>
    <row r="944" spans="1:3" x14ac:dyDescent="0.2">
      <c r="A944" s="2">
        <v>943</v>
      </c>
      <c r="B944" s="22">
        <v>28500</v>
      </c>
      <c r="C944">
        <v>3</v>
      </c>
    </row>
    <row r="945" spans="1:3" x14ac:dyDescent="0.2">
      <c r="A945" s="2">
        <v>944</v>
      </c>
      <c r="B945" s="22">
        <v>20000</v>
      </c>
      <c r="C945">
        <v>2</v>
      </c>
    </row>
    <row r="946" spans="1:3" x14ac:dyDescent="0.2">
      <c r="A946" s="2">
        <v>945</v>
      </c>
      <c r="B946" s="22">
        <v>32000</v>
      </c>
      <c r="C946">
        <v>5</v>
      </c>
    </row>
    <row r="947" spans="1:3" x14ac:dyDescent="0.2">
      <c r="A947" s="2">
        <v>946</v>
      </c>
      <c r="B947" s="22">
        <v>36500</v>
      </c>
      <c r="C947">
        <v>4</v>
      </c>
    </row>
    <row r="948" spans="1:3" x14ac:dyDescent="0.2">
      <c r="A948" s="2">
        <v>947</v>
      </c>
      <c r="B948" s="22">
        <v>28000</v>
      </c>
      <c r="C948">
        <v>3</v>
      </c>
    </row>
    <row r="949" spans="1:3" x14ac:dyDescent="0.2">
      <c r="A949" s="2">
        <v>948</v>
      </c>
      <c r="B949" s="22">
        <v>31000</v>
      </c>
      <c r="C949">
        <v>2</v>
      </c>
    </row>
    <row r="950" spans="1:3" x14ac:dyDescent="0.2">
      <c r="A950" s="2">
        <v>949</v>
      </c>
      <c r="B950" s="22">
        <v>49000</v>
      </c>
      <c r="C950">
        <v>2</v>
      </c>
    </row>
    <row r="951" spans="1:3" x14ac:dyDescent="0.2">
      <c r="A951" s="2">
        <v>950</v>
      </c>
      <c r="B951" s="22">
        <v>30500</v>
      </c>
      <c r="C951">
        <v>4</v>
      </c>
    </row>
    <row r="952" spans="1:3" x14ac:dyDescent="0.2">
      <c r="A952" s="2">
        <v>951</v>
      </c>
      <c r="B952" s="22">
        <v>38000</v>
      </c>
      <c r="C952">
        <v>4</v>
      </c>
    </row>
    <row r="953" spans="1:3" x14ac:dyDescent="0.2">
      <c r="A953" s="2">
        <v>952</v>
      </c>
      <c r="B953" s="22">
        <v>62000</v>
      </c>
      <c r="C953">
        <v>3</v>
      </c>
    </row>
    <row r="954" spans="1:3" x14ac:dyDescent="0.2">
      <c r="A954" s="2">
        <v>953</v>
      </c>
      <c r="B954" s="22">
        <v>32500</v>
      </c>
      <c r="C954">
        <v>1</v>
      </c>
    </row>
    <row r="955" spans="1:3" x14ac:dyDescent="0.2">
      <c r="A955" s="2">
        <v>954</v>
      </c>
      <c r="B955" s="22">
        <v>29000</v>
      </c>
      <c r="C955">
        <v>3</v>
      </c>
    </row>
    <row r="956" spans="1:3" x14ac:dyDescent="0.2">
      <c r="A956" s="2">
        <v>955</v>
      </c>
      <c r="B956" s="22">
        <v>26500</v>
      </c>
      <c r="C956">
        <v>1</v>
      </c>
    </row>
    <row r="957" spans="1:3" x14ac:dyDescent="0.2">
      <c r="A957" s="2">
        <v>956</v>
      </c>
      <c r="B957" s="22">
        <v>34000</v>
      </c>
      <c r="C957">
        <v>3</v>
      </c>
    </row>
    <row r="958" spans="1:3" x14ac:dyDescent="0.2">
      <c r="A958" s="2">
        <v>957</v>
      </c>
      <c r="B958" s="22">
        <v>33000</v>
      </c>
      <c r="C958">
        <v>3</v>
      </c>
    </row>
    <row r="959" spans="1:3" x14ac:dyDescent="0.2">
      <c r="A959" s="2">
        <v>958</v>
      </c>
      <c r="B959" s="22">
        <v>58000</v>
      </c>
      <c r="C959">
        <v>1</v>
      </c>
    </row>
    <row r="960" spans="1:3" x14ac:dyDescent="0.2">
      <c r="A960" s="2">
        <v>959</v>
      </c>
      <c r="B960" s="22">
        <v>35000</v>
      </c>
      <c r="C960">
        <v>4</v>
      </c>
    </row>
    <row r="961" spans="1:3" x14ac:dyDescent="0.2">
      <c r="A961" s="2">
        <v>960</v>
      </c>
      <c r="B961" s="22">
        <v>37500</v>
      </c>
      <c r="C961">
        <v>4</v>
      </c>
    </row>
    <row r="962" spans="1:3" x14ac:dyDescent="0.2">
      <c r="A962" s="2">
        <v>961</v>
      </c>
      <c r="B962" s="22">
        <v>44000</v>
      </c>
      <c r="C962">
        <v>2</v>
      </c>
    </row>
    <row r="963" spans="1:3" x14ac:dyDescent="0.2">
      <c r="A963" s="2">
        <v>962</v>
      </c>
      <c r="B963" s="22">
        <v>101000</v>
      </c>
      <c r="C963">
        <v>4</v>
      </c>
    </row>
    <row r="964" spans="1:3" x14ac:dyDescent="0.2">
      <c r="A964" s="2">
        <v>963</v>
      </c>
      <c r="B964" s="22">
        <v>34000</v>
      </c>
      <c r="C964">
        <v>3</v>
      </c>
    </row>
    <row r="965" spans="1:3" x14ac:dyDescent="0.2">
      <c r="A965" s="2">
        <v>964</v>
      </c>
      <c r="B965" s="22">
        <v>19000</v>
      </c>
      <c r="C965">
        <v>3</v>
      </c>
    </row>
    <row r="966" spans="1:3" x14ac:dyDescent="0.2">
      <c r="A966" s="2">
        <v>965</v>
      </c>
      <c r="B966" s="22">
        <v>87000</v>
      </c>
      <c r="C966">
        <v>3</v>
      </c>
    </row>
    <row r="967" spans="1:3" x14ac:dyDescent="0.2">
      <c r="A967" s="2">
        <v>966</v>
      </c>
      <c r="B967" s="22">
        <v>23000</v>
      </c>
      <c r="C967">
        <v>4</v>
      </c>
    </row>
    <row r="968" spans="1:3" x14ac:dyDescent="0.2">
      <c r="A968" s="2">
        <v>967</v>
      </c>
      <c r="B968" s="22">
        <v>36000</v>
      </c>
      <c r="C968">
        <v>2</v>
      </c>
    </row>
    <row r="969" spans="1:3" x14ac:dyDescent="0.2">
      <c r="A969" s="2">
        <v>968</v>
      </c>
      <c r="B969" s="22">
        <v>37000</v>
      </c>
      <c r="C969">
        <v>4</v>
      </c>
    </row>
    <row r="970" spans="1:3" x14ac:dyDescent="0.2">
      <c r="A970" s="2">
        <v>969</v>
      </c>
      <c r="B970" s="22">
        <v>93500</v>
      </c>
      <c r="C970">
        <v>3</v>
      </c>
    </row>
    <row r="971" spans="1:3" x14ac:dyDescent="0.2">
      <c r="A971" s="2">
        <v>970</v>
      </c>
      <c r="B971" s="22">
        <v>29500</v>
      </c>
      <c r="C971">
        <v>2</v>
      </c>
    </row>
    <row r="972" spans="1:3" x14ac:dyDescent="0.2">
      <c r="A972" s="2">
        <v>971</v>
      </c>
      <c r="B972" s="22">
        <v>21000</v>
      </c>
      <c r="C972">
        <v>2</v>
      </c>
    </row>
    <row r="973" spans="1:3" x14ac:dyDescent="0.2">
      <c r="A973" s="2">
        <v>972</v>
      </c>
      <c r="B973" s="22">
        <v>63000</v>
      </c>
      <c r="C973">
        <v>3</v>
      </c>
    </row>
    <row r="974" spans="1:3" x14ac:dyDescent="0.2">
      <c r="A974" s="2">
        <v>973</v>
      </c>
      <c r="B974" s="22">
        <v>33000</v>
      </c>
      <c r="C974">
        <v>2</v>
      </c>
    </row>
    <row r="975" spans="1:3" x14ac:dyDescent="0.2">
      <c r="A975" s="2">
        <v>974</v>
      </c>
      <c r="B975" s="22">
        <v>34000</v>
      </c>
      <c r="C975">
        <v>4</v>
      </c>
    </row>
    <row r="976" spans="1:3" x14ac:dyDescent="0.2">
      <c r="A976" s="2">
        <v>975</v>
      </c>
      <c r="B976" s="22">
        <v>38500</v>
      </c>
      <c r="C976">
        <v>3</v>
      </c>
    </row>
    <row r="977" spans="1:3" x14ac:dyDescent="0.2">
      <c r="A977" s="2">
        <v>976</v>
      </c>
      <c r="B977" s="22">
        <v>52000</v>
      </c>
      <c r="C977">
        <v>3</v>
      </c>
    </row>
    <row r="978" spans="1:3" x14ac:dyDescent="0.2">
      <c r="A978" s="2">
        <v>977</v>
      </c>
      <c r="B978" s="22">
        <v>95500</v>
      </c>
      <c r="C978">
        <v>3</v>
      </c>
    </row>
    <row r="979" spans="1:3" x14ac:dyDescent="0.2">
      <c r="A979" s="2">
        <v>978</v>
      </c>
      <c r="B979" s="22">
        <v>37000</v>
      </c>
      <c r="C979">
        <v>4</v>
      </c>
    </row>
    <row r="980" spans="1:3" x14ac:dyDescent="0.2">
      <c r="A980" s="2">
        <v>979</v>
      </c>
      <c r="B980" s="22">
        <v>80500</v>
      </c>
      <c r="C980">
        <v>3</v>
      </c>
    </row>
    <row r="981" spans="1:3" x14ac:dyDescent="0.2">
      <c r="A981" s="2">
        <v>980</v>
      </c>
      <c r="B981" s="22">
        <v>40500</v>
      </c>
      <c r="C981">
        <v>2</v>
      </c>
    </row>
    <row r="982" spans="1:3" x14ac:dyDescent="0.2">
      <c r="A982" s="2">
        <v>981</v>
      </c>
      <c r="B982" s="22">
        <v>89000</v>
      </c>
      <c r="C982">
        <v>3</v>
      </c>
    </row>
    <row r="983" spans="1:3" x14ac:dyDescent="0.2">
      <c r="A983" s="2">
        <v>982</v>
      </c>
      <c r="B983" s="22">
        <v>40500</v>
      </c>
      <c r="C983">
        <v>3</v>
      </c>
    </row>
    <row r="984" spans="1:3" x14ac:dyDescent="0.2">
      <c r="A984" s="2">
        <v>983</v>
      </c>
      <c r="B984" s="22">
        <v>32500</v>
      </c>
      <c r="C984">
        <v>3</v>
      </c>
    </row>
    <row r="985" spans="1:3" x14ac:dyDescent="0.2">
      <c r="A985" s="2">
        <v>984</v>
      </c>
      <c r="B985" s="22">
        <v>35000</v>
      </c>
      <c r="C985">
        <v>5</v>
      </c>
    </row>
    <row r="986" spans="1:3" x14ac:dyDescent="0.2">
      <c r="A986" s="2">
        <v>985</v>
      </c>
      <c r="B986" s="22">
        <v>30500</v>
      </c>
      <c r="C986">
        <v>3</v>
      </c>
    </row>
    <row r="987" spans="1:3" x14ac:dyDescent="0.2">
      <c r="A987" s="2">
        <v>986</v>
      </c>
      <c r="B987" s="22">
        <v>77000</v>
      </c>
      <c r="C987">
        <v>1</v>
      </c>
    </row>
    <row r="988" spans="1:3" x14ac:dyDescent="0.2">
      <c r="A988" s="2">
        <v>987</v>
      </c>
      <c r="B988" s="22">
        <v>82500</v>
      </c>
      <c r="C988">
        <v>3</v>
      </c>
    </row>
    <row r="989" spans="1:3" x14ac:dyDescent="0.2">
      <c r="A989" s="2">
        <v>988</v>
      </c>
      <c r="B989" s="22">
        <v>22000</v>
      </c>
      <c r="C989">
        <v>4</v>
      </c>
    </row>
    <row r="990" spans="1:3" x14ac:dyDescent="0.2">
      <c r="A990" s="2">
        <v>989</v>
      </c>
      <c r="B990" s="22">
        <v>21500</v>
      </c>
      <c r="C990">
        <v>3</v>
      </c>
    </row>
    <row r="991" spans="1:3" x14ac:dyDescent="0.2">
      <c r="A991" s="2">
        <v>990</v>
      </c>
      <c r="B991" s="22">
        <v>32500</v>
      </c>
      <c r="C991">
        <v>3</v>
      </c>
    </row>
    <row r="992" spans="1:3" x14ac:dyDescent="0.2">
      <c r="A992" s="2">
        <v>991</v>
      </c>
      <c r="B992" s="22">
        <v>60500</v>
      </c>
      <c r="C992">
        <v>4</v>
      </c>
    </row>
    <row r="993" spans="1:3" x14ac:dyDescent="0.2">
      <c r="A993" s="2">
        <v>992</v>
      </c>
      <c r="B993" s="22">
        <v>80500</v>
      </c>
      <c r="C993">
        <v>2</v>
      </c>
    </row>
    <row r="994" spans="1:3" x14ac:dyDescent="0.2">
      <c r="A994" s="2">
        <v>993</v>
      </c>
      <c r="B994" s="22">
        <v>78000</v>
      </c>
      <c r="C994">
        <v>5</v>
      </c>
    </row>
    <row r="995" spans="1:3" x14ac:dyDescent="0.2">
      <c r="A995" s="2">
        <v>994</v>
      </c>
      <c r="B995" s="22">
        <v>31000</v>
      </c>
      <c r="C995">
        <v>3</v>
      </c>
    </row>
    <row r="996" spans="1:3" x14ac:dyDescent="0.2">
      <c r="A996" s="2">
        <v>995</v>
      </c>
      <c r="B996" s="22">
        <v>67500</v>
      </c>
      <c r="C996">
        <v>3</v>
      </c>
    </row>
    <row r="997" spans="1:3" x14ac:dyDescent="0.2">
      <c r="A997" s="2">
        <v>996</v>
      </c>
      <c r="B997" s="22">
        <v>17500</v>
      </c>
      <c r="C997">
        <v>2</v>
      </c>
    </row>
    <row r="998" spans="1:3" x14ac:dyDescent="0.2">
      <c r="A998" s="2">
        <v>997</v>
      </c>
      <c r="B998" s="22">
        <v>41000</v>
      </c>
      <c r="C998">
        <v>3</v>
      </c>
    </row>
    <row r="999" spans="1:3" x14ac:dyDescent="0.2">
      <c r="A999" s="2">
        <v>998</v>
      </c>
      <c r="B999" s="22">
        <v>36500</v>
      </c>
      <c r="C999">
        <v>3</v>
      </c>
    </row>
    <row r="1000" spans="1:3" x14ac:dyDescent="0.2">
      <c r="A1000" s="2">
        <v>999</v>
      </c>
      <c r="B1000" s="22">
        <v>35500</v>
      </c>
      <c r="C1000">
        <v>4</v>
      </c>
    </row>
    <row r="1001" spans="1:3" x14ac:dyDescent="0.2">
      <c r="A1001" s="2">
        <v>1000</v>
      </c>
      <c r="B1001" s="22">
        <v>32000</v>
      </c>
      <c r="C1001">
        <v>3</v>
      </c>
    </row>
    <row r="1002" spans="1:3" x14ac:dyDescent="0.2">
      <c r="A1002" s="2">
        <v>1001</v>
      </c>
      <c r="B1002" s="22">
        <v>35500</v>
      </c>
      <c r="C1002">
        <v>4</v>
      </c>
    </row>
    <row r="1003" spans="1:3" x14ac:dyDescent="0.2">
      <c r="A1003" s="2">
        <v>1002</v>
      </c>
      <c r="B1003" s="22">
        <v>32000</v>
      </c>
      <c r="C1003">
        <v>2</v>
      </c>
    </row>
    <row r="1004" spans="1:3" x14ac:dyDescent="0.2">
      <c r="A1004" s="2">
        <v>1003</v>
      </c>
      <c r="B1004" s="22">
        <v>32000</v>
      </c>
      <c r="C1004">
        <v>3</v>
      </c>
    </row>
    <row r="1005" spans="1:3" x14ac:dyDescent="0.2">
      <c r="A1005" s="2">
        <v>1004</v>
      </c>
      <c r="B1005" s="22">
        <v>33000</v>
      </c>
      <c r="C1005">
        <v>5</v>
      </c>
    </row>
    <row r="1006" spans="1:3" x14ac:dyDescent="0.2">
      <c r="A1006" s="2">
        <v>1005</v>
      </c>
      <c r="B1006" s="22">
        <v>21500</v>
      </c>
      <c r="C1006">
        <v>4</v>
      </c>
    </row>
    <row r="1007" spans="1:3" x14ac:dyDescent="0.2">
      <c r="A1007" s="2">
        <v>1006</v>
      </c>
      <c r="B1007" s="22">
        <v>37500</v>
      </c>
      <c r="C1007">
        <v>4</v>
      </c>
    </row>
    <row r="1008" spans="1:3" x14ac:dyDescent="0.2">
      <c r="A1008" s="2">
        <v>1007</v>
      </c>
      <c r="B1008" s="22">
        <v>27500</v>
      </c>
      <c r="C1008">
        <v>2</v>
      </c>
    </row>
    <row r="1009" spans="1:3" x14ac:dyDescent="0.2">
      <c r="A1009" s="2">
        <v>1008</v>
      </c>
      <c r="B1009" s="22">
        <v>61500</v>
      </c>
      <c r="C1009">
        <v>3</v>
      </c>
    </row>
    <row r="1010" spans="1:3" x14ac:dyDescent="0.2">
      <c r="A1010" s="2">
        <v>1009</v>
      </c>
      <c r="B1010" s="22">
        <v>30500</v>
      </c>
      <c r="C1010">
        <v>3</v>
      </c>
    </row>
    <row r="1011" spans="1:3" x14ac:dyDescent="0.2">
      <c r="A1011" s="2">
        <v>1010</v>
      </c>
      <c r="B1011" s="22">
        <v>36500</v>
      </c>
      <c r="C1011">
        <v>2</v>
      </c>
    </row>
    <row r="1012" spans="1:3" x14ac:dyDescent="0.2">
      <c r="A1012" s="2">
        <v>1011</v>
      </c>
      <c r="B1012" s="22">
        <v>32500</v>
      </c>
      <c r="C1012">
        <v>2</v>
      </c>
    </row>
    <row r="1013" spans="1:3" x14ac:dyDescent="0.2">
      <c r="A1013" s="2">
        <v>1012</v>
      </c>
      <c r="B1013" s="22">
        <v>36500</v>
      </c>
      <c r="C1013">
        <v>2</v>
      </c>
    </row>
    <row r="1014" spans="1:3" x14ac:dyDescent="0.2">
      <c r="A1014" s="2">
        <v>1013</v>
      </c>
      <c r="B1014" s="22">
        <v>37000</v>
      </c>
      <c r="C1014">
        <v>3</v>
      </c>
    </row>
    <row r="1015" spans="1:3" x14ac:dyDescent="0.2">
      <c r="A1015" s="2">
        <v>1014</v>
      </c>
      <c r="B1015" s="22">
        <v>79500</v>
      </c>
      <c r="C1015">
        <v>4</v>
      </c>
    </row>
    <row r="1016" spans="1:3" x14ac:dyDescent="0.2">
      <c r="A1016" s="2">
        <v>1015</v>
      </c>
      <c r="B1016" s="22">
        <v>33000</v>
      </c>
      <c r="C1016">
        <v>4</v>
      </c>
    </row>
    <row r="1017" spans="1:3" x14ac:dyDescent="0.2">
      <c r="A1017" s="2">
        <v>1016</v>
      </c>
      <c r="B1017" s="22">
        <v>32500</v>
      </c>
      <c r="C1017">
        <v>5</v>
      </c>
    </row>
    <row r="1018" spans="1:3" x14ac:dyDescent="0.2">
      <c r="A1018" s="2">
        <v>1017</v>
      </c>
      <c r="B1018" s="22">
        <v>24000</v>
      </c>
      <c r="C1018">
        <v>1</v>
      </c>
    </row>
    <row r="1019" spans="1:3" x14ac:dyDescent="0.2">
      <c r="A1019" s="2">
        <v>1018</v>
      </c>
      <c r="B1019" s="22">
        <v>41500</v>
      </c>
      <c r="C1019">
        <v>4</v>
      </c>
    </row>
    <row r="1020" spans="1:3" x14ac:dyDescent="0.2">
      <c r="A1020" s="2">
        <v>1019</v>
      </c>
      <c r="B1020" s="22">
        <v>32500</v>
      </c>
      <c r="C1020">
        <v>3</v>
      </c>
    </row>
    <row r="1021" spans="1:3" x14ac:dyDescent="0.2">
      <c r="A1021" s="2">
        <v>1020</v>
      </c>
      <c r="B1021" s="22">
        <v>34000</v>
      </c>
      <c r="C1021">
        <v>5</v>
      </c>
    </row>
    <row r="1022" spans="1:3" x14ac:dyDescent="0.2">
      <c r="A1022" s="2">
        <v>1021</v>
      </c>
      <c r="B1022" s="22">
        <v>40000</v>
      </c>
      <c r="C1022">
        <v>3</v>
      </c>
    </row>
    <row r="1023" spans="1:3" x14ac:dyDescent="0.2">
      <c r="A1023" s="2">
        <v>1022</v>
      </c>
      <c r="B1023" s="22">
        <v>35000</v>
      </c>
      <c r="C1023">
        <v>3</v>
      </c>
    </row>
    <row r="1024" spans="1:3" x14ac:dyDescent="0.2">
      <c r="A1024" s="2">
        <v>1023</v>
      </c>
      <c r="B1024" s="22">
        <v>71000</v>
      </c>
      <c r="C1024">
        <v>5</v>
      </c>
    </row>
    <row r="1025" spans="1:3" x14ac:dyDescent="0.2">
      <c r="A1025" s="2">
        <v>1024</v>
      </c>
      <c r="B1025" s="22">
        <v>35500</v>
      </c>
      <c r="C1025">
        <v>4</v>
      </c>
    </row>
    <row r="1026" spans="1:3" x14ac:dyDescent="0.2">
      <c r="A1026" s="2">
        <v>1025</v>
      </c>
      <c r="B1026" s="22">
        <v>32000</v>
      </c>
      <c r="C1026">
        <v>1</v>
      </c>
    </row>
    <row r="1027" spans="1:3" x14ac:dyDescent="0.2">
      <c r="A1027" s="2">
        <v>1026</v>
      </c>
      <c r="B1027" s="22">
        <v>33000</v>
      </c>
      <c r="C1027">
        <v>3</v>
      </c>
    </row>
    <row r="1028" spans="1:3" x14ac:dyDescent="0.2">
      <c r="A1028" s="2">
        <v>1027</v>
      </c>
      <c r="B1028" s="22">
        <v>64000</v>
      </c>
      <c r="C1028">
        <v>3</v>
      </c>
    </row>
    <row r="1029" spans="1:3" x14ac:dyDescent="0.2">
      <c r="A1029" s="2">
        <v>1028</v>
      </c>
      <c r="B1029" s="22">
        <v>75500</v>
      </c>
      <c r="C1029">
        <v>3</v>
      </c>
    </row>
    <row r="1030" spans="1:3" x14ac:dyDescent="0.2">
      <c r="A1030" s="2">
        <v>1029</v>
      </c>
      <c r="B1030" s="22">
        <v>47000</v>
      </c>
      <c r="C1030">
        <v>3</v>
      </c>
    </row>
    <row r="1031" spans="1:3" x14ac:dyDescent="0.2">
      <c r="A1031" s="2">
        <v>1030</v>
      </c>
      <c r="B1031" s="22">
        <v>31500</v>
      </c>
      <c r="C1031">
        <v>3</v>
      </c>
    </row>
    <row r="1032" spans="1:3" x14ac:dyDescent="0.2">
      <c r="A1032" s="2">
        <v>1031</v>
      </c>
      <c r="B1032" s="22">
        <v>31500</v>
      </c>
      <c r="C1032">
        <v>3</v>
      </c>
    </row>
    <row r="1033" spans="1:3" x14ac:dyDescent="0.2">
      <c r="A1033" s="2">
        <v>1032</v>
      </c>
      <c r="B1033" s="22">
        <v>33500</v>
      </c>
      <c r="C1033">
        <v>5</v>
      </c>
    </row>
    <row r="1034" spans="1:3" x14ac:dyDescent="0.2">
      <c r="A1034" s="2">
        <v>1033</v>
      </c>
      <c r="B1034" s="22">
        <v>60000</v>
      </c>
      <c r="C1034">
        <v>2</v>
      </c>
    </row>
    <row r="1035" spans="1:3" x14ac:dyDescent="0.2">
      <c r="A1035" s="2">
        <v>1034</v>
      </c>
      <c r="B1035" s="22">
        <v>23000</v>
      </c>
      <c r="C1035">
        <v>3</v>
      </c>
    </row>
    <row r="1036" spans="1:3" x14ac:dyDescent="0.2">
      <c r="A1036" s="2">
        <v>1035</v>
      </c>
      <c r="B1036" s="22">
        <v>38000</v>
      </c>
      <c r="C1036">
        <v>4</v>
      </c>
    </row>
    <row r="1037" spans="1:3" x14ac:dyDescent="0.2">
      <c r="A1037" s="2">
        <v>1036</v>
      </c>
      <c r="B1037" s="22">
        <v>68000</v>
      </c>
      <c r="C1037">
        <v>5</v>
      </c>
    </row>
    <row r="1038" spans="1:3" x14ac:dyDescent="0.2">
      <c r="A1038" s="2">
        <v>1037</v>
      </c>
      <c r="B1038" s="22">
        <v>32000</v>
      </c>
      <c r="C1038">
        <v>4</v>
      </c>
    </row>
    <row r="1039" spans="1:3" x14ac:dyDescent="0.2">
      <c r="A1039" s="2">
        <v>1038</v>
      </c>
      <c r="B1039" s="22">
        <v>58000</v>
      </c>
      <c r="C1039">
        <v>3</v>
      </c>
    </row>
    <row r="1040" spans="1:3" x14ac:dyDescent="0.2">
      <c r="A1040" s="2">
        <v>1039</v>
      </c>
      <c r="B1040" s="22">
        <v>64000</v>
      </c>
      <c r="C1040">
        <v>3</v>
      </c>
    </row>
    <row r="1041" spans="1:3" x14ac:dyDescent="0.2">
      <c r="A1041" s="2">
        <v>1040</v>
      </c>
      <c r="B1041" s="22">
        <v>49500</v>
      </c>
      <c r="C1041">
        <v>3</v>
      </c>
    </row>
    <row r="1042" spans="1:3" x14ac:dyDescent="0.2">
      <c r="A1042" s="2">
        <v>1041</v>
      </c>
      <c r="B1042" s="22">
        <v>60000</v>
      </c>
      <c r="C1042">
        <v>4</v>
      </c>
    </row>
    <row r="1043" spans="1:3" x14ac:dyDescent="0.2">
      <c r="A1043" s="2">
        <v>1042</v>
      </c>
      <c r="B1043" s="22">
        <v>62500</v>
      </c>
      <c r="C1043">
        <v>3</v>
      </c>
    </row>
    <row r="1044" spans="1:3" x14ac:dyDescent="0.2">
      <c r="A1044" s="2">
        <v>1043</v>
      </c>
      <c r="B1044" s="22">
        <v>34500</v>
      </c>
      <c r="C1044">
        <v>3</v>
      </c>
    </row>
    <row r="1045" spans="1:3" x14ac:dyDescent="0.2">
      <c r="A1045" s="2">
        <v>1044</v>
      </c>
      <c r="B1045" s="22">
        <v>29000</v>
      </c>
      <c r="C1045">
        <v>3</v>
      </c>
    </row>
    <row r="1046" spans="1:3" x14ac:dyDescent="0.2">
      <c r="A1046" s="2">
        <v>1045</v>
      </c>
      <c r="B1046" s="22">
        <v>38000</v>
      </c>
      <c r="C1046">
        <v>3</v>
      </c>
    </row>
    <row r="1047" spans="1:3" x14ac:dyDescent="0.2">
      <c r="A1047" s="2">
        <v>1046</v>
      </c>
      <c r="B1047" s="22">
        <v>37000</v>
      </c>
      <c r="C1047">
        <v>3</v>
      </c>
    </row>
    <row r="1048" spans="1:3" x14ac:dyDescent="0.2">
      <c r="A1048" s="2">
        <v>1047</v>
      </c>
      <c r="B1048" s="22">
        <v>32500</v>
      </c>
      <c r="C1048">
        <v>3</v>
      </c>
    </row>
    <row r="1049" spans="1:3" x14ac:dyDescent="0.2">
      <c r="A1049" s="2">
        <v>1048</v>
      </c>
      <c r="B1049" s="22">
        <v>29000</v>
      </c>
      <c r="C1049">
        <v>3</v>
      </c>
    </row>
    <row r="1050" spans="1:3" x14ac:dyDescent="0.2">
      <c r="A1050" s="2">
        <v>1049</v>
      </c>
      <c r="B1050" s="22">
        <v>33500</v>
      </c>
      <c r="C1050">
        <v>2</v>
      </c>
    </row>
    <row r="1051" spans="1:3" x14ac:dyDescent="0.2">
      <c r="A1051" s="2">
        <v>1050</v>
      </c>
      <c r="B1051" s="22">
        <v>222500</v>
      </c>
      <c r="C1051">
        <v>3</v>
      </c>
    </row>
    <row r="1052" spans="1:3" x14ac:dyDescent="0.2">
      <c r="A1052" s="2">
        <v>1051</v>
      </c>
      <c r="B1052" s="22">
        <v>36000</v>
      </c>
      <c r="C1052">
        <v>3</v>
      </c>
    </row>
    <row r="1053" spans="1:3" x14ac:dyDescent="0.2">
      <c r="A1053" s="2">
        <v>1052</v>
      </c>
      <c r="B1053" s="22">
        <v>52500</v>
      </c>
      <c r="C1053">
        <v>3</v>
      </c>
    </row>
    <row r="1054" spans="1:3" x14ac:dyDescent="0.2">
      <c r="A1054" s="2">
        <v>1053</v>
      </c>
      <c r="B1054" s="22">
        <v>87500</v>
      </c>
      <c r="C1054">
        <v>3</v>
      </c>
    </row>
    <row r="1055" spans="1:3" x14ac:dyDescent="0.2">
      <c r="A1055" s="2">
        <v>1054</v>
      </c>
      <c r="B1055" s="22">
        <v>173000</v>
      </c>
      <c r="C1055">
        <v>3</v>
      </c>
    </row>
    <row r="1056" spans="1:3" x14ac:dyDescent="0.2">
      <c r="A1056" s="2">
        <v>1055</v>
      </c>
      <c r="B1056" s="22">
        <v>131000</v>
      </c>
      <c r="C1056">
        <v>2</v>
      </c>
    </row>
    <row r="1057" spans="1:3" x14ac:dyDescent="0.2">
      <c r="A1057" s="2">
        <v>1056</v>
      </c>
      <c r="B1057" s="22">
        <v>88500</v>
      </c>
      <c r="C1057">
        <v>3</v>
      </c>
    </row>
    <row r="1058" spans="1:3" x14ac:dyDescent="0.2">
      <c r="A1058" s="2">
        <v>1057</v>
      </c>
      <c r="B1058" s="22">
        <v>85000</v>
      </c>
      <c r="C1058">
        <v>4</v>
      </c>
    </row>
    <row r="1059" spans="1:3" x14ac:dyDescent="0.2">
      <c r="A1059" s="2">
        <v>1058</v>
      </c>
      <c r="B1059" s="22">
        <v>139500</v>
      </c>
      <c r="C1059">
        <v>4</v>
      </c>
    </row>
    <row r="1060" spans="1:3" x14ac:dyDescent="0.2">
      <c r="A1060" s="2">
        <v>1059</v>
      </c>
      <c r="B1060" s="22">
        <v>73500</v>
      </c>
      <c r="C1060">
        <v>3</v>
      </c>
    </row>
    <row r="1061" spans="1:3" x14ac:dyDescent="0.2">
      <c r="A1061" s="2">
        <v>1060</v>
      </c>
      <c r="B1061" s="22">
        <v>51500</v>
      </c>
      <c r="C1061">
        <v>3</v>
      </c>
    </row>
    <row r="1062" spans="1:3" x14ac:dyDescent="0.2">
      <c r="A1062" s="2">
        <v>1061</v>
      </c>
      <c r="B1062" s="22">
        <v>66500</v>
      </c>
      <c r="C1062">
        <v>4</v>
      </c>
    </row>
    <row r="1063" spans="1:3" x14ac:dyDescent="0.2">
      <c r="A1063" s="2">
        <v>1062</v>
      </c>
      <c r="B1063" s="22">
        <v>56000</v>
      </c>
      <c r="C1063">
        <v>3</v>
      </c>
    </row>
    <row r="1064" spans="1:3" x14ac:dyDescent="0.2">
      <c r="A1064" s="2">
        <v>1063</v>
      </c>
      <c r="B1064" s="22">
        <v>69000</v>
      </c>
      <c r="C1064">
        <v>4</v>
      </c>
    </row>
    <row r="1065" spans="1:3" x14ac:dyDescent="0.2">
      <c r="A1065" s="2">
        <v>1064</v>
      </c>
      <c r="B1065" s="22">
        <v>80500</v>
      </c>
      <c r="C1065">
        <v>2</v>
      </c>
    </row>
    <row r="1066" spans="1:3" x14ac:dyDescent="0.2">
      <c r="A1066" s="2">
        <v>1065</v>
      </c>
      <c r="B1066" s="22">
        <v>92000</v>
      </c>
      <c r="C1066">
        <v>3</v>
      </c>
    </row>
    <row r="1067" spans="1:3" x14ac:dyDescent="0.2">
      <c r="A1067" s="2">
        <v>1066</v>
      </c>
      <c r="B1067" s="22">
        <v>69500</v>
      </c>
      <c r="C1067">
        <v>1</v>
      </c>
    </row>
    <row r="1068" spans="1:3" x14ac:dyDescent="0.2">
      <c r="A1068" s="2">
        <v>1067</v>
      </c>
      <c r="B1068" s="22">
        <v>67000</v>
      </c>
      <c r="C1068">
        <v>3</v>
      </c>
    </row>
    <row r="1069" spans="1:3" x14ac:dyDescent="0.2">
      <c r="A1069" s="2">
        <v>1068</v>
      </c>
      <c r="B1069" s="22">
        <v>51500</v>
      </c>
      <c r="C1069">
        <v>3</v>
      </c>
    </row>
    <row r="1070" spans="1:3" x14ac:dyDescent="0.2">
      <c r="A1070" s="2">
        <v>1069</v>
      </c>
      <c r="B1070" s="22">
        <v>116500</v>
      </c>
      <c r="C1070">
        <v>3</v>
      </c>
    </row>
    <row r="1071" spans="1:3" x14ac:dyDescent="0.2">
      <c r="A1071" s="2">
        <v>1070</v>
      </c>
      <c r="B1071" s="22">
        <v>82000</v>
      </c>
      <c r="C1071">
        <v>4</v>
      </c>
    </row>
    <row r="1072" spans="1:3" x14ac:dyDescent="0.2">
      <c r="A1072" s="2">
        <v>1071</v>
      </c>
      <c r="B1072" s="22">
        <v>80500</v>
      </c>
      <c r="C1072">
        <v>3</v>
      </c>
    </row>
    <row r="1073" spans="1:3" x14ac:dyDescent="0.2">
      <c r="A1073" s="2">
        <v>1072</v>
      </c>
      <c r="B1073" s="22">
        <v>79500</v>
      </c>
      <c r="C1073">
        <v>2</v>
      </c>
    </row>
    <row r="1074" spans="1:3" x14ac:dyDescent="0.2">
      <c r="A1074" s="2">
        <v>1073</v>
      </c>
      <c r="B1074" s="22">
        <v>48500</v>
      </c>
      <c r="C1074">
        <v>3</v>
      </c>
    </row>
    <row r="1075" spans="1:3" x14ac:dyDescent="0.2">
      <c r="A1075" s="2">
        <v>1074</v>
      </c>
      <c r="B1075" s="22">
        <v>105000</v>
      </c>
      <c r="C1075">
        <v>4</v>
      </c>
    </row>
    <row r="1076" spans="1:3" x14ac:dyDescent="0.2">
      <c r="A1076" s="2">
        <v>1075</v>
      </c>
      <c r="B1076" s="22">
        <v>50000</v>
      </c>
      <c r="C1076">
        <v>2</v>
      </c>
    </row>
    <row r="1077" spans="1:3" x14ac:dyDescent="0.2">
      <c r="A1077" s="2">
        <v>1076</v>
      </c>
      <c r="B1077" s="22">
        <v>68000</v>
      </c>
      <c r="C1077">
        <v>4</v>
      </c>
    </row>
    <row r="1078" spans="1:3" x14ac:dyDescent="0.2">
      <c r="A1078" s="2">
        <v>1077</v>
      </c>
      <c r="B1078" s="22">
        <v>66500</v>
      </c>
      <c r="C1078">
        <v>4</v>
      </c>
    </row>
    <row r="1079" spans="1:3" x14ac:dyDescent="0.2">
      <c r="A1079" s="2">
        <v>1078</v>
      </c>
      <c r="B1079" s="22">
        <v>163500</v>
      </c>
      <c r="C1079">
        <v>2</v>
      </c>
    </row>
    <row r="1080" spans="1:3" x14ac:dyDescent="0.2">
      <c r="A1080" s="2">
        <v>1079</v>
      </c>
      <c r="B1080" s="22">
        <v>62000</v>
      </c>
      <c r="C1080">
        <v>2</v>
      </c>
    </row>
    <row r="1081" spans="1:3" x14ac:dyDescent="0.2">
      <c r="A1081" s="2">
        <v>1080</v>
      </c>
      <c r="B1081" s="22">
        <v>118000</v>
      </c>
      <c r="C1081">
        <v>3</v>
      </c>
    </row>
    <row r="1082" spans="1:3" x14ac:dyDescent="0.2">
      <c r="A1082" s="2">
        <v>1081</v>
      </c>
      <c r="B1082" s="22">
        <v>41500</v>
      </c>
      <c r="C1082">
        <v>3</v>
      </c>
    </row>
    <row r="1083" spans="1:3" x14ac:dyDescent="0.2">
      <c r="A1083" s="2">
        <v>1082</v>
      </c>
      <c r="B1083" s="22">
        <v>47000</v>
      </c>
      <c r="C1083">
        <v>3</v>
      </c>
    </row>
    <row r="1084" spans="1:3" x14ac:dyDescent="0.2">
      <c r="A1084" s="2">
        <v>1083</v>
      </c>
      <c r="B1084" s="22">
        <v>66000</v>
      </c>
      <c r="C1084">
        <v>4</v>
      </c>
    </row>
    <row r="1085" spans="1:3" x14ac:dyDescent="0.2">
      <c r="A1085" s="2">
        <v>1084</v>
      </c>
      <c r="B1085" s="22">
        <v>88500</v>
      </c>
      <c r="C1085">
        <v>3</v>
      </c>
    </row>
    <row r="1086" spans="1:3" x14ac:dyDescent="0.2">
      <c r="A1086" s="2">
        <v>1085</v>
      </c>
      <c r="B1086" s="22">
        <v>60500</v>
      </c>
      <c r="C1086">
        <v>3</v>
      </c>
    </row>
    <row r="1087" spans="1:3" x14ac:dyDescent="0.2">
      <c r="A1087" s="2">
        <v>1086</v>
      </c>
      <c r="B1087" s="22">
        <v>78000</v>
      </c>
      <c r="C1087">
        <v>3</v>
      </c>
    </row>
    <row r="1088" spans="1:3" x14ac:dyDescent="0.2">
      <c r="A1088" s="2">
        <v>1087</v>
      </c>
      <c r="B1088" s="22">
        <v>60500</v>
      </c>
      <c r="C1088">
        <v>3</v>
      </c>
    </row>
    <row r="1089" spans="1:3" x14ac:dyDescent="0.2">
      <c r="A1089" s="2">
        <v>1088</v>
      </c>
      <c r="B1089" s="22">
        <v>58000</v>
      </c>
      <c r="C1089">
        <v>3</v>
      </c>
    </row>
    <row r="1090" spans="1:3" x14ac:dyDescent="0.2">
      <c r="A1090" s="2">
        <v>1089</v>
      </c>
      <c r="B1090" s="22">
        <v>63000</v>
      </c>
      <c r="C1090">
        <v>4</v>
      </c>
    </row>
    <row r="1091" spans="1:3" x14ac:dyDescent="0.2">
      <c r="A1091" s="2">
        <v>1090</v>
      </c>
      <c r="B1091" s="22">
        <v>47000</v>
      </c>
      <c r="C1091">
        <v>3</v>
      </c>
    </row>
    <row r="1092" spans="1:3" x14ac:dyDescent="0.2">
      <c r="A1092" s="2">
        <v>1091</v>
      </c>
      <c r="B1092" s="22">
        <v>70000</v>
      </c>
      <c r="C1092">
        <v>3</v>
      </c>
    </row>
    <row r="1093" spans="1:3" x14ac:dyDescent="0.2">
      <c r="A1093" s="2">
        <v>1092</v>
      </c>
      <c r="B1093" s="22">
        <v>44000</v>
      </c>
      <c r="C1093">
        <v>3</v>
      </c>
    </row>
    <row r="1094" spans="1:3" x14ac:dyDescent="0.2">
      <c r="A1094" s="2">
        <v>1093</v>
      </c>
      <c r="B1094" s="22">
        <v>54500</v>
      </c>
      <c r="C1094">
        <v>1</v>
      </c>
    </row>
    <row r="1095" spans="1:3" x14ac:dyDescent="0.2">
      <c r="A1095" s="2">
        <v>1094</v>
      </c>
      <c r="B1095" s="22">
        <v>45000</v>
      </c>
      <c r="C1095">
        <v>2</v>
      </c>
    </row>
    <row r="1096" spans="1:3" x14ac:dyDescent="0.2">
      <c r="A1096" s="2">
        <v>1095</v>
      </c>
      <c r="B1096" s="22">
        <v>54500</v>
      </c>
      <c r="C1096">
        <v>4</v>
      </c>
    </row>
    <row r="1097" spans="1:3" x14ac:dyDescent="0.2">
      <c r="A1097" s="2">
        <v>1096</v>
      </c>
      <c r="B1097" s="22">
        <v>55500</v>
      </c>
      <c r="C1097">
        <v>3</v>
      </c>
    </row>
    <row r="1098" spans="1:3" x14ac:dyDescent="0.2">
      <c r="A1098" s="2">
        <v>1097</v>
      </c>
      <c r="B1098" s="22">
        <v>29000</v>
      </c>
      <c r="C1098">
        <v>3</v>
      </c>
    </row>
    <row r="1099" spans="1:3" x14ac:dyDescent="0.2">
      <c r="A1099" s="2">
        <v>1098</v>
      </c>
      <c r="B1099" s="22">
        <v>41500</v>
      </c>
      <c r="C1099">
        <v>4</v>
      </c>
    </row>
    <row r="1100" spans="1:3" x14ac:dyDescent="0.2">
      <c r="A1100" s="2">
        <v>1099</v>
      </c>
      <c r="B1100" s="22">
        <v>65500</v>
      </c>
      <c r="C1100">
        <v>3</v>
      </c>
    </row>
    <row r="1101" spans="1:3" x14ac:dyDescent="0.2">
      <c r="A1101" s="2">
        <v>1100</v>
      </c>
      <c r="B1101" s="22">
        <v>79000</v>
      </c>
      <c r="C1101">
        <v>3</v>
      </c>
    </row>
    <row r="1102" spans="1:3" x14ac:dyDescent="0.2">
      <c r="A1102" s="2">
        <v>1101</v>
      </c>
      <c r="B1102" s="22">
        <v>42500</v>
      </c>
      <c r="C1102">
        <v>4</v>
      </c>
    </row>
    <row r="1103" spans="1:3" x14ac:dyDescent="0.2">
      <c r="A1103" s="2">
        <v>1102</v>
      </c>
      <c r="B1103" s="22">
        <v>101500</v>
      </c>
      <c r="C1103">
        <v>3</v>
      </c>
    </row>
    <row r="1104" spans="1:3" x14ac:dyDescent="0.2">
      <c r="A1104" s="2">
        <v>1103</v>
      </c>
      <c r="B1104" s="22">
        <v>44000</v>
      </c>
      <c r="C1104">
        <v>4</v>
      </c>
    </row>
    <row r="1105" spans="1:3" x14ac:dyDescent="0.2">
      <c r="A1105" s="2">
        <v>1104</v>
      </c>
      <c r="B1105" s="22">
        <v>86500</v>
      </c>
      <c r="C1105">
        <v>3</v>
      </c>
    </row>
    <row r="1106" spans="1:3" x14ac:dyDescent="0.2">
      <c r="A1106" s="2">
        <v>1105</v>
      </c>
      <c r="B1106" s="22">
        <v>60500</v>
      </c>
      <c r="C1106">
        <v>4</v>
      </c>
    </row>
    <row r="1107" spans="1:3" x14ac:dyDescent="0.2">
      <c r="A1107" s="2">
        <v>1106</v>
      </c>
      <c r="B1107" s="22">
        <v>59000</v>
      </c>
      <c r="C1107">
        <v>3</v>
      </c>
    </row>
    <row r="1108" spans="1:3" x14ac:dyDescent="0.2">
      <c r="A1108" s="2">
        <v>1107</v>
      </c>
      <c r="B1108" s="22">
        <v>58500</v>
      </c>
      <c r="C1108">
        <v>2</v>
      </c>
    </row>
    <row r="1109" spans="1:3" x14ac:dyDescent="0.2">
      <c r="A1109" s="2">
        <v>1108</v>
      </c>
      <c r="B1109" s="22">
        <v>55500</v>
      </c>
      <c r="C1109">
        <v>3</v>
      </c>
    </row>
    <row r="1110" spans="1:3" x14ac:dyDescent="0.2">
      <c r="A1110" s="2">
        <v>1109</v>
      </c>
      <c r="B1110" s="22">
        <v>55000</v>
      </c>
      <c r="C1110">
        <v>3</v>
      </c>
    </row>
    <row r="1111" spans="1:3" x14ac:dyDescent="0.2">
      <c r="A1111" s="2">
        <v>1110</v>
      </c>
      <c r="B1111" s="22">
        <v>72500</v>
      </c>
      <c r="C1111">
        <v>4</v>
      </c>
    </row>
    <row r="1112" spans="1:3" x14ac:dyDescent="0.2">
      <c r="A1112" s="2">
        <v>1111</v>
      </c>
      <c r="B1112" s="22">
        <v>79000</v>
      </c>
      <c r="C1112">
        <v>4</v>
      </c>
    </row>
    <row r="1113" spans="1:3" x14ac:dyDescent="0.2">
      <c r="A1113" s="2">
        <v>1112</v>
      </c>
      <c r="B1113" s="22">
        <v>36500</v>
      </c>
      <c r="C1113">
        <v>4</v>
      </c>
    </row>
    <row r="1114" spans="1:3" x14ac:dyDescent="0.2">
      <c r="A1114" s="2">
        <v>1113</v>
      </c>
      <c r="B1114" s="22">
        <v>48000</v>
      </c>
      <c r="C1114">
        <v>2</v>
      </c>
    </row>
    <row r="1115" spans="1:3" x14ac:dyDescent="0.2">
      <c r="A1115" s="2">
        <v>1114</v>
      </c>
      <c r="B1115" s="22">
        <v>45000</v>
      </c>
      <c r="C1115">
        <v>5</v>
      </c>
    </row>
    <row r="1116" spans="1:3" x14ac:dyDescent="0.2">
      <c r="A1116" s="2">
        <v>1115</v>
      </c>
      <c r="B1116" s="22">
        <v>70000</v>
      </c>
      <c r="C1116">
        <v>1</v>
      </c>
    </row>
    <row r="1117" spans="1:3" x14ac:dyDescent="0.2">
      <c r="A1117" s="2">
        <v>1116</v>
      </c>
      <c r="B1117" s="22">
        <v>40500</v>
      </c>
      <c r="C1117">
        <v>5</v>
      </c>
    </row>
    <row r="1118" spans="1:3" x14ac:dyDescent="0.2">
      <c r="A1118" s="2">
        <v>1117</v>
      </c>
      <c r="B1118" s="22">
        <v>45000</v>
      </c>
      <c r="C1118">
        <v>3</v>
      </c>
    </row>
    <row r="1119" spans="1:3" x14ac:dyDescent="0.2">
      <c r="A1119" s="2">
        <v>1118</v>
      </c>
      <c r="B1119" s="22">
        <v>55000</v>
      </c>
      <c r="C1119">
        <v>2</v>
      </c>
    </row>
    <row r="1120" spans="1:3" x14ac:dyDescent="0.2">
      <c r="A1120" s="2">
        <v>1119</v>
      </c>
      <c r="B1120" s="22">
        <v>41000</v>
      </c>
      <c r="C1120">
        <v>4</v>
      </c>
    </row>
    <row r="1121" spans="1:3" x14ac:dyDescent="0.2">
      <c r="A1121" s="2">
        <v>1120</v>
      </c>
      <c r="B1121" s="22">
        <v>45000</v>
      </c>
      <c r="C1121">
        <v>4</v>
      </c>
    </row>
    <row r="1122" spans="1:3" x14ac:dyDescent="0.2">
      <c r="A1122" s="2">
        <v>1121</v>
      </c>
      <c r="B1122" s="22">
        <v>62500</v>
      </c>
      <c r="C1122">
        <v>3</v>
      </c>
    </row>
    <row r="1123" spans="1:3" x14ac:dyDescent="0.2">
      <c r="A1123" s="2">
        <v>1122</v>
      </c>
      <c r="B1123" s="22">
        <v>46500</v>
      </c>
      <c r="C1123">
        <v>5</v>
      </c>
    </row>
    <row r="1124" spans="1:3" x14ac:dyDescent="0.2">
      <c r="A1124" s="2">
        <v>1123</v>
      </c>
      <c r="B1124" s="22">
        <v>158500</v>
      </c>
      <c r="C1124">
        <v>1</v>
      </c>
    </row>
    <row r="1125" spans="1:3" x14ac:dyDescent="0.2">
      <c r="A1125" s="2">
        <v>1124</v>
      </c>
      <c r="B1125" s="22">
        <v>24500</v>
      </c>
      <c r="C1125">
        <v>3</v>
      </c>
    </row>
    <row r="1126" spans="1:3" x14ac:dyDescent="0.2">
      <c r="A1126" s="2">
        <v>1125</v>
      </c>
      <c r="B1126" s="22">
        <v>71500</v>
      </c>
      <c r="C1126">
        <v>2</v>
      </c>
    </row>
    <row r="1127" spans="1:3" x14ac:dyDescent="0.2">
      <c r="A1127" s="2">
        <v>1126</v>
      </c>
      <c r="B1127" s="22">
        <v>55500</v>
      </c>
      <c r="C1127">
        <v>3</v>
      </c>
    </row>
    <row r="1128" spans="1:3" x14ac:dyDescent="0.2">
      <c r="A1128" s="2">
        <v>1127</v>
      </c>
      <c r="B1128" s="22">
        <v>116500</v>
      </c>
      <c r="C1128">
        <v>3</v>
      </c>
    </row>
    <row r="1129" spans="1:3" x14ac:dyDescent="0.2">
      <c r="A1129" s="2">
        <v>1128</v>
      </c>
      <c r="B1129" s="22">
        <v>79000</v>
      </c>
      <c r="C1129">
        <v>3</v>
      </c>
    </row>
    <row r="1130" spans="1:3" x14ac:dyDescent="0.2">
      <c r="A1130" s="2">
        <v>1129</v>
      </c>
      <c r="B1130" s="22">
        <v>61500</v>
      </c>
      <c r="C1130">
        <v>4</v>
      </c>
    </row>
    <row r="1131" spans="1:3" x14ac:dyDescent="0.2">
      <c r="A1131" s="2">
        <v>1130</v>
      </c>
      <c r="B1131" s="22">
        <v>47500</v>
      </c>
      <c r="C1131">
        <v>3</v>
      </c>
    </row>
    <row r="1132" spans="1:3" x14ac:dyDescent="0.2">
      <c r="A1132" s="2">
        <v>1131</v>
      </c>
      <c r="B1132" s="22">
        <v>65000</v>
      </c>
      <c r="C1132">
        <v>3</v>
      </c>
    </row>
    <row r="1133" spans="1:3" x14ac:dyDescent="0.2">
      <c r="A1133" s="2">
        <v>1132</v>
      </c>
      <c r="B1133" s="22">
        <v>118500</v>
      </c>
      <c r="C1133">
        <v>3</v>
      </c>
    </row>
    <row r="1134" spans="1:3" x14ac:dyDescent="0.2">
      <c r="A1134" s="2">
        <v>1133</v>
      </c>
      <c r="B1134" s="22">
        <v>113000</v>
      </c>
      <c r="C1134">
        <v>3</v>
      </c>
    </row>
    <row r="1135" spans="1:3" x14ac:dyDescent="0.2">
      <c r="A1135" s="2">
        <v>1134</v>
      </c>
      <c r="B1135" s="22">
        <v>57000</v>
      </c>
      <c r="C1135">
        <v>3</v>
      </c>
    </row>
    <row r="1136" spans="1:3" x14ac:dyDescent="0.2">
      <c r="A1136" s="2">
        <v>1135</v>
      </c>
      <c r="B1136" s="22">
        <v>58500</v>
      </c>
      <c r="C1136">
        <v>3</v>
      </c>
    </row>
    <row r="1137" spans="1:3" x14ac:dyDescent="0.2">
      <c r="A1137" s="2">
        <v>1136</v>
      </c>
      <c r="B1137" s="22">
        <v>59500</v>
      </c>
      <c r="C1137">
        <v>4</v>
      </c>
    </row>
    <row r="1138" spans="1:3" x14ac:dyDescent="0.2">
      <c r="A1138" s="2">
        <v>1137</v>
      </c>
      <c r="B1138" s="22">
        <v>48000</v>
      </c>
      <c r="C1138">
        <v>3</v>
      </c>
    </row>
    <row r="1139" spans="1:3" x14ac:dyDescent="0.2">
      <c r="A1139" s="2">
        <v>1138</v>
      </c>
      <c r="B1139" s="22">
        <v>54500</v>
      </c>
      <c r="C1139">
        <v>3</v>
      </c>
    </row>
    <row r="1140" spans="1:3" x14ac:dyDescent="0.2">
      <c r="A1140" s="2">
        <v>1139</v>
      </c>
      <c r="B1140" s="22">
        <v>58500</v>
      </c>
      <c r="C1140">
        <v>3</v>
      </c>
    </row>
    <row r="1141" spans="1:3" x14ac:dyDescent="0.2">
      <c r="A1141" s="2">
        <v>1140</v>
      </c>
      <c r="B1141" s="22">
        <v>61000</v>
      </c>
      <c r="C1141">
        <v>4</v>
      </c>
    </row>
    <row r="1142" spans="1:3" x14ac:dyDescent="0.2">
      <c r="A1142" s="2">
        <v>1141</v>
      </c>
      <c r="B1142" s="22">
        <v>76000</v>
      </c>
      <c r="C1142">
        <v>4</v>
      </c>
    </row>
    <row r="1143" spans="1:3" x14ac:dyDescent="0.2">
      <c r="A1143" s="2">
        <v>1142</v>
      </c>
      <c r="B1143" s="22">
        <v>61000</v>
      </c>
      <c r="C1143">
        <v>4</v>
      </c>
    </row>
    <row r="1144" spans="1:3" x14ac:dyDescent="0.2">
      <c r="A1144" s="2">
        <v>1143</v>
      </c>
      <c r="B1144" s="22">
        <v>80500</v>
      </c>
      <c r="C1144">
        <v>3</v>
      </c>
    </row>
    <row r="1145" spans="1:3" x14ac:dyDescent="0.2">
      <c r="A1145" s="2">
        <v>1144</v>
      </c>
      <c r="B1145" s="22">
        <v>53000</v>
      </c>
      <c r="C1145">
        <v>3</v>
      </c>
    </row>
    <row r="1146" spans="1:3" x14ac:dyDescent="0.2">
      <c r="A1146" s="2">
        <v>1145</v>
      </c>
      <c r="B1146" s="22">
        <v>62000</v>
      </c>
      <c r="C1146">
        <v>3</v>
      </c>
    </row>
    <row r="1147" spans="1:3" x14ac:dyDescent="0.2">
      <c r="A1147" s="2">
        <v>1146</v>
      </c>
      <c r="B1147" s="22">
        <v>44500</v>
      </c>
      <c r="C1147">
        <v>4</v>
      </c>
    </row>
    <row r="1148" spans="1:3" x14ac:dyDescent="0.2">
      <c r="A1148" s="2">
        <v>1147</v>
      </c>
      <c r="B1148" s="22">
        <v>32500</v>
      </c>
      <c r="C1148">
        <v>1</v>
      </c>
    </row>
    <row r="1149" spans="1:3" x14ac:dyDescent="0.2">
      <c r="A1149" s="2">
        <v>1148</v>
      </c>
      <c r="B1149" s="22">
        <v>80500</v>
      </c>
      <c r="C1149">
        <v>3</v>
      </c>
    </row>
    <row r="1150" spans="1:3" x14ac:dyDescent="0.2">
      <c r="A1150" s="2">
        <v>1149</v>
      </c>
      <c r="B1150" s="22">
        <v>58000</v>
      </c>
      <c r="C1150">
        <v>3</v>
      </c>
    </row>
    <row r="1151" spans="1:3" x14ac:dyDescent="0.2">
      <c r="A1151" s="2">
        <v>1150</v>
      </c>
      <c r="B1151" s="22">
        <v>70000</v>
      </c>
      <c r="C1151">
        <v>2</v>
      </c>
    </row>
    <row r="1152" spans="1:3" x14ac:dyDescent="0.2">
      <c r="A1152" s="2">
        <v>1151</v>
      </c>
      <c r="B1152" s="22">
        <v>58000</v>
      </c>
      <c r="C1152">
        <v>5</v>
      </c>
    </row>
    <row r="1153" spans="1:3" x14ac:dyDescent="0.2">
      <c r="A1153" s="2">
        <v>1152</v>
      </c>
      <c r="B1153" s="22">
        <v>304000</v>
      </c>
      <c r="C1153">
        <v>4</v>
      </c>
    </row>
    <row r="1154" spans="1:3" x14ac:dyDescent="0.2">
      <c r="A1154" s="2">
        <v>1153</v>
      </c>
      <c r="B1154" s="22">
        <v>91500</v>
      </c>
      <c r="C1154">
        <v>3</v>
      </c>
    </row>
    <row r="1155" spans="1:3" x14ac:dyDescent="0.2">
      <c r="A1155" s="2">
        <v>1154</v>
      </c>
      <c r="B1155" s="22">
        <v>209500</v>
      </c>
      <c r="C1155">
        <v>3</v>
      </c>
    </row>
    <row r="1156" spans="1:3" x14ac:dyDescent="0.2">
      <c r="A1156" s="2">
        <v>1155</v>
      </c>
      <c r="B1156" s="22">
        <v>68500</v>
      </c>
      <c r="C1156">
        <v>2</v>
      </c>
    </row>
    <row r="1157" spans="1:3" x14ac:dyDescent="0.2">
      <c r="A1157" s="2">
        <v>1156</v>
      </c>
      <c r="B1157" s="22">
        <v>56000</v>
      </c>
      <c r="C1157">
        <v>3</v>
      </c>
    </row>
    <row r="1158" spans="1:3" x14ac:dyDescent="0.2">
      <c r="A1158" s="2">
        <v>1157</v>
      </c>
      <c r="B1158" s="22">
        <v>203000</v>
      </c>
      <c r="C1158">
        <v>1</v>
      </c>
    </row>
    <row r="1159" spans="1:3" x14ac:dyDescent="0.2">
      <c r="A1159" s="2">
        <v>1158</v>
      </c>
      <c r="B1159" s="22">
        <v>54000</v>
      </c>
      <c r="C1159">
        <v>2</v>
      </c>
    </row>
    <row r="1160" spans="1:3" x14ac:dyDescent="0.2">
      <c r="A1160" s="2">
        <v>1159</v>
      </c>
      <c r="B1160" s="22">
        <v>74000</v>
      </c>
      <c r="C1160">
        <v>4</v>
      </c>
    </row>
    <row r="1161" spans="1:3" x14ac:dyDescent="0.2">
      <c r="A1161" s="2">
        <v>1160</v>
      </c>
      <c r="B1161" s="22">
        <v>119000</v>
      </c>
      <c r="C1161">
        <v>5</v>
      </c>
    </row>
    <row r="1162" spans="1:3" x14ac:dyDescent="0.2">
      <c r="A1162" s="2">
        <v>1161</v>
      </c>
      <c r="B1162" s="22">
        <v>96000</v>
      </c>
      <c r="C1162">
        <v>2</v>
      </c>
    </row>
    <row r="1163" spans="1:3" x14ac:dyDescent="0.2">
      <c r="A1163" s="2">
        <v>1162</v>
      </c>
      <c r="B1163" s="22">
        <v>58500</v>
      </c>
      <c r="C1163">
        <v>3</v>
      </c>
    </row>
    <row r="1164" spans="1:3" x14ac:dyDescent="0.2">
      <c r="A1164" s="2">
        <v>1163</v>
      </c>
      <c r="B1164" s="22">
        <v>53500</v>
      </c>
      <c r="C1164">
        <v>2</v>
      </c>
    </row>
    <row r="1165" spans="1:3" x14ac:dyDescent="0.2">
      <c r="A1165" s="2">
        <v>1164</v>
      </c>
      <c r="B1165" s="22">
        <v>106000</v>
      </c>
      <c r="C1165">
        <v>3</v>
      </c>
    </row>
    <row r="1166" spans="1:3" x14ac:dyDescent="0.2">
      <c r="A1166" s="2">
        <v>1165</v>
      </c>
      <c r="B1166" s="22">
        <v>78000</v>
      </c>
      <c r="C1166">
        <v>3</v>
      </c>
    </row>
    <row r="1167" spans="1:3" x14ac:dyDescent="0.2">
      <c r="A1167" s="2">
        <v>1166</v>
      </c>
      <c r="B1167" s="22">
        <v>65000</v>
      </c>
      <c r="C1167">
        <v>3</v>
      </c>
    </row>
    <row r="1168" spans="1:3" x14ac:dyDescent="0.2">
      <c r="A1168" s="2">
        <v>1167</v>
      </c>
      <c r="B1168" s="22">
        <v>94500</v>
      </c>
      <c r="C1168">
        <v>4</v>
      </c>
    </row>
    <row r="1169" spans="1:3" x14ac:dyDescent="0.2">
      <c r="A1169" s="2">
        <v>1168</v>
      </c>
      <c r="B1169" s="22">
        <v>73000</v>
      </c>
      <c r="C1169">
        <v>2</v>
      </c>
    </row>
    <row r="1170" spans="1:3" x14ac:dyDescent="0.2">
      <c r="A1170" s="2">
        <v>1169</v>
      </c>
      <c r="B1170" s="22">
        <v>57500</v>
      </c>
      <c r="C1170">
        <v>3</v>
      </c>
    </row>
    <row r="1171" spans="1:3" x14ac:dyDescent="0.2">
      <c r="A1171" s="2">
        <v>1170</v>
      </c>
      <c r="B1171" s="22">
        <v>201500</v>
      </c>
      <c r="C1171">
        <v>3</v>
      </c>
    </row>
    <row r="1172" spans="1:3" x14ac:dyDescent="0.2">
      <c r="A1172" s="2">
        <v>1171</v>
      </c>
      <c r="B1172" s="22">
        <v>79500</v>
      </c>
      <c r="C1172">
        <v>3</v>
      </c>
    </row>
    <row r="1173" spans="1:3" x14ac:dyDescent="0.2">
      <c r="A1173" s="2">
        <v>1172</v>
      </c>
      <c r="B1173" s="22">
        <v>63500</v>
      </c>
      <c r="C1173">
        <v>3</v>
      </c>
    </row>
    <row r="1174" spans="1:3" x14ac:dyDescent="0.2">
      <c r="A1174" s="2">
        <v>1173</v>
      </c>
      <c r="B1174" s="22">
        <v>160500</v>
      </c>
      <c r="C1174">
        <v>3</v>
      </c>
    </row>
    <row r="1175" spans="1:3" x14ac:dyDescent="0.2">
      <c r="A1175" s="2">
        <v>1174</v>
      </c>
      <c r="B1175" s="22">
        <v>169000</v>
      </c>
      <c r="C1175">
        <v>4</v>
      </c>
    </row>
    <row r="1176" spans="1:3" x14ac:dyDescent="0.2">
      <c r="A1176" s="2">
        <v>1175</v>
      </c>
      <c r="B1176" s="22">
        <v>81000</v>
      </c>
      <c r="C1176">
        <v>2</v>
      </c>
    </row>
    <row r="1177" spans="1:3" x14ac:dyDescent="0.2">
      <c r="A1177" s="2">
        <v>1176</v>
      </c>
      <c r="B1177" s="22">
        <v>112500</v>
      </c>
      <c r="C1177">
        <v>3</v>
      </c>
    </row>
    <row r="1178" spans="1:3" x14ac:dyDescent="0.2">
      <c r="A1178" s="2">
        <v>1177</v>
      </c>
      <c r="B1178" s="22">
        <v>98000</v>
      </c>
      <c r="C1178">
        <v>2</v>
      </c>
    </row>
    <row r="1179" spans="1:3" x14ac:dyDescent="0.2">
      <c r="A1179" s="2">
        <v>1178</v>
      </c>
      <c r="B1179" s="22">
        <v>59500</v>
      </c>
      <c r="C1179">
        <v>3</v>
      </c>
    </row>
    <row r="1180" spans="1:3" x14ac:dyDescent="0.2">
      <c r="A1180" s="2">
        <v>1179</v>
      </c>
      <c r="B1180" s="22">
        <v>65500</v>
      </c>
      <c r="C1180">
        <v>2</v>
      </c>
    </row>
    <row r="1181" spans="1:3" x14ac:dyDescent="0.2">
      <c r="A1181" s="2">
        <v>1180</v>
      </c>
      <c r="B1181" s="22">
        <v>85500</v>
      </c>
      <c r="C1181">
        <v>1</v>
      </c>
    </row>
    <row r="1182" spans="1:3" x14ac:dyDescent="0.2">
      <c r="A1182" s="2">
        <v>1181</v>
      </c>
      <c r="B1182" s="22">
        <v>114500</v>
      </c>
      <c r="C1182">
        <v>5</v>
      </c>
    </row>
    <row r="1183" spans="1:3" x14ac:dyDescent="0.2">
      <c r="A1183" s="2">
        <v>1182</v>
      </c>
      <c r="B1183" s="22">
        <v>63000</v>
      </c>
      <c r="C1183">
        <v>3</v>
      </c>
    </row>
    <row r="1184" spans="1:3" x14ac:dyDescent="0.2">
      <c r="A1184" s="2">
        <v>1183</v>
      </c>
      <c r="B1184" s="22">
        <v>161500</v>
      </c>
      <c r="C1184">
        <v>3</v>
      </c>
    </row>
    <row r="1185" spans="1:3" x14ac:dyDescent="0.2">
      <c r="A1185" s="2">
        <v>1184</v>
      </c>
      <c r="B1185" s="22">
        <v>88000</v>
      </c>
      <c r="C1185">
        <v>5</v>
      </c>
    </row>
    <row r="1186" spans="1:3" x14ac:dyDescent="0.2">
      <c r="A1186" s="2">
        <v>1185</v>
      </c>
      <c r="B1186" s="22">
        <v>82000</v>
      </c>
      <c r="C1186">
        <v>4</v>
      </c>
    </row>
    <row r="1187" spans="1:3" x14ac:dyDescent="0.2">
      <c r="A1187" s="2">
        <v>1186</v>
      </c>
      <c r="B1187" s="22">
        <v>78500</v>
      </c>
      <c r="C1187">
        <v>4</v>
      </c>
    </row>
    <row r="1188" spans="1:3" x14ac:dyDescent="0.2">
      <c r="A1188" s="2">
        <v>1187</v>
      </c>
      <c r="B1188" s="22">
        <v>75500</v>
      </c>
      <c r="C1188">
        <v>3</v>
      </c>
    </row>
    <row r="1189" spans="1:3" x14ac:dyDescent="0.2">
      <c r="A1189" s="2">
        <v>1188</v>
      </c>
      <c r="B1189" s="22">
        <v>118500</v>
      </c>
      <c r="C1189">
        <v>4</v>
      </c>
    </row>
    <row r="1190" spans="1:3" x14ac:dyDescent="0.2">
      <c r="A1190" s="2">
        <v>1189</v>
      </c>
      <c r="B1190" s="22">
        <v>86000</v>
      </c>
      <c r="C1190">
        <v>3</v>
      </c>
    </row>
    <row r="1191" spans="1:3" x14ac:dyDescent="0.2">
      <c r="A1191" s="2">
        <v>1190</v>
      </c>
      <c r="B1191" s="22">
        <v>101000</v>
      </c>
      <c r="C1191">
        <v>3</v>
      </c>
    </row>
    <row r="1192" spans="1:3" x14ac:dyDescent="0.2">
      <c r="A1192" s="2">
        <v>1191</v>
      </c>
      <c r="B1192" s="22">
        <v>59000</v>
      </c>
      <c r="C1192">
        <v>4</v>
      </c>
    </row>
    <row r="1193" spans="1:3" x14ac:dyDescent="0.2">
      <c r="A1193" s="2">
        <v>1192</v>
      </c>
      <c r="B1193" s="22">
        <v>85000</v>
      </c>
      <c r="C1193">
        <v>2</v>
      </c>
    </row>
    <row r="1194" spans="1:3" x14ac:dyDescent="0.2">
      <c r="A1194" s="2">
        <v>1193</v>
      </c>
      <c r="B1194" s="22">
        <v>84500</v>
      </c>
      <c r="C1194">
        <v>4</v>
      </c>
    </row>
    <row r="1195" spans="1:3" x14ac:dyDescent="0.2">
      <c r="A1195" s="2">
        <v>1194</v>
      </c>
      <c r="B1195" s="22">
        <v>63500</v>
      </c>
      <c r="C1195">
        <v>5</v>
      </c>
    </row>
    <row r="1196" spans="1:3" x14ac:dyDescent="0.2">
      <c r="A1196" s="2">
        <v>1195</v>
      </c>
      <c r="B1196" s="22">
        <v>82000</v>
      </c>
      <c r="C1196">
        <v>4</v>
      </c>
    </row>
    <row r="1197" spans="1:3" x14ac:dyDescent="0.2">
      <c r="A1197" s="2">
        <v>1196</v>
      </c>
      <c r="B1197" s="22">
        <v>59000</v>
      </c>
      <c r="C1197">
        <v>3</v>
      </c>
    </row>
    <row r="1198" spans="1:3" x14ac:dyDescent="0.2">
      <c r="A1198" s="2">
        <v>1197</v>
      </c>
      <c r="B1198" s="22">
        <v>127500</v>
      </c>
      <c r="C1198">
        <v>3</v>
      </c>
    </row>
    <row r="1199" spans="1:3" x14ac:dyDescent="0.2">
      <c r="A1199" s="2">
        <v>1198</v>
      </c>
      <c r="B1199" s="22">
        <v>112000</v>
      </c>
      <c r="C1199">
        <v>3</v>
      </c>
    </row>
    <row r="1200" spans="1:3" x14ac:dyDescent="0.2">
      <c r="A1200" s="2">
        <v>1199</v>
      </c>
      <c r="B1200" s="22">
        <v>62500</v>
      </c>
      <c r="C1200">
        <v>3</v>
      </c>
    </row>
    <row r="1201" spans="1:3" x14ac:dyDescent="0.2">
      <c r="A1201" s="2">
        <v>1200</v>
      </c>
      <c r="B1201" s="22">
        <v>137500</v>
      </c>
      <c r="C1201">
        <v>3</v>
      </c>
    </row>
    <row r="1202" spans="1:3" x14ac:dyDescent="0.2">
      <c r="A1202" s="2">
        <v>1201</v>
      </c>
      <c r="B1202" s="22">
        <v>58000</v>
      </c>
      <c r="C1202">
        <v>2</v>
      </c>
    </row>
    <row r="1203" spans="1:3" x14ac:dyDescent="0.2">
      <c r="A1203" s="2">
        <v>1202</v>
      </c>
      <c r="B1203" s="22">
        <v>74500</v>
      </c>
      <c r="C1203">
        <v>2</v>
      </c>
    </row>
    <row r="1204" spans="1:3" x14ac:dyDescent="0.2">
      <c r="A1204" s="2">
        <v>1203</v>
      </c>
      <c r="B1204" s="22">
        <v>57000</v>
      </c>
      <c r="C1204">
        <v>2</v>
      </c>
    </row>
    <row r="1205" spans="1:3" x14ac:dyDescent="0.2">
      <c r="A1205" s="2">
        <v>1204</v>
      </c>
      <c r="B1205" s="22">
        <v>171000</v>
      </c>
      <c r="C1205">
        <v>3</v>
      </c>
    </row>
    <row r="1206" spans="1:3" x14ac:dyDescent="0.2">
      <c r="A1206" s="2">
        <v>1205</v>
      </c>
      <c r="B1206" s="22">
        <v>63000</v>
      </c>
      <c r="C1206">
        <v>3</v>
      </c>
    </row>
    <row r="1207" spans="1:3" x14ac:dyDescent="0.2">
      <c r="A1207" s="2">
        <v>1206</v>
      </c>
      <c r="B1207" s="22">
        <v>84000</v>
      </c>
      <c r="C1207">
        <v>3</v>
      </c>
    </row>
    <row r="1208" spans="1:3" x14ac:dyDescent="0.2">
      <c r="A1208" s="2">
        <v>1207</v>
      </c>
      <c r="B1208" s="22">
        <v>78500</v>
      </c>
      <c r="C1208">
        <v>2</v>
      </c>
    </row>
    <row r="1209" spans="1:3" x14ac:dyDescent="0.2">
      <c r="A1209" s="2">
        <v>1208</v>
      </c>
      <c r="B1209" s="22">
        <v>77500</v>
      </c>
      <c r="C1209">
        <v>2</v>
      </c>
    </row>
    <row r="1210" spans="1:3" x14ac:dyDescent="0.2">
      <c r="A1210" s="2">
        <v>1209</v>
      </c>
      <c r="B1210" s="22">
        <v>86000</v>
      </c>
      <c r="C1210">
        <v>4</v>
      </c>
    </row>
    <row r="1211" spans="1:3" x14ac:dyDescent="0.2">
      <c r="A1211" s="2">
        <v>1210</v>
      </c>
      <c r="B1211" s="22">
        <v>57000</v>
      </c>
      <c r="C1211">
        <v>3</v>
      </c>
    </row>
    <row r="1212" spans="1:3" x14ac:dyDescent="0.2">
      <c r="A1212" s="2">
        <v>1211</v>
      </c>
      <c r="B1212" s="22">
        <v>106500</v>
      </c>
      <c r="C1212">
        <v>3</v>
      </c>
    </row>
    <row r="1213" spans="1:3" x14ac:dyDescent="0.2">
      <c r="A1213" s="2">
        <v>1212</v>
      </c>
      <c r="B1213" s="22">
        <v>121000</v>
      </c>
      <c r="C1213">
        <v>2</v>
      </c>
    </row>
    <row r="1214" spans="1:3" x14ac:dyDescent="0.2">
      <c r="A1214" s="2">
        <v>1213</v>
      </c>
      <c r="B1214" s="22">
        <v>58500</v>
      </c>
      <c r="C1214">
        <v>3</v>
      </c>
    </row>
    <row r="1215" spans="1:3" x14ac:dyDescent="0.2">
      <c r="A1215" s="2">
        <v>1214</v>
      </c>
      <c r="B1215" s="22">
        <v>145500</v>
      </c>
      <c r="C1215">
        <v>3</v>
      </c>
    </row>
    <row r="1216" spans="1:3" x14ac:dyDescent="0.2">
      <c r="A1216" s="2">
        <v>1215</v>
      </c>
      <c r="B1216" s="22">
        <v>101000</v>
      </c>
      <c r="C1216">
        <v>3</v>
      </c>
    </row>
    <row r="1217" spans="1:3" x14ac:dyDescent="0.2">
      <c r="A1217" s="2">
        <v>1216</v>
      </c>
      <c r="B1217" s="22">
        <v>78500</v>
      </c>
      <c r="C1217">
        <v>3</v>
      </c>
    </row>
    <row r="1218" spans="1:3" x14ac:dyDescent="0.2">
      <c r="A1218" s="2">
        <v>1217</v>
      </c>
      <c r="B1218" s="22">
        <v>82500</v>
      </c>
      <c r="C1218">
        <v>4</v>
      </c>
    </row>
    <row r="1219" spans="1:3" x14ac:dyDescent="0.2">
      <c r="A1219" s="2">
        <v>1218</v>
      </c>
      <c r="B1219" s="22">
        <v>64500</v>
      </c>
      <c r="C1219">
        <v>4</v>
      </c>
    </row>
    <row r="1220" spans="1:3" x14ac:dyDescent="0.2">
      <c r="A1220" s="2">
        <v>1219</v>
      </c>
      <c r="B1220" s="22">
        <v>83000</v>
      </c>
      <c r="C1220">
        <v>3</v>
      </c>
    </row>
    <row r="1221" spans="1:3" x14ac:dyDescent="0.2">
      <c r="A1221" s="2">
        <v>1220</v>
      </c>
      <c r="B1221" s="22">
        <v>80000</v>
      </c>
      <c r="C1221">
        <v>3</v>
      </c>
    </row>
    <row r="1222" spans="1:3" x14ac:dyDescent="0.2">
      <c r="A1222" s="2">
        <v>1221</v>
      </c>
      <c r="B1222" s="22">
        <v>61000</v>
      </c>
      <c r="C1222">
        <v>3</v>
      </c>
    </row>
    <row r="1223" spans="1:3" x14ac:dyDescent="0.2">
      <c r="A1223" s="2">
        <v>1222</v>
      </c>
      <c r="B1223" s="22">
        <v>164000</v>
      </c>
      <c r="C1223">
        <v>3</v>
      </c>
    </row>
    <row r="1224" spans="1:3" x14ac:dyDescent="0.2">
      <c r="A1224" s="2">
        <v>1223</v>
      </c>
      <c r="B1224" s="22">
        <v>58000</v>
      </c>
      <c r="C1224">
        <v>3</v>
      </c>
    </row>
    <row r="1225" spans="1:3" x14ac:dyDescent="0.2">
      <c r="A1225" s="2">
        <v>1224</v>
      </c>
      <c r="B1225" s="22">
        <v>62500</v>
      </c>
      <c r="C1225">
        <v>3</v>
      </c>
    </row>
    <row r="1226" spans="1:3" x14ac:dyDescent="0.2">
      <c r="A1226" s="2">
        <v>1225</v>
      </c>
      <c r="B1226" s="22">
        <v>89000</v>
      </c>
      <c r="C1226">
        <v>4</v>
      </c>
    </row>
    <row r="1227" spans="1:3" x14ac:dyDescent="0.2">
      <c r="A1227" s="2">
        <v>1226</v>
      </c>
      <c r="B1227" s="22">
        <v>98500</v>
      </c>
      <c r="C1227">
        <v>3</v>
      </c>
    </row>
    <row r="1228" spans="1:3" x14ac:dyDescent="0.2">
      <c r="A1228" s="2">
        <v>1227</v>
      </c>
      <c r="B1228" s="22">
        <v>103500</v>
      </c>
      <c r="C1228">
        <v>3</v>
      </c>
    </row>
    <row r="1229" spans="1:3" x14ac:dyDescent="0.2">
      <c r="A1229" s="2">
        <v>1228</v>
      </c>
      <c r="B1229" s="22">
        <v>64000</v>
      </c>
      <c r="C1229">
        <v>3</v>
      </c>
    </row>
    <row r="1230" spans="1:3" x14ac:dyDescent="0.2">
      <c r="A1230" s="2">
        <v>1229</v>
      </c>
      <c r="B1230" s="22">
        <v>153000</v>
      </c>
      <c r="C1230">
        <v>3</v>
      </c>
    </row>
    <row r="1231" spans="1:3" x14ac:dyDescent="0.2">
      <c r="A1231" s="2">
        <v>1230</v>
      </c>
      <c r="B1231" s="22">
        <v>99000</v>
      </c>
      <c r="C1231">
        <v>1</v>
      </c>
    </row>
    <row r="1232" spans="1:3" x14ac:dyDescent="0.2">
      <c r="A1232" s="2">
        <v>1231</v>
      </c>
      <c r="B1232" s="22">
        <v>96000</v>
      </c>
      <c r="C1232">
        <v>3</v>
      </c>
    </row>
    <row r="1233" spans="1:3" x14ac:dyDescent="0.2">
      <c r="A1233" s="2">
        <v>1232</v>
      </c>
      <c r="B1233" s="22">
        <v>115000</v>
      </c>
      <c r="C1233">
        <v>1</v>
      </c>
    </row>
    <row r="1234" spans="1:3" x14ac:dyDescent="0.2">
      <c r="A1234" s="2">
        <v>1233</v>
      </c>
      <c r="B1234" s="22">
        <v>113500</v>
      </c>
      <c r="C1234">
        <v>3</v>
      </c>
    </row>
    <row r="1235" spans="1:3" x14ac:dyDescent="0.2">
      <c r="A1235" s="2">
        <v>1234</v>
      </c>
      <c r="B1235" s="22">
        <v>109500</v>
      </c>
      <c r="C1235">
        <v>4</v>
      </c>
    </row>
    <row r="1236" spans="1:3" x14ac:dyDescent="0.2">
      <c r="A1236" s="2">
        <v>1235</v>
      </c>
      <c r="B1236" s="22">
        <v>85000</v>
      </c>
      <c r="C1236">
        <v>3</v>
      </c>
    </row>
    <row r="1237" spans="1:3" x14ac:dyDescent="0.2">
      <c r="A1237" s="2">
        <v>1236</v>
      </c>
      <c r="B1237" s="22">
        <v>64500</v>
      </c>
      <c r="C1237">
        <v>4</v>
      </c>
    </row>
    <row r="1238" spans="1:3" x14ac:dyDescent="0.2">
      <c r="A1238" s="2">
        <v>1237</v>
      </c>
      <c r="B1238" s="22">
        <v>100000</v>
      </c>
      <c r="C1238">
        <v>3</v>
      </c>
    </row>
    <row r="1239" spans="1:3" x14ac:dyDescent="0.2">
      <c r="A1239" s="2">
        <v>1238</v>
      </c>
      <c r="B1239" s="22">
        <v>81000</v>
      </c>
      <c r="C1239">
        <v>3</v>
      </c>
    </row>
    <row r="1240" spans="1:3" x14ac:dyDescent="0.2">
      <c r="A1240" s="2">
        <v>1239</v>
      </c>
      <c r="B1240" s="22">
        <v>105500</v>
      </c>
      <c r="C1240">
        <v>4</v>
      </c>
    </row>
    <row r="1241" spans="1:3" x14ac:dyDescent="0.2">
      <c r="A1241" s="2">
        <v>1240</v>
      </c>
      <c r="B1241" s="22">
        <v>84000</v>
      </c>
      <c r="C1241">
        <v>3</v>
      </c>
    </row>
    <row r="1242" spans="1:3" x14ac:dyDescent="0.2">
      <c r="A1242" s="2">
        <v>1241</v>
      </c>
      <c r="B1242" s="22">
        <v>108000</v>
      </c>
      <c r="C1242">
        <v>3</v>
      </c>
    </row>
    <row r="1243" spans="1:3" x14ac:dyDescent="0.2">
      <c r="A1243" s="2">
        <v>1242</v>
      </c>
      <c r="B1243" s="22">
        <v>76000</v>
      </c>
      <c r="C1243">
        <v>4</v>
      </c>
    </row>
    <row r="1244" spans="1:3" x14ac:dyDescent="0.2">
      <c r="A1244" s="2">
        <v>1243</v>
      </c>
      <c r="B1244" s="22">
        <v>78000</v>
      </c>
      <c r="C1244">
        <v>3</v>
      </c>
    </row>
    <row r="1245" spans="1:3" x14ac:dyDescent="0.2">
      <c r="A1245" s="2">
        <v>1244</v>
      </c>
      <c r="B1245" s="22">
        <v>79500</v>
      </c>
      <c r="C1245">
        <v>5</v>
      </c>
    </row>
    <row r="1246" spans="1:3" x14ac:dyDescent="0.2">
      <c r="A1246" s="2">
        <v>1245</v>
      </c>
      <c r="B1246" s="22">
        <v>76000</v>
      </c>
      <c r="C1246">
        <v>4</v>
      </c>
    </row>
    <row r="1247" spans="1:3" x14ac:dyDescent="0.2">
      <c r="A1247" s="2">
        <v>1246</v>
      </c>
      <c r="B1247" s="22">
        <v>126500</v>
      </c>
      <c r="C1247">
        <v>3</v>
      </c>
    </row>
    <row r="1248" spans="1:3" x14ac:dyDescent="0.2">
      <c r="A1248" s="2">
        <v>1247</v>
      </c>
      <c r="B1248" s="22">
        <v>190000</v>
      </c>
      <c r="C1248">
        <v>4</v>
      </c>
    </row>
    <row r="1249" spans="1:3" x14ac:dyDescent="0.2">
      <c r="A1249" s="2">
        <v>1248</v>
      </c>
      <c r="B1249" s="22">
        <v>131000</v>
      </c>
      <c r="C1249">
        <v>3</v>
      </c>
    </row>
    <row r="1250" spans="1:3" x14ac:dyDescent="0.2">
      <c r="A1250" s="2">
        <v>1249</v>
      </c>
      <c r="B1250" s="22">
        <v>155000</v>
      </c>
      <c r="C1250">
        <v>4</v>
      </c>
    </row>
    <row r="1251" spans="1:3" x14ac:dyDescent="0.2">
      <c r="A1251" s="2">
        <v>1250</v>
      </c>
      <c r="B1251" s="22">
        <v>56000</v>
      </c>
      <c r="C1251">
        <v>3</v>
      </c>
    </row>
    <row r="1252" spans="1:3" x14ac:dyDescent="0.2">
      <c r="A1252" s="2">
        <v>1251</v>
      </c>
      <c r="B1252" s="22">
        <v>79500</v>
      </c>
      <c r="C1252">
        <v>3</v>
      </c>
    </row>
    <row r="1253" spans="1:3" x14ac:dyDescent="0.2">
      <c r="A1253" s="2">
        <v>1252</v>
      </c>
      <c r="B1253" s="22">
        <v>126500</v>
      </c>
      <c r="C1253">
        <v>3</v>
      </c>
    </row>
    <row r="1254" spans="1:3" x14ac:dyDescent="0.2">
      <c r="A1254" s="2">
        <v>1253</v>
      </c>
      <c r="B1254" s="22">
        <v>83000</v>
      </c>
      <c r="C1254">
        <v>5</v>
      </c>
    </row>
    <row r="1255" spans="1:3" x14ac:dyDescent="0.2">
      <c r="A1255" s="2">
        <v>1254</v>
      </c>
      <c r="B1255" s="22">
        <v>163000</v>
      </c>
      <c r="C1255">
        <v>3</v>
      </c>
    </row>
    <row r="1256" spans="1:3" x14ac:dyDescent="0.2">
      <c r="A1256" s="2">
        <v>1255</v>
      </c>
      <c r="B1256" s="22">
        <v>82000</v>
      </c>
      <c r="C1256">
        <v>3</v>
      </c>
    </row>
    <row r="1257" spans="1:3" x14ac:dyDescent="0.2">
      <c r="A1257" s="2">
        <v>1256</v>
      </c>
      <c r="B1257" s="22">
        <v>101000</v>
      </c>
      <c r="C1257">
        <v>3</v>
      </c>
    </row>
    <row r="1258" spans="1:3" x14ac:dyDescent="0.2">
      <c r="A1258" s="2">
        <v>1257</v>
      </c>
      <c r="B1258" s="22">
        <v>87500</v>
      </c>
      <c r="C1258">
        <v>4</v>
      </c>
    </row>
    <row r="1259" spans="1:3" x14ac:dyDescent="0.2">
      <c r="A1259" s="2">
        <v>1258</v>
      </c>
      <c r="B1259" s="22">
        <v>144000</v>
      </c>
      <c r="C1259">
        <v>1</v>
      </c>
    </row>
    <row r="1260" spans="1:3" x14ac:dyDescent="0.2">
      <c r="A1260" s="2">
        <v>1259</v>
      </c>
      <c r="B1260" s="22">
        <v>85000</v>
      </c>
      <c r="C1260">
        <v>4</v>
      </c>
    </row>
    <row r="1261" spans="1:3" x14ac:dyDescent="0.2">
      <c r="A1261" s="2">
        <v>1260</v>
      </c>
      <c r="B1261" s="22">
        <v>103000</v>
      </c>
      <c r="C1261">
        <v>3</v>
      </c>
    </row>
    <row r="1262" spans="1:3" x14ac:dyDescent="0.2">
      <c r="A1262" s="2">
        <v>1261</v>
      </c>
      <c r="B1262" s="22">
        <v>71500</v>
      </c>
      <c r="C1262">
        <v>1</v>
      </c>
    </row>
    <row r="1263" spans="1:3" x14ac:dyDescent="0.2">
      <c r="A1263" s="2">
        <v>1262</v>
      </c>
      <c r="B1263" s="22">
        <v>84000</v>
      </c>
      <c r="C1263">
        <v>3</v>
      </c>
    </row>
    <row r="1264" spans="1:3" x14ac:dyDescent="0.2">
      <c r="A1264" s="2">
        <v>1263</v>
      </c>
      <c r="B1264" s="22">
        <v>94000</v>
      </c>
      <c r="C1264">
        <v>3</v>
      </c>
    </row>
    <row r="1265" spans="1:3" x14ac:dyDescent="0.2">
      <c r="A1265" s="2">
        <v>1264</v>
      </c>
      <c r="B1265" s="22">
        <v>79000</v>
      </c>
      <c r="C1265">
        <v>2</v>
      </c>
    </row>
    <row r="1266" spans="1:3" x14ac:dyDescent="0.2">
      <c r="A1266" s="2">
        <v>1265</v>
      </c>
      <c r="B1266" s="22">
        <v>84500</v>
      </c>
      <c r="C1266">
        <v>3</v>
      </c>
    </row>
    <row r="1267" spans="1:3" x14ac:dyDescent="0.2">
      <c r="A1267" s="2">
        <v>1266</v>
      </c>
      <c r="B1267" s="22">
        <v>95000</v>
      </c>
      <c r="C1267">
        <v>3</v>
      </c>
    </row>
    <row r="1268" spans="1:3" x14ac:dyDescent="0.2">
      <c r="A1268" s="2">
        <v>1267</v>
      </c>
      <c r="B1268" s="22">
        <v>81500</v>
      </c>
      <c r="C1268">
        <v>3</v>
      </c>
    </row>
    <row r="1269" spans="1:3" x14ac:dyDescent="0.2">
      <c r="A1269" s="2">
        <v>1268</v>
      </c>
      <c r="B1269" s="22">
        <v>61500</v>
      </c>
      <c r="C1269">
        <v>3</v>
      </c>
    </row>
    <row r="1270" spans="1:3" x14ac:dyDescent="0.2">
      <c r="A1270" s="2">
        <v>1269</v>
      </c>
      <c r="B1270" s="22">
        <v>60500</v>
      </c>
      <c r="C1270">
        <v>2</v>
      </c>
    </row>
    <row r="1271" spans="1:3" x14ac:dyDescent="0.2">
      <c r="A1271" s="2">
        <v>1270</v>
      </c>
      <c r="B1271" s="22">
        <v>76500</v>
      </c>
      <c r="C1271">
        <v>4</v>
      </c>
    </row>
    <row r="1272" spans="1:3" x14ac:dyDescent="0.2">
      <c r="A1272" s="2">
        <v>1271</v>
      </c>
      <c r="B1272" s="22">
        <v>82500</v>
      </c>
      <c r="C1272">
        <v>3</v>
      </c>
    </row>
    <row r="1273" spans="1:3" x14ac:dyDescent="0.2">
      <c r="A1273" s="2">
        <v>1272</v>
      </c>
      <c r="B1273" s="22">
        <v>102500</v>
      </c>
      <c r="C1273">
        <v>3</v>
      </c>
    </row>
    <row r="1274" spans="1:3" x14ac:dyDescent="0.2">
      <c r="A1274" s="2">
        <v>1273</v>
      </c>
      <c r="B1274" s="22">
        <v>83000</v>
      </c>
      <c r="C1274">
        <v>3</v>
      </c>
    </row>
    <row r="1275" spans="1:3" x14ac:dyDescent="0.2">
      <c r="A1275" s="2">
        <v>1274</v>
      </c>
      <c r="B1275" s="22">
        <v>105500</v>
      </c>
      <c r="C1275">
        <v>3</v>
      </c>
    </row>
    <row r="1276" spans="1:3" x14ac:dyDescent="0.2">
      <c r="A1276" s="2">
        <v>1275</v>
      </c>
      <c r="B1276" s="22">
        <v>78500</v>
      </c>
      <c r="C1276">
        <v>4</v>
      </c>
    </row>
    <row r="1277" spans="1:3" x14ac:dyDescent="0.2">
      <c r="A1277" s="2">
        <v>1276</v>
      </c>
      <c r="B1277" s="22">
        <v>68000</v>
      </c>
      <c r="C1277">
        <v>4</v>
      </c>
    </row>
    <row r="1278" spans="1:3" x14ac:dyDescent="0.2">
      <c r="A1278" s="2">
        <v>1277</v>
      </c>
      <c r="B1278" s="22">
        <v>97500</v>
      </c>
      <c r="C1278">
        <v>3</v>
      </c>
    </row>
    <row r="1279" spans="1:3" x14ac:dyDescent="0.2">
      <c r="A1279" s="2">
        <v>1278</v>
      </c>
      <c r="B1279" s="22">
        <v>110500</v>
      </c>
      <c r="C1279">
        <v>3</v>
      </c>
    </row>
    <row r="1280" spans="1:3" x14ac:dyDescent="0.2">
      <c r="A1280" s="2">
        <v>1279</v>
      </c>
      <c r="B1280" s="22">
        <v>55000</v>
      </c>
      <c r="C1280">
        <v>3</v>
      </c>
    </row>
    <row r="1281" spans="1:3" x14ac:dyDescent="0.2">
      <c r="A1281" s="2">
        <v>1280</v>
      </c>
      <c r="B1281" s="22">
        <v>85500</v>
      </c>
      <c r="C1281">
        <v>3</v>
      </c>
    </row>
    <row r="1282" spans="1:3" x14ac:dyDescent="0.2">
      <c r="A1282" s="2">
        <v>1281</v>
      </c>
      <c r="B1282" s="22">
        <v>106000</v>
      </c>
      <c r="C1282">
        <v>4</v>
      </c>
    </row>
    <row r="1283" spans="1:3" x14ac:dyDescent="0.2">
      <c r="A1283" s="2">
        <v>1282</v>
      </c>
      <c r="B1283" s="22">
        <v>58000</v>
      </c>
      <c r="C1283">
        <v>4</v>
      </c>
    </row>
    <row r="1284" spans="1:3" x14ac:dyDescent="0.2">
      <c r="A1284" s="2">
        <v>1283</v>
      </c>
      <c r="B1284" s="22">
        <v>79500</v>
      </c>
      <c r="C1284">
        <v>4</v>
      </c>
    </row>
    <row r="1285" spans="1:3" x14ac:dyDescent="0.2">
      <c r="A1285" s="2">
        <v>1284</v>
      </c>
      <c r="B1285" s="22">
        <v>111000</v>
      </c>
      <c r="C1285">
        <v>2</v>
      </c>
    </row>
    <row r="1286" spans="1:3" x14ac:dyDescent="0.2">
      <c r="A1286" s="2">
        <v>1285</v>
      </c>
      <c r="B1286" s="22">
        <v>102500</v>
      </c>
      <c r="C1286">
        <v>1</v>
      </c>
    </row>
    <row r="1287" spans="1:3" x14ac:dyDescent="0.2">
      <c r="A1287" s="2">
        <v>1286</v>
      </c>
      <c r="B1287" s="22">
        <v>127000</v>
      </c>
      <c r="C1287">
        <v>3</v>
      </c>
    </row>
    <row r="1288" spans="1:3" x14ac:dyDescent="0.2">
      <c r="A1288" s="2">
        <v>1287</v>
      </c>
      <c r="B1288" s="22">
        <v>61000</v>
      </c>
      <c r="C1288">
        <v>4</v>
      </c>
    </row>
    <row r="1289" spans="1:3" x14ac:dyDescent="0.2">
      <c r="A1289" s="2">
        <v>1288</v>
      </c>
      <c r="B1289" s="22">
        <v>59000</v>
      </c>
      <c r="C1289">
        <v>3</v>
      </c>
    </row>
    <row r="1290" spans="1:3" x14ac:dyDescent="0.2">
      <c r="A1290" s="2">
        <v>1289</v>
      </c>
      <c r="B1290" s="22">
        <v>60500</v>
      </c>
      <c r="C1290">
        <v>3</v>
      </c>
    </row>
    <row r="1291" spans="1:3" x14ac:dyDescent="0.2">
      <c r="A1291" s="2">
        <v>1290</v>
      </c>
      <c r="B1291" s="22">
        <v>56500</v>
      </c>
      <c r="C1291">
        <v>2</v>
      </c>
    </row>
    <row r="1292" spans="1:3" x14ac:dyDescent="0.2">
      <c r="A1292" s="2">
        <v>1291</v>
      </c>
      <c r="B1292" s="22">
        <v>56500</v>
      </c>
      <c r="C1292">
        <v>2</v>
      </c>
    </row>
    <row r="1293" spans="1:3" x14ac:dyDescent="0.2">
      <c r="A1293" s="2">
        <v>1292</v>
      </c>
      <c r="B1293" s="22">
        <v>115000</v>
      </c>
      <c r="C1293">
        <v>3</v>
      </c>
    </row>
    <row r="1294" spans="1:3" x14ac:dyDescent="0.2">
      <c r="A1294" s="2">
        <v>1293</v>
      </c>
      <c r="B1294" s="22">
        <v>134500</v>
      </c>
      <c r="C1294">
        <v>3</v>
      </c>
    </row>
    <row r="1295" spans="1:3" x14ac:dyDescent="0.2">
      <c r="A1295" s="2">
        <v>1294</v>
      </c>
      <c r="B1295" s="22">
        <v>155500</v>
      </c>
      <c r="C1295">
        <v>4</v>
      </c>
    </row>
    <row r="1296" spans="1:3" x14ac:dyDescent="0.2">
      <c r="A1296" s="2">
        <v>1295</v>
      </c>
      <c r="B1296" s="22">
        <v>72000</v>
      </c>
      <c r="C1296">
        <v>4</v>
      </c>
    </row>
    <row r="1297" spans="1:3" x14ac:dyDescent="0.2">
      <c r="A1297" s="2">
        <v>1296</v>
      </c>
      <c r="B1297" s="22">
        <v>55000</v>
      </c>
      <c r="C1297">
        <v>1</v>
      </c>
    </row>
    <row r="1298" spans="1:3" x14ac:dyDescent="0.2">
      <c r="A1298" s="2">
        <v>1297</v>
      </c>
      <c r="B1298" s="22">
        <v>61500</v>
      </c>
      <c r="C1298">
        <v>2</v>
      </c>
    </row>
    <row r="1299" spans="1:3" x14ac:dyDescent="0.2">
      <c r="A1299" s="2">
        <v>1298</v>
      </c>
      <c r="B1299" s="22">
        <v>123500</v>
      </c>
      <c r="C1299">
        <v>3</v>
      </c>
    </row>
    <row r="1300" spans="1:3" x14ac:dyDescent="0.2">
      <c r="A1300" s="2">
        <v>1299</v>
      </c>
      <c r="B1300" s="22">
        <v>62000</v>
      </c>
      <c r="C1300">
        <v>4</v>
      </c>
    </row>
    <row r="1301" spans="1:3" x14ac:dyDescent="0.2">
      <c r="A1301" s="2">
        <v>1300</v>
      </c>
      <c r="B1301" s="22">
        <v>77000</v>
      </c>
      <c r="C1301">
        <v>4</v>
      </c>
    </row>
    <row r="1302" spans="1:3" x14ac:dyDescent="0.2">
      <c r="A1302" s="2">
        <v>1301</v>
      </c>
      <c r="B1302" s="22">
        <v>117500</v>
      </c>
      <c r="C1302">
        <v>3</v>
      </c>
    </row>
    <row r="1303" spans="1:3" x14ac:dyDescent="0.2">
      <c r="A1303" s="2">
        <v>1302</v>
      </c>
      <c r="B1303" s="22">
        <v>62000</v>
      </c>
      <c r="C1303">
        <v>4</v>
      </c>
    </row>
    <row r="1304" spans="1:3" x14ac:dyDescent="0.2">
      <c r="A1304" s="2">
        <v>1303</v>
      </c>
      <c r="B1304" s="22">
        <v>58000</v>
      </c>
      <c r="C1304">
        <v>3</v>
      </c>
    </row>
    <row r="1305" spans="1:3" x14ac:dyDescent="0.2">
      <c r="A1305" s="2">
        <v>1304</v>
      </c>
      <c r="B1305" s="22">
        <v>65500</v>
      </c>
      <c r="C1305">
        <v>3</v>
      </c>
    </row>
    <row r="1306" spans="1:3" x14ac:dyDescent="0.2">
      <c r="A1306" s="2">
        <v>1305</v>
      </c>
      <c r="B1306" s="22">
        <v>60500</v>
      </c>
      <c r="C1306">
        <v>4</v>
      </c>
    </row>
    <row r="1307" spans="1:3" x14ac:dyDescent="0.2">
      <c r="A1307" s="2">
        <v>1306</v>
      </c>
      <c r="B1307" s="22">
        <v>79000</v>
      </c>
      <c r="C1307">
        <v>2</v>
      </c>
    </row>
    <row r="1308" spans="1:3" x14ac:dyDescent="0.2">
      <c r="A1308" s="2">
        <v>1307</v>
      </c>
      <c r="B1308" s="22">
        <v>44500</v>
      </c>
      <c r="C1308">
        <v>1</v>
      </c>
    </row>
    <row r="1309" spans="1:3" x14ac:dyDescent="0.2">
      <c r="A1309" s="2">
        <v>1308</v>
      </c>
      <c r="B1309" s="22">
        <v>73500</v>
      </c>
      <c r="C1309">
        <v>3</v>
      </c>
    </row>
    <row r="1310" spans="1:3" x14ac:dyDescent="0.2">
      <c r="A1310" s="2">
        <v>1309</v>
      </c>
      <c r="B1310" s="22">
        <v>61500</v>
      </c>
      <c r="C1310">
        <v>3</v>
      </c>
    </row>
    <row r="1311" spans="1:3" x14ac:dyDescent="0.2">
      <c r="A1311" s="2">
        <v>1310</v>
      </c>
      <c r="B1311" s="22">
        <v>79000</v>
      </c>
      <c r="C1311">
        <v>5</v>
      </c>
    </row>
    <row r="1312" spans="1:3" x14ac:dyDescent="0.2">
      <c r="A1312" s="2">
        <v>1311</v>
      </c>
      <c r="B1312" s="22">
        <v>78000</v>
      </c>
      <c r="C1312">
        <v>1</v>
      </c>
    </row>
    <row r="1313" spans="1:3" x14ac:dyDescent="0.2">
      <c r="A1313" s="2">
        <v>1312</v>
      </c>
      <c r="B1313" s="22">
        <v>44500</v>
      </c>
      <c r="C1313">
        <v>3</v>
      </c>
    </row>
    <row r="1314" spans="1:3" x14ac:dyDescent="0.2">
      <c r="A1314" s="2">
        <v>1313</v>
      </c>
      <c r="B1314" s="22">
        <v>46500</v>
      </c>
      <c r="C1314">
        <v>4</v>
      </c>
    </row>
    <row r="1315" spans="1:3" x14ac:dyDescent="0.2">
      <c r="A1315" s="2">
        <v>1314</v>
      </c>
      <c r="B1315" s="22">
        <v>57500</v>
      </c>
      <c r="C1315">
        <v>3</v>
      </c>
    </row>
    <row r="1316" spans="1:3" x14ac:dyDescent="0.2">
      <c r="A1316" s="2">
        <v>1315</v>
      </c>
      <c r="B1316" s="22">
        <v>74500</v>
      </c>
      <c r="C1316">
        <v>3</v>
      </c>
    </row>
    <row r="1317" spans="1:3" x14ac:dyDescent="0.2">
      <c r="A1317" s="2">
        <v>1316</v>
      </c>
      <c r="B1317" s="22">
        <v>105500</v>
      </c>
      <c r="C1317">
        <v>4</v>
      </c>
    </row>
    <row r="1318" spans="1:3" x14ac:dyDescent="0.2">
      <c r="A1318" s="2">
        <v>1317</v>
      </c>
      <c r="B1318" s="22">
        <v>54000</v>
      </c>
      <c r="C1318">
        <v>2</v>
      </c>
    </row>
    <row r="1319" spans="1:3" x14ac:dyDescent="0.2">
      <c r="A1319" s="2">
        <v>1318</v>
      </c>
      <c r="B1319" s="22">
        <v>61000</v>
      </c>
      <c r="C1319">
        <v>3</v>
      </c>
    </row>
    <row r="1320" spans="1:3" x14ac:dyDescent="0.2">
      <c r="A1320" s="2">
        <v>1319</v>
      </c>
      <c r="B1320" s="22">
        <v>79000</v>
      </c>
      <c r="C1320">
        <v>3</v>
      </c>
    </row>
    <row r="1321" spans="1:3" x14ac:dyDescent="0.2">
      <c r="A1321" s="2">
        <v>1320</v>
      </c>
      <c r="B1321" s="22">
        <v>58500</v>
      </c>
      <c r="C1321">
        <v>3</v>
      </c>
    </row>
    <row r="1322" spans="1:3" x14ac:dyDescent="0.2">
      <c r="A1322" s="2">
        <v>1321</v>
      </c>
      <c r="B1322" s="22">
        <v>42000</v>
      </c>
      <c r="C1322">
        <v>2</v>
      </c>
    </row>
    <row r="1323" spans="1:3" x14ac:dyDescent="0.2">
      <c r="A1323" s="2">
        <v>1322</v>
      </c>
      <c r="B1323" s="22">
        <v>61500</v>
      </c>
      <c r="C1323">
        <v>3</v>
      </c>
    </row>
    <row r="1324" spans="1:3" x14ac:dyDescent="0.2">
      <c r="A1324" s="2">
        <v>1323</v>
      </c>
      <c r="B1324" s="22">
        <v>47500</v>
      </c>
      <c r="C1324">
        <v>4</v>
      </c>
    </row>
    <row r="1325" spans="1:3" x14ac:dyDescent="0.2">
      <c r="A1325" s="2">
        <v>1324</v>
      </c>
      <c r="B1325" s="22">
        <v>45000</v>
      </c>
      <c r="C1325">
        <v>3</v>
      </c>
    </row>
    <row r="1326" spans="1:3" x14ac:dyDescent="0.2">
      <c r="A1326" s="2">
        <v>1325</v>
      </c>
      <c r="B1326" s="22">
        <v>43500</v>
      </c>
      <c r="C1326">
        <v>4</v>
      </c>
    </row>
    <row r="1327" spans="1:3" x14ac:dyDescent="0.2">
      <c r="A1327" s="2">
        <v>1326</v>
      </c>
      <c r="B1327" s="22">
        <v>57000</v>
      </c>
      <c r="C1327">
        <v>3</v>
      </c>
    </row>
    <row r="1328" spans="1:3" x14ac:dyDescent="0.2">
      <c r="A1328" s="2">
        <v>1327</v>
      </c>
      <c r="B1328" s="22">
        <v>72000</v>
      </c>
      <c r="C1328">
        <v>4</v>
      </c>
    </row>
    <row r="1329" spans="1:3" x14ac:dyDescent="0.2">
      <c r="A1329" s="2">
        <v>1328</v>
      </c>
      <c r="B1329" s="22">
        <v>80500</v>
      </c>
      <c r="C1329">
        <v>4</v>
      </c>
    </row>
    <row r="1330" spans="1:3" x14ac:dyDescent="0.2">
      <c r="A1330" s="2">
        <v>1329</v>
      </c>
      <c r="B1330" s="22">
        <v>204000</v>
      </c>
      <c r="C1330">
        <v>4</v>
      </c>
    </row>
    <row r="1331" spans="1:3" x14ac:dyDescent="0.2">
      <c r="A1331" s="2">
        <v>1330</v>
      </c>
      <c r="B1331" s="22">
        <v>88000</v>
      </c>
      <c r="C1331">
        <v>3</v>
      </c>
    </row>
    <row r="1332" spans="1:3" x14ac:dyDescent="0.2">
      <c r="A1332" s="2">
        <v>1331</v>
      </c>
      <c r="B1332" s="22">
        <v>44500</v>
      </c>
      <c r="C1332">
        <v>2</v>
      </c>
    </row>
    <row r="1333" spans="1:3" x14ac:dyDescent="0.2">
      <c r="A1333" s="2">
        <v>1332</v>
      </c>
      <c r="B1333" s="22">
        <v>68500</v>
      </c>
      <c r="C1333">
        <v>2</v>
      </c>
    </row>
    <row r="1334" spans="1:3" x14ac:dyDescent="0.2">
      <c r="A1334" s="2">
        <v>1333</v>
      </c>
      <c r="B1334" s="22">
        <v>69000</v>
      </c>
      <c r="C1334">
        <v>3</v>
      </c>
    </row>
    <row r="1335" spans="1:3" x14ac:dyDescent="0.2">
      <c r="A1335" s="2">
        <v>1334</v>
      </c>
      <c r="B1335" s="22">
        <v>134000</v>
      </c>
      <c r="C1335">
        <v>2</v>
      </c>
    </row>
    <row r="1336" spans="1:3" x14ac:dyDescent="0.2">
      <c r="A1336" s="2">
        <v>1335</v>
      </c>
      <c r="B1336" s="22">
        <v>80500</v>
      </c>
      <c r="C1336">
        <v>5</v>
      </c>
    </row>
    <row r="1337" spans="1:3" x14ac:dyDescent="0.2">
      <c r="A1337" s="2">
        <v>1336</v>
      </c>
      <c r="B1337" s="22">
        <v>139500</v>
      </c>
      <c r="C1337">
        <v>2</v>
      </c>
    </row>
    <row r="1338" spans="1:3" x14ac:dyDescent="0.2">
      <c r="A1338" s="2">
        <v>1337</v>
      </c>
      <c r="B1338" s="22">
        <v>114500</v>
      </c>
      <c r="C1338">
        <v>2</v>
      </c>
    </row>
    <row r="1339" spans="1:3" x14ac:dyDescent="0.2">
      <c r="A1339" s="2">
        <v>1338</v>
      </c>
      <c r="B1339" s="22">
        <v>74500</v>
      </c>
      <c r="C1339">
        <v>2</v>
      </c>
    </row>
    <row r="1340" spans="1:3" x14ac:dyDescent="0.2">
      <c r="A1340" s="2">
        <v>1339</v>
      </c>
      <c r="B1340" s="22">
        <v>61000</v>
      </c>
      <c r="C1340">
        <v>3</v>
      </c>
    </row>
    <row r="1341" spans="1:3" x14ac:dyDescent="0.2">
      <c r="A1341" s="2">
        <v>1340</v>
      </c>
      <c r="B1341" s="22">
        <v>117000</v>
      </c>
      <c r="C1341">
        <v>3</v>
      </c>
    </row>
    <row r="1342" spans="1:3" x14ac:dyDescent="0.2">
      <c r="A1342" s="2">
        <v>1341</v>
      </c>
      <c r="B1342" s="22">
        <v>66500</v>
      </c>
      <c r="C1342">
        <v>3</v>
      </c>
    </row>
    <row r="1343" spans="1:3" x14ac:dyDescent="0.2">
      <c r="A1343" s="2">
        <v>1342</v>
      </c>
      <c r="B1343" s="22">
        <v>119500</v>
      </c>
      <c r="C1343">
        <v>3</v>
      </c>
    </row>
    <row r="1344" spans="1:3" x14ac:dyDescent="0.2">
      <c r="A1344" s="2">
        <v>1343</v>
      </c>
      <c r="B1344" s="22">
        <v>50500</v>
      </c>
      <c r="C1344">
        <v>3</v>
      </c>
    </row>
    <row r="1345" spans="1:3" x14ac:dyDescent="0.2">
      <c r="A1345" s="2">
        <v>1344</v>
      </c>
      <c r="B1345" s="22">
        <v>149500</v>
      </c>
      <c r="C1345">
        <v>4</v>
      </c>
    </row>
    <row r="1346" spans="1:3" x14ac:dyDescent="0.2">
      <c r="A1346" s="2">
        <v>1345</v>
      </c>
      <c r="B1346" s="22">
        <v>113000</v>
      </c>
      <c r="C1346">
        <v>5</v>
      </c>
    </row>
    <row r="1347" spans="1:3" x14ac:dyDescent="0.2">
      <c r="A1347" s="2">
        <v>1346</v>
      </c>
      <c r="B1347" s="22">
        <v>33000</v>
      </c>
      <c r="C1347">
        <v>4</v>
      </c>
    </row>
    <row r="1348" spans="1:3" x14ac:dyDescent="0.2">
      <c r="A1348" s="2">
        <v>1347</v>
      </c>
      <c r="B1348" s="22">
        <v>51000</v>
      </c>
      <c r="C1348">
        <v>3</v>
      </c>
    </row>
    <row r="1349" spans="1:3" x14ac:dyDescent="0.2">
      <c r="A1349" s="2">
        <v>1348</v>
      </c>
      <c r="B1349" s="22">
        <v>57000</v>
      </c>
      <c r="C1349">
        <v>3</v>
      </c>
    </row>
    <row r="1350" spans="1:3" x14ac:dyDescent="0.2">
      <c r="A1350" s="2">
        <v>1349</v>
      </c>
      <c r="B1350" s="22">
        <v>94000</v>
      </c>
      <c r="C1350">
        <v>3</v>
      </c>
    </row>
    <row r="1351" spans="1:3" x14ac:dyDescent="0.2">
      <c r="A1351" s="2">
        <v>1350</v>
      </c>
      <c r="B1351" s="22">
        <v>133500</v>
      </c>
      <c r="C1351">
        <v>3</v>
      </c>
    </row>
    <row r="1352" spans="1:3" x14ac:dyDescent="0.2">
      <c r="A1352" s="2">
        <v>1351</v>
      </c>
      <c r="B1352" s="22">
        <v>47000</v>
      </c>
      <c r="C1352">
        <v>3</v>
      </c>
    </row>
    <row r="1353" spans="1:3" x14ac:dyDescent="0.2">
      <c r="A1353" s="2">
        <v>1352</v>
      </c>
      <c r="B1353" s="22">
        <v>84000</v>
      </c>
      <c r="C1353">
        <v>3</v>
      </c>
    </row>
    <row r="1354" spans="1:3" x14ac:dyDescent="0.2">
      <c r="A1354" s="2">
        <v>1353</v>
      </c>
      <c r="B1354" s="22">
        <v>77000</v>
      </c>
      <c r="C1354">
        <v>4</v>
      </c>
    </row>
    <row r="1355" spans="1:3" x14ac:dyDescent="0.2">
      <c r="A1355" s="2">
        <v>1354</v>
      </c>
      <c r="B1355" s="22">
        <v>49500</v>
      </c>
      <c r="C1355">
        <v>4</v>
      </c>
    </row>
    <row r="1356" spans="1:3" x14ac:dyDescent="0.2">
      <c r="A1356" s="2">
        <v>1355</v>
      </c>
      <c r="B1356" s="22">
        <v>79000</v>
      </c>
      <c r="C1356">
        <v>5</v>
      </c>
    </row>
    <row r="1357" spans="1:3" x14ac:dyDescent="0.2">
      <c r="A1357" s="2">
        <v>1356</v>
      </c>
      <c r="B1357" s="22">
        <v>91500</v>
      </c>
      <c r="C1357">
        <v>5</v>
      </c>
    </row>
    <row r="1358" spans="1:3" x14ac:dyDescent="0.2">
      <c r="A1358" s="2">
        <v>1357</v>
      </c>
      <c r="B1358" s="22">
        <v>55000</v>
      </c>
      <c r="C1358">
        <v>3</v>
      </c>
    </row>
    <row r="1359" spans="1:3" x14ac:dyDescent="0.2">
      <c r="A1359" s="2">
        <v>1358</v>
      </c>
      <c r="B1359" s="22">
        <v>52500</v>
      </c>
      <c r="C1359">
        <v>3</v>
      </c>
    </row>
    <row r="1360" spans="1:3" x14ac:dyDescent="0.2">
      <c r="A1360" s="2">
        <v>1359</v>
      </c>
      <c r="B1360" s="22">
        <v>74000</v>
      </c>
      <c r="C1360">
        <v>4</v>
      </c>
    </row>
    <row r="1361" spans="1:3" x14ac:dyDescent="0.2">
      <c r="A1361" s="2">
        <v>1360</v>
      </c>
      <c r="B1361" s="22">
        <v>47000</v>
      </c>
      <c r="C1361">
        <v>3</v>
      </c>
    </row>
    <row r="1362" spans="1:3" x14ac:dyDescent="0.2">
      <c r="A1362" s="2">
        <v>1361</v>
      </c>
      <c r="B1362" s="22">
        <v>89000</v>
      </c>
      <c r="C1362">
        <v>4</v>
      </c>
    </row>
    <row r="1363" spans="1:3" x14ac:dyDescent="0.2">
      <c r="A1363" s="2">
        <v>1362</v>
      </c>
      <c r="B1363" s="22">
        <v>98500</v>
      </c>
      <c r="C1363">
        <v>2</v>
      </c>
    </row>
    <row r="1364" spans="1:3" x14ac:dyDescent="0.2">
      <c r="A1364" s="2">
        <v>1363</v>
      </c>
      <c r="B1364" s="22">
        <v>74500</v>
      </c>
      <c r="C1364">
        <v>2</v>
      </c>
    </row>
    <row r="1365" spans="1:3" x14ac:dyDescent="0.2">
      <c r="A1365" s="2">
        <v>1364</v>
      </c>
      <c r="B1365" s="22">
        <v>80500</v>
      </c>
      <c r="C1365">
        <v>4</v>
      </c>
    </row>
    <row r="1366" spans="1:3" x14ac:dyDescent="0.2">
      <c r="A1366" s="2">
        <v>1365</v>
      </c>
      <c r="B1366" s="22">
        <v>79500</v>
      </c>
      <c r="C1366">
        <v>3</v>
      </c>
    </row>
    <row r="1367" spans="1:3" x14ac:dyDescent="0.2">
      <c r="A1367" s="2">
        <v>1366</v>
      </c>
      <c r="B1367" s="22">
        <v>57500</v>
      </c>
      <c r="C1367">
        <v>4</v>
      </c>
    </row>
    <row r="1368" spans="1:3" x14ac:dyDescent="0.2">
      <c r="A1368" s="2">
        <v>1367</v>
      </c>
      <c r="B1368" s="22">
        <v>47000</v>
      </c>
      <c r="C1368">
        <v>3</v>
      </c>
    </row>
    <row r="1369" spans="1:3" x14ac:dyDescent="0.2">
      <c r="A1369" s="2">
        <v>1368</v>
      </c>
      <c r="B1369" s="22">
        <v>59000</v>
      </c>
      <c r="C1369">
        <v>5</v>
      </c>
    </row>
    <row r="1370" spans="1:3" x14ac:dyDescent="0.2">
      <c r="A1370" s="2">
        <v>1369</v>
      </c>
      <c r="B1370" s="22">
        <v>98000</v>
      </c>
      <c r="C1370">
        <v>5</v>
      </c>
    </row>
    <row r="1371" spans="1:3" x14ac:dyDescent="0.2">
      <c r="A1371" s="2">
        <v>1370</v>
      </c>
      <c r="B1371" s="22">
        <v>98500</v>
      </c>
      <c r="C1371">
        <v>5</v>
      </c>
    </row>
    <row r="1372" spans="1:3" x14ac:dyDescent="0.2">
      <c r="A1372" s="2">
        <v>1371</v>
      </c>
      <c r="B1372" s="22">
        <v>74500</v>
      </c>
      <c r="C1372">
        <v>4</v>
      </c>
    </row>
    <row r="1373" spans="1:3" x14ac:dyDescent="0.2">
      <c r="A1373" s="2">
        <v>1372</v>
      </c>
      <c r="B1373" s="22">
        <v>92500</v>
      </c>
      <c r="C1373">
        <v>4</v>
      </c>
    </row>
    <row r="1374" spans="1:3" x14ac:dyDescent="0.2">
      <c r="A1374" s="2">
        <v>1373</v>
      </c>
      <c r="B1374" s="22">
        <v>99000</v>
      </c>
      <c r="C1374">
        <v>5</v>
      </c>
    </row>
    <row r="1375" spans="1:3" x14ac:dyDescent="0.2">
      <c r="A1375" s="2">
        <v>1374</v>
      </c>
      <c r="B1375" s="22">
        <v>50000</v>
      </c>
      <c r="C1375">
        <v>3</v>
      </c>
    </row>
    <row r="1376" spans="1:3" x14ac:dyDescent="0.2">
      <c r="A1376" s="2">
        <v>1375</v>
      </c>
      <c r="B1376" s="22">
        <v>72500</v>
      </c>
      <c r="C1376">
        <v>4</v>
      </c>
    </row>
    <row r="1377" spans="1:3" x14ac:dyDescent="0.2">
      <c r="A1377" s="2">
        <v>1376</v>
      </c>
      <c r="B1377" s="22">
        <v>121000</v>
      </c>
      <c r="C1377">
        <v>2</v>
      </c>
    </row>
    <row r="1378" spans="1:3" x14ac:dyDescent="0.2">
      <c r="A1378" s="2">
        <v>1377</v>
      </c>
      <c r="B1378" s="22">
        <v>69500</v>
      </c>
      <c r="C1378">
        <v>2</v>
      </c>
    </row>
    <row r="1379" spans="1:3" x14ac:dyDescent="0.2">
      <c r="A1379" s="2">
        <v>1378</v>
      </c>
      <c r="B1379" s="22">
        <v>60500</v>
      </c>
      <c r="C1379">
        <v>3</v>
      </c>
    </row>
    <row r="1380" spans="1:3" x14ac:dyDescent="0.2">
      <c r="A1380" s="2">
        <v>1379</v>
      </c>
      <c r="B1380" s="22">
        <v>92500</v>
      </c>
      <c r="C1380">
        <v>5</v>
      </c>
    </row>
    <row r="1381" spans="1:3" x14ac:dyDescent="0.2">
      <c r="A1381" s="2">
        <v>1380</v>
      </c>
      <c r="B1381" s="22">
        <v>56500</v>
      </c>
      <c r="C1381">
        <v>3</v>
      </c>
    </row>
    <row r="1382" spans="1:3" x14ac:dyDescent="0.2">
      <c r="A1382" s="2">
        <v>1381</v>
      </c>
      <c r="B1382" s="22">
        <v>104000</v>
      </c>
      <c r="C1382">
        <v>4</v>
      </c>
    </row>
    <row r="1383" spans="1:3" x14ac:dyDescent="0.2">
      <c r="A1383" s="2">
        <v>1382</v>
      </c>
      <c r="B1383" s="22">
        <v>49000</v>
      </c>
      <c r="C1383">
        <v>4</v>
      </c>
    </row>
    <row r="1384" spans="1:3" x14ac:dyDescent="0.2">
      <c r="A1384" s="2">
        <v>1383</v>
      </c>
      <c r="B1384" s="22">
        <v>56000</v>
      </c>
      <c r="C1384">
        <v>4</v>
      </c>
    </row>
    <row r="1385" spans="1:3" x14ac:dyDescent="0.2">
      <c r="A1385" s="2">
        <v>1384</v>
      </c>
      <c r="B1385" s="22">
        <v>71500</v>
      </c>
      <c r="C1385">
        <v>3</v>
      </c>
    </row>
    <row r="1386" spans="1:3" x14ac:dyDescent="0.2">
      <c r="A1386" s="2">
        <v>1385</v>
      </c>
      <c r="B1386" s="22">
        <v>60000</v>
      </c>
      <c r="C1386">
        <v>4</v>
      </c>
    </row>
    <row r="1387" spans="1:3" x14ac:dyDescent="0.2">
      <c r="A1387" s="2">
        <v>1386</v>
      </c>
      <c r="B1387" s="22">
        <v>61000</v>
      </c>
      <c r="C1387">
        <v>4</v>
      </c>
    </row>
    <row r="1388" spans="1:3" x14ac:dyDescent="0.2">
      <c r="A1388" s="2">
        <v>1387</v>
      </c>
      <c r="B1388" s="22">
        <v>87500</v>
      </c>
      <c r="C1388">
        <v>3</v>
      </c>
    </row>
    <row r="1389" spans="1:3" x14ac:dyDescent="0.2">
      <c r="A1389" s="2">
        <v>1388</v>
      </c>
      <c r="B1389" s="22">
        <v>89500</v>
      </c>
      <c r="C1389">
        <v>1</v>
      </c>
    </row>
    <row r="1390" spans="1:3" x14ac:dyDescent="0.2">
      <c r="A1390" s="2">
        <v>1389</v>
      </c>
      <c r="B1390" s="22">
        <v>48500</v>
      </c>
      <c r="C1390">
        <v>4</v>
      </c>
    </row>
    <row r="1391" spans="1:3" x14ac:dyDescent="0.2">
      <c r="A1391" s="2">
        <v>1390</v>
      </c>
      <c r="B1391" s="22">
        <v>77500</v>
      </c>
      <c r="C1391">
        <v>4</v>
      </c>
    </row>
    <row r="1392" spans="1:3" x14ac:dyDescent="0.2">
      <c r="A1392" s="2">
        <v>1391</v>
      </c>
      <c r="B1392" s="22">
        <v>92500</v>
      </c>
      <c r="C1392">
        <v>3</v>
      </c>
    </row>
    <row r="1393" spans="1:3" x14ac:dyDescent="0.2">
      <c r="A1393" s="2">
        <v>1392</v>
      </c>
      <c r="B1393" s="22">
        <v>58000</v>
      </c>
      <c r="C1393">
        <v>2</v>
      </c>
    </row>
    <row r="1394" spans="1:3" x14ac:dyDescent="0.2">
      <c r="A1394" s="2">
        <v>1393</v>
      </c>
      <c r="B1394" s="22">
        <v>145500</v>
      </c>
      <c r="C1394">
        <v>3</v>
      </c>
    </row>
    <row r="1395" spans="1:3" x14ac:dyDescent="0.2">
      <c r="A1395" s="2">
        <v>1394</v>
      </c>
      <c r="B1395" s="22">
        <v>121000</v>
      </c>
      <c r="C1395">
        <v>3</v>
      </c>
    </row>
    <row r="1396" spans="1:3" x14ac:dyDescent="0.2">
      <c r="A1396" s="2">
        <v>1395</v>
      </c>
      <c r="B1396" s="22">
        <v>77500</v>
      </c>
      <c r="C1396">
        <v>3</v>
      </c>
    </row>
    <row r="1397" spans="1:3" x14ac:dyDescent="0.2">
      <c r="A1397" s="2">
        <v>1396</v>
      </c>
      <c r="B1397" s="22">
        <v>35500</v>
      </c>
      <c r="C1397">
        <v>3</v>
      </c>
    </row>
    <row r="1398" spans="1:3" x14ac:dyDescent="0.2">
      <c r="A1398" s="2">
        <v>1397</v>
      </c>
      <c r="B1398" s="22">
        <v>39500</v>
      </c>
      <c r="C1398">
        <v>3</v>
      </c>
    </row>
    <row r="1399" spans="1:3" x14ac:dyDescent="0.2">
      <c r="A1399" s="2">
        <v>1398</v>
      </c>
      <c r="B1399" s="22">
        <v>43000</v>
      </c>
      <c r="C1399">
        <v>2</v>
      </c>
    </row>
    <row r="1400" spans="1:3" x14ac:dyDescent="0.2">
      <c r="A1400" s="2">
        <v>1399</v>
      </c>
      <c r="B1400" s="22">
        <v>36500</v>
      </c>
      <c r="C1400">
        <v>3</v>
      </c>
    </row>
    <row r="1401" spans="1:3" x14ac:dyDescent="0.2">
      <c r="A1401" s="2">
        <v>1400</v>
      </c>
      <c r="B1401" s="22">
        <v>44500</v>
      </c>
      <c r="C1401">
        <v>3</v>
      </c>
    </row>
    <row r="1402" spans="1:3" x14ac:dyDescent="0.2">
      <c r="A1402" s="2">
        <v>1401</v>
      </c>
      <c r="B1402" s="22">
        <v>40000</v>
      </c>
      <c r="C1402">
        <v>3</v>
      </c>
    </row>
    <row r="1403" spans="1:3" x14ac:dyDescent="0.2">
      <c r="A1403" s="2">
        <v>1402</v>
      </c>
      <c r="B1403" s="22">
        <v>56000</v>
      </c>
      <c r="C1403">
        <v>1</v>
      </c>
    </row>
    <row r="1404" spans="1:3" x14ac:dyDescent="0.2">
      <c r="A1404" s="2">
        <v>1403</v>
      </c>
      <c r="B1404" s="22">
        <v>112000</v>
      </c>
      <c r="C1404">
        <v>1</v>
      </c>
    </row>
    <row r="1405" spans="1:3" x14ac:dyDescent="0.2">
      <c r="A1405" s="2">
        <v>1404</v>
      </c>
      <c r="B1405" s="22">
        <v>39500</v>
      </c>
      <c r="C1405">
        <v>3</v>
      </c>
    </row>
    <row r="1406" spans="1:3" x14ac:dyDescent="0.2">
      <c r="A1406" s="2">
        <v>1405</v>
      </c>
      <c r="B1406" s="22">
        <v>96500</v>
      </c>
      <c r="C1406">
        <v>3</v>
      </c>
    </row>
    <row r="1407" spans="1:3" x14ac:dyDescent="0.2">
      <c r="A1407" s="2">
        <v>1406</v>
      </c>
      <c r="B1407" s="22">
        <v>47000</v>
      </c>
      <c r="C1407">
        <v>3</v>
      </c>
    </row>
    <row r="1408" spans="1:3" x14ac:dyDescent="0.2">
      <c r="A1408" s="2">
        <v>1407</v>
      </c>
      <c r="B1408" s="22">
        <v>113000</v>
      </c>
      <c r="C1408">
        <v>3</v>
      </c>
    </row>
    <row r="1409" spans="1:3" x14ac:dyDescent="0.2">
      <c r="A1409" s="2">
        <v>1408</v>
      </c>
      <c r="B1409" s="22">
        <v>44000</v>
      </c>
      <c r="C1409">
        <v>3</v>
      </c>
    </row>
    <row r="1410" spans="1:3" x14ac:dyDescent="0.2">
      <c r="A1410" s="2">
        <v>1409</v>
      </c>
      <c r="B1410" s="22">
        <v>44500</v>
      </c>
      <c r="C1410">
        <v>3</v>
      </c>
    </row>
    <row r="1411" spans="1:3" x14ac:dyDescent="0.2">
      <c r="A1411" s="2">
        <v>1410</v>
      </c>
      <c r="B1411" s="22">
        <v>94000</v>
      </c>
      <c r="C1411">
        <v>3</v>
      </c>
    </row>
    <row r="1412" spans="1:3" x14ac:dyDescent="0.2">
      <c r="A1412" s="2">
        <v>1411</v>
      </c>
      <c r="B1412" s="22">
        <v>103000</v>
      </c>
      <c r="C1412">
        <v>4</v>
      </c>
    </row>
    <row r="1413" spans="1:3" x14ac:dyDescent="0.2">
      <c r="A1413" s="2">
        <v>1412</v>
      </c>
      <c r="B1413" s="22">
        <v>57000</v>
      </c>
      <c r="C1413">
        <v>4</v>
      </c>
    </row>
    <row r="1414" spans="1:3" x14ac:dyDescent="0.2">
      <c r="A1414" s="2">
        <v>1413</v>
      </c>
      <c r="B1414" s="22">
        <v>77500</v>
      </c>
      <c r="C1414">
        <v>3</v>
      </c>
    </row>
    <row r="1415" spans="1:3" x14ac:dyDescent="0.2">
      <c r="A1415" s="2">
        <v>1414</v>
      </c>
      <c r="B1415" s="22">
        <v>64000</v>
      </c>
      <c r="C1415">
        <v>2</v>
      </c>
    </row>
    <row r="1416" spans="1:3" x14ac:dyDescent="0.2">
      <c r="A1416" s="2">
        <v>1415</v>
      </c>
      <c r="B1416" s="22">
        <v>37000</v>
      </c>
      <c r="C1416">
        <v>1</v>
      </c>
    </row>
    <row r="1417" spans="1:3" x14ac:dyDescent="0.2">
      <c r="A1417" s="2">
        <v>1416</v>
      </c>
      <c r="B1417" s="22">
        <v>72500</v>
      </c>
      <c r="C1417">
        <v>4</v>
      </c>
    </row>
    <row r="1418" spans="1:3" x14ac:dyDescent="0.2">
      <c r="A1418" s="2">
        <v>1417</v>
      </c>
      <c r="B1418" s="22">
        <v>41000</v>
      </c>
      <c r="C1418">
        <v>5</v>
      </c>
    </row>
    <row r="1419" spans="1:3" x14ac:dyDescent="0.2">
      <c r="A1419" s="2">
        <v>1418</v>
      </c>
      <c r="B1419" s="22">
        <v>56500</v>
      </c>
      <c r="C1419">
        <v>3</v>
      </c>
    </row>
    <row r="1420" spans="1:3" x14ac:dyDescent="0.2">
      <c r="A1420" s="2">
        <v>1419</v>
      </c>
      <c r="B1420" s="22">
        <v>41500</v>
      </c>
      <c r="C1420">
        <v>3</v>
      </c>
    </row>
    <row r="1421" spans="1:3" x14ac:dyDescent="0.2">
      <c r="A1421" s="2">
        <v>1420</v>
      </c>
      <c r="B1421" s="22">
        <v>52000</v>
      </c>
      <c r="C1421">
        <v>1</v>
      </c>
    </row>
    <row r="1422" spans="1:3" x14ac:dyDescent="0.2">
      <c r="A1422" s="2">
        <v>1421</v>
      </c>
      <c r="B1422" s="22">
        <v>47000</v>
      </c>
      <c r="C1422">
        <v>3</v>
      </c>
    </row>
    <row r="1423" spans="1:3" x14ac:dyDescent="0.2">
      <c r="A1423" s="2">
        <v>1422</v>
      </c>
      <c r="B1423" s="22">
        <v>82000</v>
      </c>
      <c r="C1423">
        <v>5</v>
      </c>
    </row>
    <row r="1424" spans="1:3" x14ac:dyDescent="0.2">
      <c r="A1424" s="2">
        <v>1423</v>
      </c>
      <c r="B1424" s="22">
        <v>83000</v>
      </c>
      <c r="C1424">
        <v>4</v>
      </c>
    </row>
    <row r="1425" spans="1:3" x14ac:dyDescent="0.2">
      <c r="A1425" s="2">
        <v>1424</v>
      </c>
      <c r="B1425" s="22">
        <v>39500</v>
      </c>
      <c r="C1425">
        <v>4</v>
      </c>
    </row>
    <row r="1426" spans="1:3" x14ac:dyDescent="0.2">
      <c r="A1426" s="2">
        <v>1425</v>
      </c>
      <c r="B1426" s="22">
        <v>59000</v>
      </c>
      <c r="C1426">
        <v>3</v>
      </c>
    </row>
    <row r="1427" spans="1:3" x14ac:dyDescent="0.2">
      <c r="A1427" s="2">
        <v>1426</v>
      </c>
      <c r="B1427" s="22">
        <v>44000</v>
      </c>
      <c r="C1427">
        <v>4</v>
      </c>
    </row>
    <row r="1428" spans="1:3" x14ac:dyDescent="0.2">
      <c r="A1428" s="2">
        <v>1427</v>
      </c>
      <c r="B1428" s="22">
        <v>57000</v>
      </c>
      <c r="C1428">
        <v>3</v>
      </c>
    </row>
    <row r="1429" spans="1:3" x14ac:dyDescent="0.2">
      <c r="A1429" s="2">
        <v>1428</v>
      </c>
      <c r="B1429" s="22">
        <v>44500</v>
      </c>
      <c r="C1429">
        <v>3</v>
      </c>
    </row>
    <row r="1430" spans="1:3" x14ac:dyDescent="0.2">
      <c r="A1430" s="2">
        <v>1429</v>
      </c>
      <c r="B1430" s="22">
        <v>96500</v>
      </c>
      <c r="C1430">
        <v>3</v>
      </c>
    </row>
    <row r="1431" spans="1:3" x14ac:dyDescent="0.2">
      <c r="A1431" s="2">
        <v>1430</v>
      </c>
      <c r="B1431" s="22">
        <v>45500</v>
      </c>
      <c r="C1431">
        <v>3</v>
      </c>
    </row>
    <row r="1432" spans="1:3" x14ac:dyDescent="0.2">
      <c r="A1432" s="2">
        <v>1431</v>
      </c>
      <c r="B1432" s="22">
        <v>58500</v>
      </c>
      <c r="C1432">
        <v>4</v>
      </c>
    </row>
    <row r="1433" spans="1:3" x14ac:dyDescent="0.2">
      <c r="A1433" s="2">
        <v>1432</v>
      </c>
      <c r="B1433" s="22">
        <v>42000</v>
      </c>
      <c r="C1433">
        <v>4</v>
      </c>
    </row>
    <row r="1434" spans="1:3" x14ac:dyDescent="0.2">
      <c r="A1434" s="2">
        <v>1433</v>
      </c>
      <c r="B1434" s="22">
        <v>46000</v>
      </c>
      <c r="C1434">
        <v>4</v>
      </c>
    </row>
    <row r="1435" spans="1:3" x14ac:dyDescent="0.2">
      <c r="A1435" s="2">
        <v>1434</v>
      </c>
      <c r="B1435" s="22">
        <v>73500</v>
      </c>
      <c r="C1435">
        <v>3</v>
      </c>
    </row>
    <row r="1436" spans="1:3" x14ac:dyDescent="0.2">
      <c r="A1436" s="2">
        <v>1435</v>
      </c>
      <c r="B1436" s="22">
        <v>42000</v>
      </c>
      <c r="C1436">
        <v>3</v>
      </c>
    </row>
    <row r="1437" spans="1:3" x14ac:dyDescent="0.2">
      <c r="A1437" s="2">
        <v>1436</v>
      </c>
      <c r="B1437" s="22">
        <v>40500</v>
      </c>
      <c r="C1437">
        <v>3</v>
      </c>
    </row>
    <row r="1438" spans="1:3" x14ac:dyDescent="0.2">
      <c r="A1438" s="2">
        <v>1437</v>
      </c>
      <c r="B1438" s="22">
        <v>88500</v>
      </c>
      <c r="C1438">
        <v>3</v>
      </c>
    </row>
    <row r="1439" spans="1:3" x14ac:dyDescent="0.2">
      <c r="A1439" s="2">
        <v>1438</v>
      </c>
      <c r="B1439" s="22">
        <v>44500</v>
      </c>
      <c r="C1439">
        <v>3</v>
      </c>
    </row>
    <row r="1440" spans="1:3" x14ac:dyDescent="0.2">
      <c r="A1440" s="2">
        <v>1439</v>
      </c>
      <c r="B1440" s="22">
        <v>62500</v>
      </c>
      <c r="C1440">
        <v>5</v>
      </c>
    </row>
    <row r="1441" spans="1:3" x14ac:dyDescent="0.2">
      <c r="A1441" s="2">
        <v>1440</v>
      </c>
      <c r="B1441" s="22">
        <v>53000</v>
      </c>
      <c r="C1441">
        <v>3</v>
      </c>
    </row>
    <row r="1442" spans="1:3" x14ac:dyDescent="0.2">
      <c r="A1442" s="2">
        <v>1441</v>
      </c>
      <c r="B1442" s="22">
        <v>72500</v>
      </c>
      <c r="C1442">
        <v>5</v>
      </c>
    </row>
    <row r="1443" spans="1:3" x14ac:dyDescent="0.2">
      <c r="A1443" s="2">
        <v>1442</v>
      </c>
      <c r="B1443" s="22">
        <v>38500</v>
      </c>
      <c r="C1443">
        <v>2</v>
      </c>
    </row>
    <row r="1444" spans="1:3" x14ac:dyDescent="0.2">
      <c r="A1444" s="2">
        <v>1443</v>
      </c>
      <c r="B1444" s="22">
        <v>39000</v>
      </c>
      <c r="C1444">
        <v>2</v>
      </c>
    </row>
    <row r="1445" spans="1:3" x14ac:dyDescent="0.2">
      <c r="A1445" s="2">
        <v>1444</v>
      </c>
      <c r="B1445" s="22">
        <v>35000</v>
      </c>
      <c r="C1445">
        <v>3</v>
      </c>
    </row>
    <row r="1446" spans="1:3" x14ac:dyDescent="0.2">
      <c r="A1446" s="2">
        <v>1445</v>
      </c>
      <c r="B1446" s="22">
        <v>43500</v>
      </c>
      <c r="C1446">
        <v>5</v>
      </c>
    </row>
    <row r="1447" spans="1:3" x14ac:dyDescent="0.2">
      <c r="A1447" s="2">
        <v>1446</v>
      </c>
      <c r="B1447" s="22">
        <v>74000</v>
      </c>
      <c r="C1447">
        <v>3</v>
      </c>
    </row>
    <row r="1448" spans="1:3" x14ac:dyDescent="0.2">
      <c r="A1448" s="2">
        <v>1447</v>
      </c>
      <c r="B1448" s="22">
        <v>36500</v>
      </c>
      <c r="C1448">
        <v>3</v>
      </c>
    </row>
    <row r="1449" spans="1:3" x14ac:dyDescent="0.2">
      <c r="A1449" s="2">
        <v>1448</v>
      </c>
      <c r="B1449" s="22">
        <v>28500</v>
      </c>
      <c r="C1449">
        <v>3</v>
      </c>
    </row>
    <row r="1450" spans="1:3" x14ac:dyDescent="0.2">
      <c r="A1450" s="2">
        <v>1449</v>
      </c>
      <c r="B1450" s="22">
        <v>60000</v>
      </c>
      <c r="C1450">
        <v>4</v>
      </c>
    </row>
    <row r="1451" spans="1:3" x14ac:dyDescent="0.2">
      <c r="A1451" s="2">
        <v>1450</v>
      </c>
      <c r="B1451" s="22">
        <v>45500</v>
      </c>
      <c r="C1451">
        <v>5</v>
      </c>
    </row>
    <row r="1452" spans="1:3" x14ac:dyDescent="0.2">
      <c r="A1452" s="2">
        <v>1451</v>
      </c>
      <c r="B1452" s="22">
        <v>57500</v>
      </c>
      <c r="C1452">
        <v>3</v>
      </c>
    </row>
    <row r="1453" spans="1:3" x14ac:dyDescent="0.2">
      <c r="A1453" s="2">
        <v>1452</v>
      </c>
      <c r="B1453" s="22">
        <v>259000</v>
      </c>
      <c r="C1453">
        <v>4</v>
      </c>
    </row>
    <row r="1454" spans="1:3" x14ac:dyDescent="0.2">
      <c r="A1454" s="2">
        <v>1453</v>
      </c>
      <c r="B1454" s="22">
        <v>126500</v>
      </c>
      <c r="C1454">
        <v>1</v>
      </c>
    </row>
    <row r="1455" spans="1:3" x14ac:dyDescent="0.2">
      <c r="A1455" s="2">
        <v>1454</v>
      </c>
      <c r="B1455" s="22">
        <v>91500</v>
      </c>
      <c r="C1455">
        <v>4</v>
      </c>
    </row>
    <row r="1456" spans="1:3" x14ac:dyDescent="0.2">
      <c r="A1456" s="2">
        <v>1455</v>
      </c>
      <c r="B1456" s="22">
        <v>159500</v>
      </c>
      <c r="C1456">
        <v>3</v>
      </c>
    </row>
    <row r="1457" spans="1:3" x14ac:dyDescent="0.2">
      <c r="A1457" s="2">
        <v>1456</v>
      </c>
      <c r="B1457" s="22">
        <v>155000</v>
      </c>
      <c r="C1457">
        <v>4</v>
      </c>
    </row>
    <row r="1458" spans="1:3" x14ac:dyDescent="0.2">
      <c r="A1458" s="2">
        <v>1457</v>
      </c>
      <c r="B1458" s="22">
        <v>66500</v>
      </c>
      <c r="C1458">
        <v>3</v>
      </c>
    </row>
    <row r="1459" spans="1:3" x14ac:dyDescent="0.2">
      <c r="A1459" s="2">
        <v>1458</v>
      </c>
      <c r="B1459" s="22">
        <v>83500</v>
      </c>
      <c r="C1459">
        <v>3</v>
      </c>
    </row>
    <row r="1460" spans="1:3" x14ac:dyDescent="0.2">
      <c r="A1460" s="2">
        <v>1459</v>
      </c>
      <c r="B1460" s="22">
        <v>86000</v>
      </c>
      <c r="C1460">
        <v>2</v>
      </c>
    </row>
    <row r="1461" spans="1:3" x14ac:dyDescent="0.2">
      <c r="A1461" s="2">
        <v>1460</v>
      </c>
      <c r="B1461" s="22">
        <v>119500</v>
      </c>
      <c r="C1461">
        <v>2</v>
      </c>
    </row>
    <row r="1462" spans="1:3" x14ac:dyDescent="0.2">
      <c r="A1462" s="2">
        <v>1461</v>
      </c>
      <c r="B1462" s="22">
        <v>116500</v>
      </c>
      <c r="C1462">
        <v>4</v>
      </c>
    </row>
    <row r="1463" spans="1:3" x14ac:dyDescent="0.2">
      <c r="A1463" s="2">
        <v>1462</v>
      </c>
      <c r="B1463" s="22">
        <v>140500</v>
      </c>
      <c r="C1463">
        <v>3</v>
      </c>
    </row>
    <row r="1464" spans="1:3" x14ac:dyDescent="0.2">
      <c r="A1464" s="2">
        <v>1463</v>
      </c>
      <c r="B1464" s="22">
        <v>97000</v>
      </c>
      <c r="C1464">
        <v>4</v>
      </c>
    </row>
    <row r="1465" spans="1:3" x14ac:dyDescent="0.2">
      <c r="A1465" s="2">
        <v>1464</v>
      </c>
      <c r="B1465" s="22">
        <v>86000</v>
      </c>
      <c r="C1465">
        <v>3</v>
      </c>
    </row>
    <row r="1466" spans="1:3" x14ac:dyDescent="0.2">
      <c r="A1466" s="2">
        <v>1465</v>
      </c>
      <c r="B1466" s="22">
        <v>137000</v>
      </c>
      <c r="C1466">
        <v>4</v>
      </c>
    </row>
    <row r="1467" spans="1:3" x14ac:dyDescent="0.2">
      <c r="A1467" s="2">
        <v>1466</v>
      </c>
      <c r="B1467" s="22">
        <v>108000</v>
      </c>
      <c r="C1467">
        <v>5</v>
      </c>
    </row>
    <row r="1468" spans="1:3" x14ac:dyDescent="0.2">
      <c r="A1468" s="2">
        <v>1467</v>
      </c>
      <c r="B1468" s="22">
        <v>40500</v>
      </c>
      <c r="C1468">
        <v>4</v>
      </c>
    </row>
    <row r="1469" spans="1:3" x14ac:dyDescent="0.2">
      <c r="A1469" s="2">
        <v>1468</v>
      </c>
      <c r="B1469" s="22">
        <v>35000</v>
      </c>
      <c r="C1469">
        <v>4</v>
      </c>
    </row>
    <row r="1470" spans="1:3" x14ac:dyDescent="0.2">
      <c r="A1470" s="2">
        <v>1469</v>
      </c>
      <c r="B1470" s="22">
        <v>31000</v>
      </c>
      <c r="C1470">
        <v>1</v>
      </c>
    </row>
    <row r="1471" spans="1:3" x14ac:dyDescent="0.2">
      <c r="A1471" s="2">
        <v>1470</v>
      </c>
      <c r="B1471" s="22">
        <v>52500</v>
      </c>
      <c r="C1471">
        <v>3</v>
      </c>
    </row>
    <row r="1472" spans="1:3" x14ac:dyDescent="0.2">
      <c r="A1472" s="2">
        <v>1471</v>
      </c>
      <c r="B1472" s="22">
        <v>60500</v>
      </c>
      <c r="C1472">
        <v>3</v>
      </c>
    </row>
    <row r="1473" spans="1:3" x14ac:dyDescent="0.2">
      <c r="A1473" s="2">
        <v>1472</v>
      </c>
      <c r="B1473" s="22">
        <v>88500</v>
      </c>
      <c r="C1473">
        <v>3</v>
      </c>
    </row>
    <row r="1474" spans="1:3" x14ac:dyDescent="0.2">
      <c r="A1474" s="2">
        <v>1473</v>
      </c>
      <c r="B1474" s="22">
        <v>51000</v>
      </c>
      <c r="C1474">
        <v>3</v>
      </c>
    </row>
    <row r="1475" spans="1:3" x14ac:dyDescent="0.2">
      <c r="A1475" s="2">
        <v>1474</v>
      </c>
      <c r="B1475" s="22">
        <v>34500</v>
      </c>
      <c r="C1475">
        <v>2</v>
      </c>
    </row>
    <row r="1476" spans="1:3" x14ac:dyDescent="0.2">
      <c r="A1476" s="2">
        <v>1475</v>
      </c>
      <c r="B1476" s="22">
        <v>56000</v>
      </c>
      <c r="C1476">
        <v>4</v>
      </c>
    </row>
    <row r="1477" spans="1:3" x14ac:dyDescent="0.2">
      <c r="A1477" s="2">
        <v>1476</v>
      </c>
      <c r="B1477" s="22">
        <v>41500</v>
      </c>
      <c r="C1477">
        <v>3</v>
      </c>
    </row>
    <row r="1478" spans="1:3" x14ac:dyDescent="0.2">
      <c r="A1478" s="2">
        <v>1477</v>
      </c>
      <c r="B1478" s="22">
        <v>28000</v>
      </c>
      <c r="C1478">
        <v>2</v>
      </c>
    </row>
    <row r="1479" spans="1:3" x14ac:dyDescent="0.2">
      <c r="A1479" s="2">
        <v>1478</v>
      </c>
      <c r="B1479" s="22">
        <v>36000</v>
      </c>
      <c r="C1479">
        <v>5</v>
      </c>
    </row>
    <row r="1480" spans="1:3" x14ac:dyDescent="0.2">
      <c r="A1480" s="2">
        <v>1479</v>
      </c>
      <c r="B1480" s="22">
        <v>95500</v>
      </c>
      <c r="C1480">
        <v>3</v>
      </c>
    </row>
    <row r="1481" spans="1:3" x14ac:dyDescent="0.2">
      <c r="A1481" s="2">
        <v>1480</v>
      </c>
      <c r="B1481" s="22">
        <v>55500</v>
      </c>
      <c r="C1481">
        <v>3</v>
      </c>
    </row>
    <row r="1482" spans="1:3" x14ac:dyDescent="0.2">
      <c r="A1482" s="2">
        <v>1481</v>
      </c>
      <c r="B1482" s="22">
        <v>33000</v>
      </c>
      <c r="C1482">
        <v>1</v>
      </c>
    </row>
    <row r="1483" spans="1:3" x14ac:dyDescent="0.2">
      <c r="A1483" s="2">
        <v>1482</v>
      </c>
      <c r="B1483" s="22">
        <v>85500</v>
      </c>
      <c r="C1483">
        <v>2</v>
      </c>
    </row>
    <row r="1484" spans="1:3" x14ac:dyDescent="0.2">
      <c r="A1484" s="2">
        <v>1483</v>
      </c>
      <c r="B1484" s="22">
        <v>56000</v>
      </c>
      <c r="C1484">
        <v>3</v>
      </c>
    </row>
    <row r="1485" spans="1:3" x14ac:dyDescent="0.2">
      <c r="A1485" s="2">
        <v>1484</v>
      </c>
      <c r="B1485" s="22">
        <v>36500</v>
      </c>
      <c r="C1485">
        <v>1</v>
      </c>
    </row>
    <row r="1486" spans="1:3" x14ac:dyDescent="0.2">
      <c r="A1486" s="2">
        <v>1485</v>
      </c>
      <c r="B1486" s="22">
        <v>51000</v>
      </c>
      <c r="C1486">
        <v>5</v>
      </c>
    </row>
    <row r="1487" spans="1:3" x14ac:dyDescent="0.2">
      <c r="A1487" s="2">
        <v>1486</v>
      </c>
      <c r="B1487" s="22">
        <v>34000</v>
      </c>
      <c r="C1487">
        <v>1</v>
      </c>
    </row>
    <row r="1488" spans="1:3" x14ac:dyDescent="0.2">
      <c r="A1488" s="2">
        <v>1487</v>
      </c>
      <c r="B1488" s="22">
        <v>51500</v>
      </c>
      <c r="C1488">
        <v>3</v>
      </c>
    </row>
    <row r="1489" spans="1:3" x14ac:dyDescent="0.2">
      <c r="A1489" s="2">
        <v>1488</v>
      </c>
      <c r="B1489" s="22">
        <v>36500</v>
      </c>
      <c r="C1489">
        <v>4</v>
      </c>
    </row>
    <row r="1490" spans="1:3" x14ac:dyDescent="0.2">
      <c r="A1490" s="2">
        <v>1489</v>
      </c>
      <c r="B1490" s="22">
        <v>38000</v>
      </c>
      <c r="C1490">
        <v>4</v>
      </c>
    </row>
    <row r="1491" spans="1:3" x14ac:dyDescent="0.2">
      <c r="A1491" s="2">
        <v>1490</v>
      </c>
      <c r="B1491" s="22">
        <v>53000</v>
      </c>
      <c r="C1491">
        <v>4</v>
      </c>
    </row>
    <row r="1492" spans="1:3" x14ac:dyDescent="0.2">
      <c r="A1492" s="2">
        <v>1491</v>
      </c>
      <c r="B1492" s="22">
        <v>41500</v>
      </c>
      <c r="C1492">
        <v>2</v>
      </c>
    </row>
    <row r="1493" spans="1:3" x14ac:dyDescent="0.2">
      <c r="A1493" s="2">
        <v>1492</v>
      </c>
      <c r="B1493" s="22">
        <v>22000</v>
      </c>
      <c r="C1493">
        <v>3</v>
      </c>
    </row>
    <row r="1494" spans="1:3" x14ac:dyDescent="0.2">
      <c r="A1494" s="2">
        <v>1493</v>
      </c>
      <c r="B1494" s="22">
        <v>96500</v>
      </c>
      <c r="C1494">
        <v>4</v>
      </c>
    </row>
    <row r="1495" spans="1:3" x14ac:dyDescent="0.2">
      <c r="A1495" s="2">
        <v>1494</v>
      </c>
      <c r="B1495" s="22">
        <v>53500</v>
      </c>
      <c r="C1495">
        <v>4</v>
      </c>
    </row>
    <row r="1496" spans="1:3" x14ac:dyDescent="0.2">
      <c r="A1496" s="2">
        <v>1495</v>
      </c>
      <c r="B1496" s="22">
        <v>35000</v>
      </c>
      <c r="C1496">
        <v>3</v>
      </c>
    </row>
    <row r="1497" spans="1:3" x14ac:dyDescent="0.2">
      <c r="A1497" s="2">
        <v>1496</v>
      </c>
      <c r="B1497" s="22">
        <v>76500</v>
      </c>
      <c r="C1497">
        <v>3</v>
      </c>
    </row>
    <row r="1498" spans="1:3" x14ac:dyDescent="0.2">
      <c r="A1498" s="2">
        <v>1497</v>
      </c>
      <c r="B1498" s="22">
        <v>74000</v>
      </c>
      <c r="C1498">
        <v>1</v>
      </c>
    </row>
    <row r="1499" spans="1:3" x14ac:dyDescent="0.2">
      <c r="A1499" s="2">
        <v>1498</v>
      </c>
      <c r="B1499" s="22">
        <v>50500</v>
      </c>
      <c r="C1499">
        <v>3</v>
      </c>
    </row>
    <row r="1500" spans="1:3" x14ac:dyDescent="0.2">
      <c r="A1500" s="2">
        <v>1499</v>
      </c>
      <c r="B1500" s="22">
        <v>34500</v>
      </c>
      <c r="C1500">
        <v>3</v>
      </c>
    </row>
    <row r="1501" spans="1:3" x14ac:dyDescent="0.2">
      <c r="A1501" s="2">
        <v>1500</v>
      </c>
      <c r="B1501" s="22">
        <v>40500</v>
      </c>
      <c r="C1501">
        <v>3</v>
      </c>
    </row>
    <row r="1502" spans="1:3" x14ac:dyDescent="0.2">
      <c r="A1502" s="2">
        <v>1501</v>
      </c>
      <c r="B1502" s="22">
        <v>55500</v>
      </c>
      <c r="C1502">
        <v>3</v>
      </c>
    </row>
    <row r="1503" spans="1:3" x14ac:dyDescent="0.2">
      <c r="A1503" s="2">
        <v>1502</v>
      </c>
      <c r="B1503" s="22">
        <v>51500</v>
      </c>
      <c r="C1503">
        <v>1</v>
      </c>
    </row>
    <row r="1504" spans="1:3" x14ac:dyDescent="0.2">
      <c r="A1504" s="2">
        <v>1503</v>
      </c>
      <c r="B1504" s="22">
        <v>54500</v>
      </c>
      <c r="C1504">
        <v>4</v>
      </c>
    </row>
    <row r="1505" spans="1:3" x14ac:dyDescent="0.2">
      <c r="A1505" s="2">
        <v>1504</v>
      </c>
      <c r="B1505" s="22">
        <v>38000</v>
      </c>
      <c r="C1505">
        <v>4</v>
      </c>
    </row>
    <row r="1506" spans="1:3" x14ac:dyDescent="0.2">
      <c r="A1506" s="2">
        <v>1505</v>
      </c>
      <c r="B1506" s="22">
        <v>33000</v>
      </c>
      <c r="C1506">
        <v>4</v>
      </c>
    </row>
    <row r="1507" spans="1:3" x14ac:dyDescent="0.2">
      <c r="A1507" s="2">
        <v>1506</v>
      </c>
      <c r="B1507" s="22">
        <v>27500</v>
      </c>
      <c r="C1507">
        <v>4</v>
      </c>
    </row>
    <row r="1508" spans="1:3" x14ac:dyDescent="0.2">
      <c r="A1508" s="2">
        <v>1507</v>
      </c>
      <c r="B1508" s="22">
        <v>57500</v>
      </c>
      <c r="C1508">
        <v>3</v>
      </c>
    </row>
    <row r="1509" spans="1:3" x14ac:dyDescent="0.2">
      <c r="A1509" s="2">
        <v>1508</v>
      </c>
      <c r="B1509" s="22">
        <v>52000</v>
      </c>
      <c r="C1509">
        <v>2</v>
      </c>
    </row>
    <row r="1510" spans="1:3" x14ac:dyDescent="0.2">
      <c r="A1510" s="2">
        <v>1509</v>
      </c>
      <c r="B1510" s="22">
        <v>52500</v>
      </c>
      <c r="C1510">
        <v>3</v>
      </c>
    </row>
    <row r="1511" spans="1:3" x14ac:dyDescent="0.2">
      <c r="A1511" s="2">
        <v>1510</v>
      </c>
      <c r="B1511" s="22">
        <v>51500</v>
      </c>
      <c r="C1511">
        <v>3</v>
      </c>
    </row>
    <row r="1512" spans="1:3" x14ac:dyDescent="0.2">
      <c r="A1512" s="2">
        <v>1511</v>
      </c>
      <c r="B1512" s="22">
        <v>37000</v>
      </c>
      <c r="C1512">
        <v>3</v>
      </c>
    </row>
    <row r="1513" spans="1:3" x14ac:dyDescent="0.2">
      <c r="A1513" s="2">
        <v>1512</v>
      </c>
      <c r="B1513" s="22">
        <v>33000</v>
      </c>
      <c r="C1513">
        <v>3</v>
      </c>
    </row>
    <row r="1514" spans="1:3" x14ac:dyDescent="0.2">
      <c r="A1514" s="2">
        <v>1513</v>
      </c>
      <c r="B1514" s="22">
        <v>53000</v>
      </c>
      <c r="C151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190F-3DF4-7046-881B-2A0B7D8B8EC3}">
  <sheetPr>
    <tabColor rgb="FF92D050"/>
  </sheetPr>
  <dimension ref="A1:H16"/>
  <sheetViews>
    <sheetView zoomScale="150" zoomScaleNormal="150" workbookViewId="0">
      <selection activeCell="H23" sqref="H23"/>
    </sheetView>
  </sheetViews>
  <sheetFormatPr baseColWidth="10" defaultColWidth="11" defaultRowHeight="16" x14ac:dyDescent="0.2"/>
  <cols>
    <col min="1" max="1" width="14.6640625" bestFit="1" customWidth="1"/>
    <col min="2" max="2" width="20" bestFit="1" customWidth="1"/>
    <col min="3" max="4" width="13.83203125" customWidth="1"/>
    <col min="5" max="5" width="14" bestFit="1" customWidth="1"/>
    <col min="6" max="6" width="15.1640625" bestFit="1" customWidth="1"/>
    <col min="7" max="7" width="22.1640625" bestFit="1" customWidth="1"/>
    <col min="8" max="8" width="11.83203125" bestFit="1" customWidth="1"/>
  </cols>
  <sheetData>
    <row r="1" spans="1:8" x14ac:dyDescent="0.2">
      <c r="A1" t="s">
        <v>14</v>
      </c>
      <c r="B1" t="s">
        <v>13</v>
      </c>
      <c r="C1" t="s">
        <v>44</v>
      </c>
      <c r="D1" t="s">
        <v>45</v>
      </c>
      <c r="E1" t="s">
        <v>43</v>
      </c>
      <c r="F1" t="s">
        <v>27</v>
      </c>
      <c r="G1" t="s">
        <v>37</v>
      </c>
      <c r="H1" t="s">
        <v>42</v>
      </c>
    </row>
    <row r="2" spans="1:8" x14ac:dyDescent="0.2">
      <c r="A2">
        <v>100</v>
      </c>
      <c r="B2" t="s">
        <v>25</v>
      </c>
      <c r="C2" s="23">
        <v>3000000</v>
      </c>
      <c r="D2" s="23">
        <v>3100000</v>
      </c>
      <c r="E2" s="23">
        <v>3200000</v>
      </c>
      <c r="F2" s="1">
        <v>43592</v>
      </c>
      <c r="H2">
        <f>COUNTIFS(Employee_History!$B:$B,A2,Employee_History!$F:$F,"Active")</f>
        <v>8</v>
      </c>
    </row>
    <row r="3" spans="1:8" x14ac:dyDescent="0.2">
      <c r="A3">
        <v>200</v>
      </c>
      <c r="B3" t="s">
        <v>32</v>
      </c>
      <c r="C3" s="23">
        <v>41200000</v>
      </c>
      <c r="D3" s="23">
        <v>42900000</v>
      </c>
      <c r="E3" s="23">
        <v>45000000</v>
      </c>
      <c r="F3" s="1">
        <v>43592</v>
      </c>
      <c r="G3">
        <v>100</v>
      </c>
      <c r="H3">
        <f>COUNTIFS(Employee_History!$B:$B,A3,Employee_History!$F:$F,"Active")</f>
        <v>480</v>
      </c>
    </row>
    <row r="4" spans="1:8" x14ac:dyDescent="0.2">
      <c r="A4">
        <v>300</v>
      </c>
      <c r="B4" t="s">
        <v>26</v>
      </c>
      <c r="C4" s="23">
        <v>11300000</v>
      </c>
      <c r="D4" s="23">
        <v>12000000</v>
      </c>
      <c r="E4" s="23">
        <v>13000000</v>
      </c>
      <c r="F4" s="1">
        <v>43592</v>
      </c>
      <c r="G4">
        <v>200</v>
      </c>
      <c r="H4">
        <f>COUNTIFS(Employee_History!$B:$B,A4,Employee_History!$F:$F,"Active")</f>
        <v>110</v>
      </c>
    </row>
    <row r="5" spans="1:8" x14ac:dyDescent="0.2">
      <c r="A5">
        <v>400</v>
      </c>
      <c r="B5" t="s">
        <v>28</v>
      </c>
      <c r="C5" s="23">
        <v>10700000</v>
      </c>
      <c r="D5" s="23">
        <v>11500000</v>
      </c>
      <c r="E5" s="23">
        <v>12500000</v>
      </c>
      <c r="F5" s="1">
        <v>44020</v>
      </c>
      <c r="G5">
        <v>100</v>
      </c>
      <c r="H5">
        <f>COUNTIFS(Employee_History!$B:$B,A5,Employee_History!$F:$F,"Active")</f>
        <v>90</v>
      </c>
    </row>
    <row r="6" spans="1:8" x14ac:dyDescent="0.2">
      <c r="A6">
        <v>500</v>
      </c>
      <c r="B6" t="s">
        <v>29</v>
      </c>
      <c r="C6" s="23">
        <v>3300000</v>
      </c>
      <c r="D6" s="23">
        <v>3400000</v>
      </c>
      <c r="E6" s="23">
        <v>3500000</v>
      </c>
      <c r="F6" s="1">
        <v>44020</v>
      </c>
      <c r="G6">
        <v>100</v>
      </c>
      <c r="H6">
        <f>COUNTIFS(Employee_History!$B:$B,A6,Employee_History!$F:$F,"Active")</f>
        <v>25</v>
      </c>
    </row>
    <row r="7" spans="1:8" x14ac:dyDescent="0.2">
      <c r="A7">
        <v>600</v>
      </c>
      <c r="B7" t="s">
        <v>30</v>
      </c>
      <c r="C7" s="23">
        <v>4200000</v>
      </c>
      <c r="D7" s="23">
        <v>4300000</v>
      </c>
      <c r="E7" s="23">
        <v>4500000</v>
      </c>
      <c r="F7" s="1">
        <v>44020</v>
      </c>
      <c r="G7">
        <v>500</v>
      </c>
      <c r="H7">
        <f>COUNTIFS(Employee_History!$B:$B,A7,Employee_History!$F:$F,"Active")</f>
        <v>40</v>
      </c>
    </row>
    <row r="8" spans="1:8" x14ac:dyDescent="0.2">
      <c r="A8">
        <v>700</v>
      </c>
      <c r="B8" t="s">
        <v>31</v>
      </c>
      <c r="C8" s="23">
        <v>3600000</v>
      </c>
      <c r="D8" s="23">
        <v>3800000</v>
      </c>
      <c r="E8" s="23">
        <v>4000000</v>
      </c>
      <c r="F8" s="1">
        <v>44020</v>
      </c>
      <c r="G8">
        <v>100</v>
      </c>
      <c r="H8">
        <f>COUNTIFS(Employee_History!$B:$B,A8,Employee_History!$F:$F,"Active")</f>
        <v>25</v>
      </c>
    </row>
    <row r="9" spans="1:8" x14ac:dyDescent="0.2">
      <c r="A9">
        <v>800</v>
      </c>
      <c r="B9" t="s">
        <v>33</v>
      </c>
      <c r="C9" s="23">
        <v>6300000</v>
      </c>
      <c r="D9" s="23">
        <v>7000000</v>
      </c>
      <c r="E9" s="23">
        <v>8000000</v>
      </c>
      <c r="F9" s="1">
        <v>44232</v>
      </c>
      <c r="G9">
        <v>400</v>
      </c>
      <c r="H9">
        <f>COUNTIFS(Employee_History!$B:$B,A9,Employee_History!$F:$F,"Active")</f>
        <v>35</v>
      </c>
    </row>
    <row r="10" spans="1:8" x14ac:dyDescent="0.2">
      <c r="A10">
        <v>900</v>
      </c>
      <c r="B10" t="s">
        <v>34</v>
      </c>
      <c r="C10" s="23">
        <v>16400000</v>
      </c>
      <c r="D10" s="23">
        <v>18000000</v>
      </c>
      <c r="E10" s="23">
        <v>20000000</v>
      </c>
      <c r="F10" s="1">
        <v>44232</v>
      </c>
      <c r="G10">
        <v>100</v>
      </c>
      <c r="H10">
        <f>COUNTIFS(Employee_History!$B:$B,A10,Employee_History!$F:$F,"Active")</f>
        <v>120</v>
      </c>
    </row>
    <row r="11" spans="1:8" x14ac:dyDescent="0.2">
      <c r="A11">
        <v>1000</v>
      </c>
      <c r="B11" t="s">
        <v>35</v>
      </c>
      <c r="C11" s="23">
        <v>2800000</v>
      </c>
      <c r="D11" s="23">
        <v>2900000</v>
      </c>
      <c r="E11" s="23">
        <v>3000000</v>
      </c>
      <c r="F11" s="1">
        <v>44232</v>
      </c>
      <c r="G11">
        <v>200</v>
      </c>
      <c r="H11">
        <f>COUNTIFS(Employee_History!$B:$B,A11,Employee_History!$F:$F,"Active")</f>
        <v>30</v>
      </c>
    </row>
    <row r="12" spans="1:8" x14ac:dyDescent="0.2">
      <c r="A12">
        <v>1100</v>
      </c>
      <c r="B12" t="s">
        <v>36</v>
      </c>
      <c r="C12" s="23">
        <v>5100000</v>
      </c>
      <c r="D12" s="23">
        <v>5500000</v>
      </c>
      <c r="E12" s="23">
        <v>6000000</v>
      </c>
      <c r="F12" s="1">
        <v>44232</v>
      </c>
      <c r="G12">
        <v>400</v>
      </c>
      <c r="H12">
        <f>COUNTIFS(Employee_History!$B:$B,A12,Employee_History!$F:$F,"Active")</f>
        <v>80</v>
      </c>
    </row>
    <row r="13" spans="1:8" x14ac:dyDescent="0.2">
      <c r="A13">
        <v>1200</v>
      </c>
      <c r="B13" t="s">
        <v>38</v>
      </c>
      <c r="C13" s="23">
        <v>8700000</v>
      </c>
      <c r="D13" s="23">
        <v>9700000</v>
      </c>
      <c r="E13" s="23">
        <v>11000000</v>
      </c>
      <c r="F13" s="1">
        <v>45079</v>
      </c>
      <c r="G13">
        <v>500</v>
      </c>
      <c r="H13">
        <f>COUNTIFS(Employee_History!$B:$B,A13,Employee_History!$F:$F,"Active")</f>
        <v>55</v>
      </c>
    </row>
    <row r="14" spans="1:8" x14ac:dyDescent="0.2">
      <c r="A14">
        <v>1300</v>
      </c>
      <c r="B14" t="s">
        <v>39</v>
      </c>
      <c r="C14" s="23">
        <v>4500000</v>
      </c>
      <c r="D14" s="23">
        <v>4700000</v>
      </c>
      <c r="E14" s="23">
        <v>5000000</v>
      </c>
      <c r="F14" s="1">
        <v>45079</v>
      </c>
      <c r="G14">
        <v>200</v>
      </c>
      <c r="H14">
        <f>COUNTIFS(Employee_History!$B:$B,A14,Employee_History!$F:$F,"Active")</f>
        <v>50</v>
      </c>
    </row>
    <row r="15" spans="1:8" x14ac:dyDescent="0.2">
      <c r="A15">
        <v>1400</v>
      </c>
      <c r="B15" t="s">
        <v>40</v>
      </c>
      <c r="C15" s="23">
        <v>3000000</v>
      </c>
      <c r="D15" s="23">
        <v>3900000</v>
      </c>
      <c r="E15" s="23">
        <v>4000000</v>
      </c>
      <c r="F15" s="1">
        <v>45079</v>
      </c>
      <c r="G15">
        <v>100</v>
      </c>
      <c r="H15">
        <f>COUNTIFS(Employee_History!$B:$B,A15,Employee_History!$F:$F,"Active")</f>
        <v>12</v>
      </c>
    </row>
    <row r="16" spans="1:8" x14ac:dyDescent="0.2">
      <c r="A16">
        <v>1500</v>
      </c>
      <c r="B16" t="s">
        <v>41</v>
      </c>
      <c r="C16" s="23">
        <v>6600000</v>
      </c>
      <c r="D16" s="23">
        <v>7400000</v>
      </c>
      <c r="E16" s="23">
        <v>7000000</v>
      </c>
      <c r="F16" s="1">
        <v>45079</v>
      </c>
      <c r="G16">
        <v>200</v>
      </c>
      <c r="H16">
        <f>COUNTIFS(Employee_History!$B:$B,A16,Employee_History!$F:$F,"Active")</f>
        <v>40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B32E-FBD5-0B44-9181-D0B089C116AA}">
  <sheetPr>
    <tabColor rgb="FF92D050"/>
  </sheetPr>
  <dimension ref="A1:E11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1.83203125" bestFit="1" customWidth="1"/>
    <col min="2" max="2" width="29.83203125" bestFit="1" customWidth="1"/>
    <col min="3" max="3" width="6.33203125" bestFit="1" customWidth="1"/>
    <col min="4" max="4" width="17.1640625" bestFit="1" customWidth="1"/>
    <col min="5" max="5" width="14" bestFit="1" customWidth="1"/>
  </cols>
  <sheetData>
    <row r="1" spans="1:5" x14ac:dyDescent="0.2">
      <c r="A1" s="24" t="s">
        <v>2288</v>
      </c>
      <c r="B1" s="24" t="s">
        <v>2289</v>
      </c>
      <c r="C1" s="24" t="s">
        <v>15</v>
      </c>
      <c r="D1" s="24" t="s">
        <v>2290</v>
      </c>
      <c r="E1" s="24" t="s">
        <v>2291</v>
      </c>
    </row>
    <row r="2" spans="1:5" x14ac:dyDescent="0.2">
      <c r="A2" s="25">
        <v>1</v>
      </c>
      <c r="B2" s="4" t="s">
        <v>1745</v>
      </c>
      <c r="C2" s="4">
        <f>INDEX(Employees!$F:$F,MATCH(B2,Employees!$E:$E,0))</f>
        <v>1</v>
      </c>
      <c r="D2" s="5">
        <f>COUNTIF(Employees!$E:$E,B2)</f>
        <v>2</v>
      </c>
      <c r="E2" s="5" cm="1">
        <f t="array" ref="E2">SUMPRODUCT((Employees!$E$2:$E$1514=B2)*(_xlfn.XLOOKUP(Employees!$A$2:$A$1514,Employee_History!$A$2:$A$1514,Employee_History!$F$2:$F$1514,"")="Active"))</f>
        <v>2</v>
      </c>
    </row>
    <row r="3" spans="1:5" x14ac:dyDescent="0.2">
      <c r="A3" s="25">
        <v>2</v>
      </c>
      <c r="B3" s="4" t="s">
        <v>2146</v>
      </c>
      <c r="C3" s="4">
        <f>INDEX(Employees!$F:$F,MATCH(B3,Employees!$E:$E,0))</f>
        <v>1</v>
      </c>
      <c r="D3" s="5">
        <f>COUNTIF(Employees!$E:$E,B3)</f>
        <v>8</v>
      </c>
      <c r="E3" s="5" cm="1">
        <f t="array" ref="E3">SUMPRODUCT((Employees!$E$2:$E$1514=B3)*(_xlfn.XLOOKUP(Employees!$A$2:$A$1514,Employee_History!$A$2:$A$1514,Employee_History!$F$2:$F$1514,"")="Active"))</f>
        <v>6</v>
      </c>
    </row>
    <row r="4" spans="1:5" x14ac:dyDescent="0.2">
      <c r="A4" s="25">
        <v>3</v>
      </c>
      <c r="B4" s="4" t="s">
        <v>2148</v>
      </c>
      <c r="C4" s="4">
        <f>INDEX(Employees!$F:$F,MATCH(B4,Employees!$E:$E,0))</f>
        <v>1</v>
      </c>
      <c r="D4" s="5">
        <f>COUNTIF(Employees!$E:$E,B4)</f>
        <v>7</v>
      </c>
      <c r="E4" s="5" cm="1">
        <f t="array" ref="E4">SUMPRODUCT((Employees!$E$2:$E$1514=B4)*(_xlfn.XLOOKUP(Employees!$A$2:$A$1514,Employee_History!$A$2:$A$1514,Employee_History!$F$2:$F$1514,"")="Active"))</f>
        <v>5</v>
      </c>
    </row>
    <row r="5" spans="1:5" x14ac:dyDescent="0.2">
      <c r="A5" s="25">
        <v>4</v>
      </c>
      <c r="B5" s="4" t="s">
        <v>1987</v>
      </c>
      <c r="C5" s="4">
        <f>INDEX(Employees!$F:$F,MATCH(B5,Employees!$E:$E,0))</f>
        <v>1</v>
      </c>
      <c r="D5" s="5">
        <f>COUNTIF(Employees!$E:$E,B5)</f>
        <v>10</v>
      </c>
      <c r="E5" s="5" cm="1">
        <f t="array" ref="E5">SUMPRODUCT((Employees!$E$2:$E$1514=B5)*(_xlfn.XLOOKUP(Employees!$A$2:$A$1514,Employee_History!$A$2:$A$1514,Employee_History!$F$2:$F$1514,"")="Active"))</f>
        <v>8</v>
      </c>
    </row>
    <row r="6" spans="1:5" x14ac:dyDescent="0.2">
      <c r="A6" s="25">
        <v>5</v>
      </c>
      <c r="B6" s="4" t="s">
        <v>1382</v>
      </c>
      <c r="C6" s="4">
        <f>INDEX(Employees!$F:$F,MATCH(B6,Employees!$E:$E,0))</f>
        <v>1</v>
      </c>
      <c r="D6" s="5">
        <f>COUNTIF(Employees!$E:$E,B6)</f>
        <v>13</v>
      </c>
      <c r="E6" s="5" cm="1">
        <f t="array" ref="E6">SUMPRODUCT((Employees!$E$2:$E$1514=B6)*(_xlfn.XLOOKUP(Employees!$A$2:$A$1514,Employee_History!$A$2:$A$1514,Employee_History!$F$2:$F$1514,"")="Active"))</f>
        <v>9</v>
      </c>
    </row>
    <row r="7" spans="1:5" x14ac:dyDescent="0.2">
      <c r="A7" s="25">
        <v>6</v>
      </c>
      <c r="B7" s="4" t="s">
        <v>104</v>
      </c>
      <c r="C7" s="4">
        <f>INDEX(Employees!$F:$F,MATCH(B7,Employees!$E:$E,0))</f>
        <v>1</v>
      </c>
      <c r="D7" s="5">
        <f>COUNTIF(Employees!$E:$E,B7)</f>
        <v>199</v>
      </c>
      <c r="E7" s="5" cm="1">
        <f t="array" ref="E7">SUMPRODUCT((Employees!$E$2:$E$1514=B7)*(_xlfn.XLOOKUP(Employees!$A$2:$A$1514,Employee_History!$A$2:$A$1514,Employee_History!$F$2:$F$1514,"")="Active"))</f>
        <v>139</v>
      </c>
    </row>
    <row r="8" spans="1:5" x14ac:dyDescent="0.2">
      <c r="A8" s="25">
        <v>7</v>
      </c>
      <c r="B8" s="4" t="s">
        <v>2063</v>
      </c>
      <c r="C8" s="4">
        <f>INDEX(Employees!$F:$F,MATCH(B8,Employees!$E:$E,0))</f>
        <v>1</v>
      </c>
      <c r="D8" s="5">
        <f>COUNTIF(Employees!$E:$E,B8)</f>
        <v>9</v>
      </c>
      <c r="E8" s="5" cm="1">
        <f t="array" ref="E8">SUMPRODUCT((Employees!$E$2:$E$1514=B8)*(_xlfn.XLOOKUP(Employees!$A$2:$A$1514,Employee_History!$A$2:$A$1514,Employee_History!$F$2:$F$1514,"")="Active"))</f>
        <v>7</v>
      </c>
    </row>
    <row r="9" spans="1:5" x14ac:dyDescent="0.2">
      <c r="A9" s="25">
        <v>8</v>
      </c>
      <c r="B9" s="4" t="s">
        <v>1556</v>
      </c>
      <c r="C9" s="4">
        <f>INDEX(Employees!$F:$F,MATCH(B9,Employees!$E:$E,0))</f>
        <v>1</v>
      </c>
      <c r="D9" s="5">
        <f>COUNTIF(Employees!$E:$E,B9)</f>
        <v>50</v>
      </c>
      <c r="E9" s="5" cm="1">
        <f t="array" ref="E9">SUMPRODUCT((Employees!$E$2:$E$1514=B9)*(_xlfn.XLOOKUP(Employees!$A$2:$A$1514,Employee_History!$A$2:$A$1514,Employee_History!$F$2:$F$1514,"")="Active"))</f>
        <v>31</v>
      </c>
    </row>
    <row r="10" spans="1:5" x14ac:dyDescent="0.2">
      <c r="A10" s="25">
        <v>9</v>
      </c>
      <c r="B10" s="4" t="s">
        <v>1218</v>
      </c>
      <c r="C10" s="4">
        <f>INDEX(Employees!$F:$F,MATCH(B10,Employees!$E:$E,0))</f>
        <v>1</v>
      </c>
      <c r="D10" s="5">
        <f>COUNTIF(Employees!$E:$E,B10)</f>
        <v>66</v>
      </c>
      <c r="E10" s="5" cm="1">
        <f t="array" ref="E10">SUMPRODUCT((Employees!$E$2:$E$1514=B10)*(_xlfn.XLOOKUP(Employees!$A$2:$A$1514,Employee_History!$A$2:$A$1514,Employee_History!$F$2:$F$1514,"")="Active"))</f>
        <v>44</v>
      </c>
    </row>
    <row r="11" spans="1:5" x14ac:dyDescent="0.2">
      <c r="A11" s="25">
        <v>10</v>
      </c>
      <c r="B11" s="4" t="s">
        <v>1709</v>
      </c>
      <c r="C11" s="4">
        <f>INDEX(Employees!$F:$F,MATCH(B11,Employees!$E:$E,0))</f>
        <v>2</v>
      </c>
      <c r="D11" s="5">
        <f>COUNTIF(Employees!$E:$E,B11)</f>
        <v>9</v>
      </c>
      <c r="E11" s="5" cm="1">
        <f t="array" ref="E11">SUMPRODUCT((Employees!$E$2:$E$1514=B11)*(_xlfn.XLOOKUP(Employees!$A$2:$A$1514,Employee_History!$A$2:$A$1514,Employee_History!$F$2:$F$1514,"")="Active"))</f>
        <v>8</v>
      </c>
    </row>
    <row r="12" spans="1:5" x14ac:dyDescent="0.2">
      <c r="A12" s="25">
        <v>11</v>
      </c>
      <c r="B12" s="4" t="s">
        <v>1711</v>
      </c>
      <c r="C12" s="4">
        <f>INDEX(Employees!$F:$F,MATCH(B12,Employees!$E:$E,0))</f>
        <v>2</v>
      </c>
      <c r="D12" s="5">
        <f>COUNTIF(Employees!$E:$E,B12)</f>
        <v>5</v>
      </c>
      <c r="E12" s="5" cm="1">
        <f t="array" ref="E12">SUMPRODUCT((Employees!$E$2:$E$1514=B12)*(_xlfn.XLOOKUP(Employees!$A$2:$A$1514,Employee_History!$A$2:$A$1514,Employee_History!$F$2:$F$1514,"")="Active"))</f>
        <v>4</v>
      </c>
    </row>
    <row r="13" spans="1:5" x14ac:dyDescent="0.2">
      <c r="A13" s="25">
        <v>12</v>
      </c>
      <c r="B13" s="4" t="s">
        <v>1803</v>
      </c>
      <c r="C13" s="4">
        <f>INDEX(Employees!$F:$F,MATCH(B13,Employees!$E:$E,0))</f>
        <v>2</v>
      </c>
      <c r="D13" s="5">
        <f>COUNTIF(Employees!$E:$E,B13)</f>
        <v>22</v>
      </c>
      <c r="E13" s="5" cm="1">
        <f t="array" ref="E13">SUMPRODUCT((Employees!$E$2:$E$1514=B13)*(_xlfn.XLOOKUP(Employees!$A$2:$A$1514,Employee_History!$A$2:$A$1514,Employee_History!$F$2:$F$1514,"")="Active"))</f>
        <v>17</v>
      </c>
    </row>
    <row r="14" spans="1:5" x14ac:dyDescent="0.2">
      <c r="A14" s="25">
        <v>13</v>
      </c>
      <c r="B14" s="4" t="s">
        <v>1800</v>
      </c>
      <c r="C14" s="4">
        <f>INDEX(Employees!$F:$F,MATCH(B14,Employees!$E:$E,0))</f>
        <v>2</v>
      </c>
      <c r="D14" s="5">
        <f>COUNTIF(Employees!$E:$E,B14)</f>
        <v>18</v>
      </c>
      <c r="E14" s="5" cm="1">
        <f t="array" ref="E14">SUMPRODUCT((Employees!$E$2:$E$1514=B14)*(_xlfn.XLOOKUP(Employees!$A$2:$A$1514,Employee_History!$A$2:$A$1514,Employee_History!$F$2:$F$1514,"")="Active"))</f>
        <v>14</v>
      </c>
    </row>
    <row r="15" spans="1:5" x14ac:dyDescent="0.2">
      <c r="A15" s="25">
        <v>14</v>
      </c>
      <c r="B15" s="4" t="s">
        <v>1216</v>
      </c>
      <c r="C15" s="4">
        <f>INDEX(Employees!$F:$F,MATCH(B15,Employees!$E:$E,0))</f>
        <v>2</v>
      </c>
      <c r="D15" s="5">
        <f>COUNTIF(Employees!$E:$E,B15)</f>
        <v>39</v>
      </c>
      <c r="E15" s="5" cm="1">
        <f t="array" ref="E15">SUMPRODUCT((Employees!$E$2:$E$1514=B15)*(_xlfn.XLOOKUP(Employees!$A$2:$A$1514,Employee_History!$A$2:$A$1514,Employee_History!$F$2:$F$1514,"")="Active"))</f>
        <v>28</v>
      </c>
    </row>
    <row r="16" spans="1:5" x14ac:dyDescent="0.2">
      <c r="A16" s="25">
        <v>15</v>
      </c>
      <c r="B16" s="4" t="s">
        <v>1759</v>
      </c>
      <c r="C16" s="4">
        <f>INDEX(Employees!$F:$F,MATCH(B16,Employees!$E:$E,0))</f>
        <v>2</v>
      </c>
      <c r="D16" s="5">
        <f>COUNTIF(Employees!$E:$E,B16)</f>
        <v>4</v>
      </c>
      <c r="E16" s="5" cm="1">
        <f t="array" ref="E16">SUMPRODUCT((Employees!$E$2:$E$1514=B16)*(_xlfn.XLOOKUP(Employees!$A$2:$A$1514,Employee_History!$A$2:$A$1514,Employee_History!$F$2:$F$1514,"")="Active"))</f>
        <v>3</v>
      </c>
    </row>
    <row r="17" spans="1:5" x14ac:dyDescent="0.2">
      <c r="A17" s="25">
        <v>16</v>
      </c>
      <c r="B17" s="4" t="s">
        <v>2000</v>
      </c>
      <c r="C17" s="4">
        <f>INDEX(Employees!$F:$F,MATCH(B17,Employees!$E:$E,0))</f>
        <v>2</v>
      </c>
      <c r="D17" s="5">
        <f>COUNTIF(Employees!$E:$E,B17)</f>
        <v>13</v>
      </c>
      <c r="E17" s="5" cm="1">
        <f t="array" ref="E17">SUMPRODUCT((Employees!$E$2:$E$1514=B17)*(_xlfn.XLOOKUP(Employees!$A$2:$A$1514,Employee_History!$A$2:$A$1514,Employee_History!$F$2:$F$1514,"")="Active"))</f>
        <v>11</v>
      </c>
    </row>
    <row r="18" spans="1:5" x14ac:dyDescent="0.2">
      <c r="A18" s="25">
        <v>17</v>
      </c>
      <c r="B18" s="4" t="s">
        <v>1673</v>
      </c>
      <c r="C18" s="4">
        <f>INDEX(Employees!$F:$F,MATCH(B18,Employees!$E:$E,0))</f>
        <v>2</v>
      </c>
      <c r="D18" s="5">
        <f>COUNTIF(Employees!$E:$E,B18)</f>
        <v>5</v>
      </c>
      <c r="E18" s="5" cm="1">
        <f t="array" ref="E18">SUMPRODUCT((Employees!$E$2:$E$1514=B18)*(_xlfn.XLOOKUP(Employees!$A$2:$A$1514,Employee_History!$A$2:$A$1514,Employee_History!$F$2:$F$1514,"")="Active"))</f>
        <v>4</v>
      </c>
    </row>
    <row r="19" spans="1:5" x14ac:dyDescent="0.2">
      <c r="A19" s="25">
        <v>18</v>
      </c>
      <c r="B19" s="4" t="s">
        <v>2132</v>
      </c>
      <c r="C19" s="4">
        <f>INDEX(Employees!$F:$F,MATCH(B19,Employees!$E:$E,0))</f>
        <v>2</v>
      </c>
      <c r="D19" s="5">
        <f>COUNTIF(Employees!$E:$E,B19)</f>
        <v>1</v>
      </c>
      <c r="E19" s="5" cm="1">
        <f t="array" ref="E19">SUMPRODUCT((Employees!$E$2:$E$1514=B19)*(_xlfn.XLOOKUP(Employees!$A$2:$A$1514,Employee_History!$A$2:$A$1514,Employee_History!$F$2:$F$1514,"")="Active"))</f>
        <v>1</v>
      </c>
    </row>
    <row r="20" spans="1:5" x14ac:dyDescent="0.2">
      <c r="A20" s="25">
        <v>19</v>
      </c>
      <c r="B20" s="4" t="s">
        <v>109</v>
      </c>
      <c r="C20" s="4">
        <f>INDEX(Employees!$F:$F,MATCH(B20,Employees!$E:$E,0))</f>
        <v>2</v>
      </c>
      <c r="D20" s="5">
        <f>COUNTIF(Employees!$E:$E,B20)</f>
        <v>181</v>
      </c>
      <c r="E20" s="5" cm="1">
        <f t="array" ref="E20">SUMPRODUCT((Employees!$E$2:$E$1514=B20)*(_xlfn.XLOOKUP(Employees!$A$2:$A$1514,Employee_History!$A$2:$A$1514,Employee_History!$F$2:$F$1514,"")="Active"))</f>
        <v>134</v>
      </c>
    </row>
    <row r="21" spans="1:5" x14ac:dyDescent="0.2">
      <c r="A21" s="25">
        <v>20</v>
      </c>
      <c r="B21" s="4" t="s">
        <v>1513</v>
      </c>
      <c r="C21" s="4">
        <f>INDEX(Employees!$F:$F,MATCH(B21,Employees!$E:$E,0))</f>
        <v>2</v>
      </c>
      <c r="D21" s="5">
        <f>COUNTIF(Employees!$E:$E,B21)</f>
        <v>7</v>
      </c>
      <c r="E21" s="5" cm="1">
        <f t="array" ref="E21">SUMPRODUCT((Employees!$E$2:$E$1514=B21)*(_xlfn.XLOOKUP(Employees!$A$2:$A$1514,Employee_History!$A$2:$A$1514,Employee_History!$F$2:$F$1514,"")="Active"))</f>
        <v>5</v>
      </c>
    </row>
    <row r="22" spans="1:5" x14ac:dyDescent="0.2">
      <c r="A22" s="25">
        <v>21</v>
      </c>
      <c r="B22" s="4" t="s">
        <v>1960</v>
      </c>
      <c r="C22" s="4">
        <f>INDEX(Employees!$F:$F,MATCH(B22,Employees!$E:$E,0))</f>
        <v>2</v>
      </c>
      <c r="D22" s="5">
        <f>COUNTIF(Employees!$E:$E,B22)</f>
        <v>7</v>
      </c>
      <c r="E22" s="5" cm="1">
        <f t="array" ref="E22">SUMPRODUCT((Employees!$E$2:$E$1514=B22)*(_xlfn.XLOOKUP(Employees!$A$2:$A$1514,Employee_History!$A$2:$A$1514,Employee_History!$F$2:$F$1514,"")="Active"))</f>
        <v>6</v>
      </c>
    </row>
    <row r="23" spans="1:5" x14ac:dyDescent="0.2">
      <c r="A23" s="25">
        <v>22</v>
      </c>
      <c r="B23" s="4" t="s">
        <v>2065</v>
      </c>
      <c r="C23" s="4">
        <f>INDEX(Employees!$F:$F,MATCH(B23,Employees!$E:$E,0))</f>
        <v>2</v>
      </c>
      <c r="D23" s="5">
        <f>COUNTIF(Employees!$E:$E,B23)</f>
        <v>21</v>
      </c>
      <c r="E23" s="5" cm="1">
        <f t="array" ref="E23">SUMPRODUCT((Employees!$E$2:$E$1514=B23)*(_xlfn.XLOOKUP(Employees!$A$2:$A$1514,Employee_History!$A$2:$A$1514,Employee_History!$F$2:$F$1514,"")="Active"))</f>
        <v>16</v>
      </c>
    </row>
    <row r="24" spans="1:5" x14ac:dyDescent="0.2">
      <c r="A24" s="25">
        <v>23</v>
      </c>
      <c r="B24" s="4" t="s">
        <v>1373</v>
      </c>
      <c r="C24" s="4">
        <f>INDEX(Employees!$F:$F,MATCH(B24,Employees!$E:$E,0))</f>
        <v>2</v>
      </c>
      <c r="D24" s="5">
        <f>COUNTIF(Employees!$E:$E,B24)</f>
        <v>27</v>
      </c>
      <c r="E24" s="5" cm="1">
        <f t="array" ref="E24">SUMPRODUCT((Employees!$E$2:$E$1514=B24)*(_xlfn.XLOOKUP(Employees!$A$2:$A$1514,Employee_History!$A$2:$A$1514,Employee_History!$F$2:$F$1514,"")="Active"))</f>
        <v>20</v>
      </c>
    </row>
    <row r="25" spans="1:5" x14ac:dyDescent="0.2">
      <c r="A25" s="25">
        <v>24</v>
      </c>
      <c r="B25" s="4" t="s">
        <v>2161</v>
      </c>
      <c r="C25" s="4">
        <f>INDEX(Employees!$F:$F,MATCH(B25,Employees!$E:$E,0))</f>
        <v>2</v>
      </c>
      <c r="D25" s="5">
        <f>COUNTIF(Employees!$E:$E,B25)</f>
        <v>5</v>
      </c>
      <c r="E25" s="5" cm="1">
        <f t="array" ref="E25">SUMPRODUCT((Employees!$E$2:$E$1514=B25)*(_xlfn.XLOOKUP(Employees!$A$2:$A$1514,Employee_History!$A$2:$A$1514,Employee_History!$F$2:$F$1514,"")="Active"))</f>
        <v>4</v>
      </c>
    </row>
    <row r="26" spans="1:5" x14ac:dyDescent="0.2">
      <c r="A26" s="25">
        <v>25</v>
      </c>
      <c r="B26" s="4" t="s">
        <v>1554</v>
      </c>
      <c r="C26" s="4">
        <f>INDEX(Employees!$F:$F,MATCH(B26,Employees!$E:$E,0))</f>
        <v>2</v>
      </c>
      <c r="D26" s="5">
        <f>COUNTIF(Employees!$E:$E,B26)</f>
        <v>29</v>
      </c>
      <c r="E26" s="5" cm="1">
        <f t="array" ref="E26">SUMPRODUCT((Employees!$E$2:$E$1514=B26)*(_xlfn.XLOOKUP(Employees!$A$2:$A$1514,Employee_History!$A$2:$A$1514,Employee_History!$F$2:$F$1514,"")="Active"))</f>
        <v>20</v>
      </c>
    </row>
    <row r="27" spans="1:5" x14ac:dyDescent="0.2">
      <c r="A27" s="25">
        <v>26</v>
      </c>
      <c r="B27" s="4" t="s">
        <v>1376</v>
      </c>
      <c r="C27" s="4">
        <f>INDEX(Employees!$F:$F,MATCH(B27,Employees!$E:$E,0))</f>
        <v>3</v>
      </c>
      <c r="D27" s="5">
        <f>COUNTIF(Employees!$E:$E,B27)</f>
        <v>34</v>
      </c>
      <c r="E27" s="5" cm="1">
        <f t="array" ref="E27">SUMPRODUCT((Employees!$E$2:$E$1514=B27)*(_xlfn.XLOOKUP(Employees!$A$2:$A$1514,Employee_History!$A$2:$A$1514,Employee_History!$F$2:$F$1514,"")="Active"))</f>
        <v>27</v>
      </c>
    </row>
    <row r="28" spans="1:5" x14ac:dyDescent="0.2">
      <c r="A28" s="25">
        <v>27</v>
      </c>
      <c r="B28" s="4" t="s">
        <v>1989</v>
      </c>
      <c r="C28" s="4">
        <f>INDEX(Employees!$F:$F,MATCH(B28,Employees!$E:$E,0))</f>
        <v>3</v>
      </c>
      <c r="D28" s="5">
        <f>COUNTIF(Employees!$E:$E,B28)</f>
        <v>8</v>
      </c>
      <c r="E28" s="5" cm="1">
        <f t="array" ref="E28">SUMPRODUCT((Employees!$E$2:$E$1514=B28)*(_xlfn.XLOOKUP(Employees!$A$2:$A$1514,Employee_History!$A$2:$A$1514,Employee_History!$F$2:$F$1514,"")="Active"))</f>
        <v>7</v>
      </c>
    </row>
    <row r="29" spans="1:5" x14ac:dyDescent="0.2">
      <c r="A29" s="25">
        <v>28</v>
      </c>
      <c r="B29" s="4" t="s">
        <v>118</v>
      </c>
      <c r="C29" s="4">
        <f>INDEX(Employees!$F:$F,MATCH(B29,Employees!$E:$E,0))</f>
        <v>3</v>
      </c>
      <c r="D29" s="5">
        <f>COUNTIF(Employees!$E:$E,B29)</f>
        <v>72</v>
      </c>
      <c r="E29" s="5" cm="1">
        <f t="array" ref="E29">SUMPRODUCT((Employees!$E$2:$E$1514=B29)*(_xlfn.XLOOKUP(Employees!$A$2:$A$1514,Employee_History!$A$2:$A$1514,Employee_History!$F$2:$F$1514,"")="Active"))</f>
        <v>57</v>
      </c>
    </row>
    <row r="30" spans="1:5" x14ac:dyDescent="0.2">
      <c r="A30" s="25">
        <v>29</v>
      </c>
      <c r="B30" s="4" t="s">
        <v>1779</v>
      </c>
      <c r="C30" s="4">
        <f>INDEX(Employees!$F:$F,MATCH(B30,Employees!$E:$E,0))</f>
        <v>3</v>
      </c>
      <c r="D30" s="5">
        <f>COUNTIF(Employees!$E:$E,B30)</f>
        <v>2</v>
      </c>
      <c r="E30" s="5" cm="1">
        <f t="array" ref="E30">SUMPRODUCT((Employees!$E$2:$E$1514=B30)*(_xlfn.XLOOKUP(Employees!$A$2:$A$1514,Employee_History!$A$2:$A$1514,Employee_History!$F$2:$F$1514,"")="Active"))</f>
        <v>2</v>
      </c>
    </row>
    <row r="31" spans="1:5" x14ac:dyDescent="0.2">
      <c r="A31" s="25">
        <v>30</v>
      </c>
      <c r="B31" s="4" t="s">
        <v>1946</v>
      </c>
      <c r="C31" s="4">
        <f>INDEX(Employees!$F:$F,MATCH(B31,Employees!$E:$E,0))</f>
        <v>3</v>
      </c>
      <c r="D31" s="5">
        <f>COUNTIF(Employees!$E:$E,B31)</f>
        <v>11</v>
      </c>
      <c r="E31" s="5" cm="1">
        <f t="array" ref="E31">SUMPRODUCT((Employees!$E$2:$E$1514=B31)*(_xlfn.XLOOKUP(Employees!$A$2:$A$1514,Employee_History!$A$2:$A$1514,Employee_History!$F$2:$F$1514,"")="Active"))</f>
        <v>9</v>
      </c>
    </row>
    <row r="32" spans="1:5" x14ac:dyDescent="0.2">
      <c r="A32" s="25">
        <v>31</v>
      </c>
      <c r="B32" s="4" t="s">
        <v>121</v>
      </c>
      <c r="C32" s="4">
        <f>INDEX(Employees!$F:$F,MATCH(B32,Employees!$E:$E,0))</f>
        <v>3</v>
      </c>
      <c r="D32" s="5">
        <f>COUNTIF(Employees!$E:$E,B32)</f>
        <v>73</v>
      </c>
      <c r="E32" s="5" cm="1">
        <f t="array" ref="E32">SUMPRODUCT((Employees!$E$2:$E$1514=B32)*(_xlfn.XLOOKUP(Employees!$A$2:$A$1514,Employee_History!$A$2:$A$1514,Employee_History!$F$2:$F$1514,"")="Active"))</f>
        <v>58</v>
      </c>
    </row>
    <row r="33" spans="1:5" x14ac:dyDescent="0.2">
      <c r="A33" s="25">
        <v>32</v>
      </c>
      <c r="B33" s="4" t="s">
        <v>2139</v>
      </c>
      <c r="C33" s="4">
        <f>INDEX(Employees!$F:$F,MATCH(B33,Employees!$E:$E,0))</f>
        <v>3</v>
      </c>
      <c r="D33" s="5">
        <f>COUNTIF(Employees!$E:$E,B33)</f>
        <v>1</v>
      </c>
      <c r="E33" s="5" cm="1">
        <f t="array" ref="E33">SUMPRODUCT((Employees!$E$2:$E$1514=B33)*(_xlfn.XLOOKUP(Employees!$A$2:$A$1514,Employee_History!$A$2:$A$1514,Employee_History!$F$2:$F$1514,"")="Active"))</f>
        <v>1</v>
      </c>
    </row>
    <row r="34" spans="1:5" x14ac:dyDescent="0.2">
      <c r="A34" s="25">
        <v>33</v>
      </c>
      <c r="B34" s="4" t="s">
        <v>1498</v>
      </c>
      <c r="C34" s="4">
        <f>INDEX(Employees!$F:$F,MATCH(B34,Employees!$E:$E,0))</f>
        <v>3</v>
      </c>
      <c r="D34" s="5">
        <f>COUNTIF(Employees!$E:$E,B34)</f>
        <v>6</v>
      </c>
      <c r="E34" s="5" cm="1">
        <f t="array" ref="E34">SUMPRODUCT((Employees!$E$2:$E$1514=B34)*(_xlfn.XLOOKUP(Employees!$A$2:$A$1514,Employee_History!$A$2:$A$1514,Employee_History!$F$2:$F$1514,"")="Active"))</f>
        <v>5</v>
      </c>
    </row>
    <row r="35" spans="1:5" x14ac:dyDescent="0.2">
      <c r="A35" s="25">
        <v>34</v>
      </c>
      <c r="B35" s="4" t="s">
        <v>1508</v>
      </c>
      <c r="C35" s="4">
        <f>INDEX(Employees!$F:$F,MATCH(B35,Employees!$E:$E,0))</f>
        <v>3</v>
      </c>
      <c r="D35" s="5">
        <f>COUNTIF(Employees!$E:$E,B35)</f>
        <v>7</v>
      </c>
      <c r="E35" s="5" cm="1">
        <f t="array" ref="E35">SUMPRODUCT((Employees!$E$2:$E$1514=B35)*(_xlfn.XLOOKUP(Employees!$A$2:$A$1514,Employee_History!$A$2:$A$1514,Employee_History!$F$2:$F$1514,"")="Active"))</f>
        <v>6</v>
      </c>
    </row>
    <row r="36" spans="1:5" x14ac:dyDescent="0.2">
      <c r="A36" s="25">
        <v>35</v>
      </c>
      <c r="B36" s="4" t="s">
        <v>1798</v>
      </c>
      <c r="C36" s="4">
        <f>INDEX(Employees!$F:$F,MATCH(B36,Employees!$E:$E,0))</f>
        <v>3</v>
      </c>
      <c r="D36" s="5">
        <f>COUNTIF(Employees!$E:$E,B36)</f>
        <v>21</v>
      </c>
      <c r="E36" s="5" cm="1">
        <f t="array" ref="E36">SUMPRODUCT((Employees!$E$2:$E$1514=B36)*(_xlfn.XLOOKUP(Employees!$A$2:$A$1514,Employee_History!$A$2:$A$1514,Employee_History!$F$2:$F$1514,"")="Active"))</f>
        <v>17</v>
      </c>
    </row>
    <row r="37" spans="1:5" x14ac:dyDescent="0.2">
      <c r="A37" s="25">
        <v>36</v>
      </c>
      <c r="B37" s="4" t="s">
        <v>2157</v>
      </c>
      <c r="C37" s="4">
        <f>INDEX(Employees!$F:$F,MATCH(B37,Employees!$E:$E,0))</f>
        <v>3</v>
      </c>
      <c r="D37" s="5">
        <f>COUNTIF(Employees!$E:$E,B37)</f>
        <v>4</v>
      </c>
      <c r="E37" s="5" cm="1">
        <f t="array" ref="E37">SUMPRODUCT((Employees!$E$2:$E$1514=B37)*(_xlfn.XLOOKUP(Employees!$A$2:$A$1514,Employee_History!$A$2:$A$1514,Employee_History!$F$2:$F$1514,"")="Active"))</f>
        <v>3</v>
      </c>
    </row>
    <row r="38" spans="1:5" x14ac:dyDescent="0.2">
      <c r="A38" s="25">
        <v>37</v>
      </c>
      <c r="B38" s="4" t="s">
        <v>57</v>
      </c>
      <c r="C38" s="4">
        <f>INDEX(Employees!$F:$F,MATCH(B38,Employees!$E:$E,0))</f>
        <v>3</v>
      </c>
      <c r="D38" s="5">
        <f>COUNTIF(Employees!$E:$E,B38)</f>
        <v>1</v>
      </c>
      <c r="E38" s="5" cm="1">
        <f t="array" ref="E38">SUMPRODUCT((Employees!$E$2:$E$1514=B38)*(_xlfn.XLOOKUP(Employees!$A$2:$A$1514,Employee_History!$A$2:$A$1514,Employee_History!$F$2:$F$1514,"")="Active"))</f>
        <v>1</v>
      </c>
    </row>
    <row r="39" spans="1:5" x14ac:dyDescent="0.2">
      <c r="A39" s="25">
        <v>38</v>
      </c>
      <c r="B39" s="4" t="s">
        <v>1671</v>
      </c>
      <c r="C39" s="4">
        <f>INDEX(Employees!$F:$F,MATCH(B39,Employees!$E:$E,0))</f>
        <v>3</v>
      </c>
      <c r="D39" s="5">
        <f>COUNTIF(Employees!$E:$E,B39)</f>
        <v>10</v>
      </c>
      <c r="E39" s="5" cm="1">
        <f t="array" ref="E39">SUMPRODUCT((Employees!$E$2:$E$1514=B39)*(_xlfn.XLOOKUP(Employees!$A$2:$A$1514,Employee_History!$A$2:$A$1514,Employee_History!$F$2:$F$1514,"")="Active"))</f>
        <v>9</v>
      </c>
    </row>
    <row r="40" spans="1:5" x14ac:dyDescent="0.2">
      <c r="A40" s="25">
        <v>39</v>
      </c>
      <c r="B40" s="4" t="s">
        <v>1502</v>
      </c>
      <c r="C40" s="4">
        <f>INDEX(Employees!$F:$F,MATCH(B40,Employees!$E:$E,0))</f>
        <v>3</v>
      </c>
      <c r="D40" s="5">
        <f>COUNTIF(Employees!$E:$E,B40)</f>
        <v>4</v>
      </c>
      <c r="E40" s="5" cm="1">
        <f t="array" ref="E40">SUMPRODUCT((Employees!$E$2:$E$1514=B40)*(_xlfn.XLOOKUP(Employees!$A$2:$A$1514,Employee_History!$A$2:$A$1514,Employee_History!$F$2:$F$1514,"")="Active"))</f>
        <v>3</v>
      </c>
    </row>
    <row r="41" spans="1:5" x14ac:dyDescent="0.2">
      <c r="A41" s="25">
        <v>40</v>
      </c>
      <c r="B41" s="4" t="s">
        <v>1767</v>
      </c>
      <c r="C41" s="4">
        <f>INDEX(Employees!$F:$F,MATCH(B41,Employees!$E:$E,0))</f>
        <v>3</v>
      </c>
      <c r="D41" s="5">
        <f>COUNTIF(Employees!$E:$E,B41)</f>
        <v>6</v>
      </c>
      <c r="E41" s="5" cm="1">
        <f t="array" ref="E41">SUMPRODUCT((Employees!$E$2:$E$1514=B41)*(_xlfn.XLOOKUP(Employees!$A$2:$A$1514,Employee_History!$A$2:$A$1514,Employee_History!$F$2:$F$1514,"")="Active"))</f>
        <v>5</v>
      </c>
    </row>
    <row r="42" spans="1:5" x14ac:dyDescent="0.2">
      <c r="A42" s="25">
        <v>41</v>
      </c>
      <c r="B42" s="4" t="s">
        <v>2153</v>
      </c>
      <c r="C42" s="4">
        <f>INDEX(Employees!$F:$F,MATCH(B42,Employees!$E:$E,0))</f>
        <v>3</v>
      </c>
      <c r="D42" s="5">
        <f>COUNTIF(Employees!$E:$E,B42)</f>
        <v>4</v>
      </c>
      <c r="E42" s="5" cm="1">
        <f t="array" ref="E42">SUMPRODUCT((Employees!$E$2:$E$1514=B42)*(_xlfn.XLOOKUP(Employees!$A$2:$A$1514,Employee_History!$A$2:$A$1514,Employee_History!$F$2:$F$1514,"")="Active"))</f>
        <v>3</v>
      </c>
    </row>
    <row r="43" spans="1:5" x14ac:dyDescent="0.2">
      <c r="A43" s="25">
        <v>42</v>
      </c>
      <c r="B43" s="4" t="s">
        <v>2151</v>
      </c>
      <c r="C43" s="4">
        <f>INDEX(Employees!$F:$F,MATCH(B43,Employees!$E:$E,0))</f>
        <v>3</v>
      </c>
      <c r="D43" s="5">
        <f>COUNTIF(Employees!$E:$E,B43)</f>
        <v>13</v>
      </c>
      <c r="E43" s="5" cm="1">
        <f t="array" ref="E43">SUMPRODUCT((Employees!$E$2:$E$1514=B43)*(_xlfn.XLOOKUP(Employees!$A$2:$A$1514,Employee_History!$A$2:$A$1514,Employee_History!$F$2:$F$1514,"")="Active"))</f>
        <v>11</v>
      </c>
    </row>
    <row r="44" spans="1:5" x14ac:dyDescent="0.2">
      <c r="A44" s="25">
        <v>43</v>
      </c>
      <c r="B44" s="4" t="s">
        <v>1504</v>
      </c>
      <c r="C44" s="4">
        <f>INDEX(Employees!$F:$F,MATCH(B44,Employees!$E:$E,0))</f>
        <v>3</v>
      </c>
      <c r="D44" s="5">
        <f>COUNTIF(Employees!$E:$E,B44)</f>
        <v>4</v>
      </c>
      <c r="E44" s="5" cm="1">
        <f t="array" ref="E44">SUMPRODUCT((Employees!$E$2:$E$1514=B44)*(_xlfn.XLOOKUP(Employees!$A$2:$A$1514,Employee_History!$A$2:$A$1514,Employee_History!$F$2:$F$1514,"")="Active"))</f>
        <v>3</v>
      </c>
    </row>
    <row r="45" spans="1:5" x14ac:dyDescent="0.2">
      <c r="A45" s="25">
        <v>44</v>
      </c>
      <c r="B45" s="4" t="s">
        <v>1807</v>
      </c>
      <c r="C45" s="4">
        <f>INDEX(Employees!$F:$F,MATCH(B45,Employees!$E:$E,0))</f>
        <v>3</v>
      </c>
      <c r="D45" s="5">
        <f>COUNTIF(Employees!$E:$E,B45)</f>
        <v>29</v>
      </c>
      <c r="E45" s="5" cm="1">
        <f t="array" ref="E45">SUMPRODUCT((Employees!$E$2:$E$1514=B45)*(_xlfn.XLOOKUP(Employees!$A$2:$A$1514,Employee_History!$A$2:$A$1514,Employee_History!$F$2:$F$1514,"")="Active"))</f>
        <v>24</v>
      </c>
    </row>
    <row r="46" spans="1:5" x14ac:dyDescent="0.2">
      <c r="A46" s="25">
        <v>45</v>
      </c>
      <c r="B46" s="4" t="s">
        <v>2126</v>
      </c>
      <c r="C46" s="4">
        <f>INDEX(Employees!$F:$F,MATCH(B46,Employees!$E:$E,0))</f>
        <v>3</v>
      </c>
      <c r="D46" s="5">
        <f>COUNTIF(Employees!$E:$E,B46)</f>
        <v>4</v>
      </c>
      <c r="E46" s="5" cm="1">
        <f t="array" ref="E46">SUMPRODUCT((Employees!$E$2:$E$1514=B46)*(_xlfn.XLOOKUP(Employees!$A$2:$A$1514,Employee_History!$A$2:$A$1514,Employee_History!$F$2:$F$1514,"")="Active"))</f>
        <v>3</v>
      </c>
    </row>
    <row r="47" spans="1:5" x14ac:dyDescent="0.2">
      <c r="A47" s="25">
        <v>46</v>
      </c>
      <c r="B47" s="4" t="s">
        <v>1721</v>
      </c>
      <c r="C47" s="4">
        <f>INDEX(Employees!$F:$F,MATCH(B47,Employees!$E:$E,0))</f>
        <v>3</v>
      </c>
      <c r="D47" s="5">
        <f>COUNTIF(Employees!$E:$E,B47)</f>
        <v>2</v>
      </c>
      <c r="E47" s="5" cm="1">
        <f t="array" ref="E47">SUMPRODUCT((Employees!$E$2:$E$1514=B47)*(_xlfn.XLOOKUP(Employees!$A$2:$A$1514,Employee_History!$A$2:$A$1514,Employee_History!$F$2:$F$1514,"")="Active"))</f>
        <v>2</v>
      </c>
    </row>
    <row r="48" spans="1:5" x14ac:dyDescent="0.2">
      <c r="A48" s="25">
        <v>47</v>
      </c>
      <c r="B48" s="4" t="s">
        <v>2055</v>
      </c>
      <c r="C48" s="4">
        <f>INDEX(Employees!$F:$F,MATCH(B48,Employees!$E:$E,0))</f>
        <v>3</v>
      </c>
      <c r="D48" s="5">
        <f>COUNTIF(Employees!$E:$E,B48)</f>
        <v>13</v>
      </c>
      <c r="E48" s="5" cm="1">
        <f t="array" ref="E48">SUMPRODUCT((Employees!$E$2:$E$1514=B48)*(_xlfn.XLOOKUP(Employees!$A$2:$A$1514,Employee_History!$A$2:$A$1514,Employee_History!$F$2:$F$1514,"")="Active"))</f>
        <v>11</v>
      </c>
    </row>
    <row r="49" spans="1:5" x14ac:dyDescent="0.2">
      <c r="A49" s="25">
        <v>48</v>
      </c>
      <c r="B49" s="4" t="s">
        <v>1763</v>
      </c>
      <c r="C49" s="4">
        <f>INDEX(Employees!$F:$F,MATCH(B49,Employees!$E:$E,0))</f>
        <v>3</v>
      </c>
      <c r="D49" s="5">
        <f>COUNTIF(Employees!$E:$E,B49)</f>
        <v>7</v>
      </c>
      <c r="E49" s="5" cm="1">
        <f t="array" ref="E49">SUMPRODUCT((Employees!$E$2:$E$1514=B49)*(_xlfn.XLOOKUP(Employees!$A$2:$A$1514,Employee_History!$A$2:$A$1514,Employee_History!$F$2:$F$1514,"")="Active"))</f>
        <v>6</v>
      </c>
    </row>
    <row r="50" spans="1:5" x14ac:dyDescent="0.2">
      <c r="A50" s="25">
        <v>49</v>
      </c>
      <c r="B50" s="4" t="s">
        <v>1394</v>
      </c>
      <c r="C50" s="4">
        <f>INDEX(Employees!$F:$F,MATCH(B50,Employees!$E:$E,0))</f>
        <v>3</v>
      </c>
      <c r="D50" s="5">
        <f>COUNTIF(Employees!$E:$E,B50)</f>
        <v>9</v>
      </c>
      <c r="E50" s="5" cm="1">
        <f t="array" ref="E50">SUMPRODUCT((Employees!$E$2:$E$1514=B50)*(_xlfn.XLOOKUP(Employees!$A$2:$A$1514,Employee_History!$A$2:$A$1514,Employee_History!$F$2:$F$1514,"")="Active"))</f>
        <v>7</v>
      </c>
    </row>
    <row r="51" spans="1:5" x14ac:dyDescent="0.2">
      <c r="A51" s="25">
        <v>50</v>
      </c>
      <c r="B51" s="4" t="s">
        <v>1225</v>
      </c>
      <c r="C51" s="4">
        <f>INDEX(Employees!$F:$F,MATCH(B51,Employees!$E:$E,0))</f>
        <v>3</v>
      </c>
      <c r="D51" s="5">
        <f>COUNTIF(Employees!$E:$E,B51)</f>
        <v>20</v>
      </c>
      <c r="E51" s="5" cm="1">
        <f t="array" ref="E51">SUMPRODUCT((Employees!$E$2:$E$1514=B51)*(_xlfn.XLOOKUP(Employees!$A$2:$A$1514,Employee_History!$A$2:$A$1514,Employee_History!$F$2:$F$1514,"")="Active"))</f>
        <v>15</v>
      </c>
    </row>
    <row r="52" spans="1:5" x14ac:dyDescent="0.2">
      <c r="A52" s="25">
        <v>51</v>
      </c>
      <c r="B52" s="4" t="s">
        <v>1713</v>
      </c>
      <c r="C52" s="4">
        <f>INDEX(Employees!$F:$F,MATCH(B52,Employees!$E:$E,0))</f>
        <v>3</v>
      </c>
      <c r="D52" s="5">
        <f>COUNTIF(Employees!$E:$E,B52)</f>
        <v>13</v>
      </c>
      <c r="E52" s="5" cm="1">
        <f t="array" ref="E52">SUMPRODUCT((Employees!$E$2:$E$1514=B52)*(_xlfn.XLOOKUP(Employees!$A$2:$A$1514,Employee_History!$A$2:$A$1514,Employee_History!$F$2:$F$1514,"")="Active"))</f>
        <v>11</v>
      </c>
    </row>
    <row r="53" spans="1:5" x14ac:dyDescent="0.2">
      <c r="A53" s="25">
        <v>52</v>
      </c>
      <c r="B53" s="4" t="s">
        <v>1948</v>
      </c>
      <c r="C53" s="4">
        <f>INDEX(Employees!$F:$F,MATCH(B53,Employees!$E:$E,0))</f>
        <v>3</v>
      </c>
      <c r="D53" s="5">
        <f>COUNTIF(Employees!$E:$E,B53)</f>
        <v>5</v>
      </c>
      <c r="E53" s="5" cm="1">
        <f t="array" ref="E53">SUMPRODUCT((Employees!$E$2:$E$1514=B53)*(_xlfn.XLOOKUP(Employees!$A$2:$A$1514,Employee_History!$A$2:$A$1514,Employee_History!$F$2:$F$1514,"")="Active"))</f>
        <v>4</v>
      </c>
    </row>
    <row r="54" spans="1:5" x14ac:dyDescent="0.2">
      <c r="A54" s="25">
        <v>53</v>
      </c>
      <c r="B54" s="4" t="s">
        <v>1991</v>
      </c>
      <c r="C54" s="4">
        <f>INDEX(Employees!$F:$F,MATCH(B54,Employees!$E:$E,0))</f>
        <v>3</v>
      </c>
      <c r="D54" s="5">
        <f>COUNTIF(Employees!$E:$E,B54)</f>
        <v>9</v>
      </c>
      <c r="E54" s="5" cm="1">
        <f t="array" ref="E54">SUMPRODUCT((Employees!$E$2:$E$1514=B54)*(_xlfn.XLOOKUP(Employees!$A$2:$A$1514,Employee_History!$A$2:$A$1514,Employee_History!$F$2:$F$1514,"")="Active"))</f>
        <v>8</v>
      </c>
    </row>
    <row r="55" spans="1:5" x14ac:dyDescent="0.2">
      <c r="A55" s="25">
        <v>54</v>
      </c>
      <c r="B55" s="4" t="s">
        <v>1565</v>
      </c>
      <c r="C55" s="4">
        <f>INDEX(Employees!$F:$F,MATCH(B55,Employees!$E:$E,0))</f>
        <v>3</v>
      </c>
      <c r="D55" s="5">
        <f>COUNTIF(Employees!$E:$E,B55)</f>
        <v>5</v>
      </c>
      <c r="E55" s="5" cm="1">
        <f t="array" ref="E55">SUMPRODUCT((Employees!$E$2:$E$1514=B55)*(_xlfn.XLOOKUP(Employees!$A$2:$A$1514,Employee_History!$A$2:$A$1514,Employee_History!$F$2:$F$1514,"")="Active"))</f>
        <v>4</v>
      </c>
    </row>
    <row r="56" spans="1:5" x14ac:dyDescent="0.2">
      <c r="A56" s="25">
        <v>55</v>
      </c>
      <c r="B56" s="4" t="s">
        <v>2124</v>
      </c>
      <c r="C56" s="4">
        <f>INDEX(Employees!$F:$F,MATCH(B56,Employees!$E:$E,0))</f>
        <v>4</v>
      </c>
      <c r="D56" s="5">
        <f>COUNTIF(Employees!$E:$E,B56)</f>
        <v>3</v>
      </c>
      <c r="E56" s="5" cm="1">
        <f t="array" ref="E56">SUMPRODUCT((Employees!$E$2:$E$1514=B56)*(_xlfn.XLOOKUP(Employees!$A$2:$A$1514,Employee_History!$A$2:$A$1514,Employee_History!$F$2:$F$1514,"")="Active"))</f>
        <v>3</v>
      </c>
    </row>
    <row r="57" spans="1:5" x14ac:dyDescent="0.2">
      <c r="A57" s="25">
        <v>56</v>
      </c>
      <c r="B57" s="4" t="s">
        <v>1997</v>
      </c>
      <c r="C57" s="4">
        <f>INDEX(Employees!$F:$F,MATCH(B57,Employees!$E:$E,0))</f>
        <v>4</v>
      </c>
      <c r="D57" s="5">
        <f>COUNTIF(Employees!$E:$E,B57)</f>
        <v>5</v>
      </c>
      <c r="E57" s="5" cm="1">
        <f t="array" ref="E57">SUMPRODUCT((Employees!$E$2:$E$1514=B57)*(_xlfn.XLOOKUP(Employees!$A$2:$A$1514,Employee_History!$A$2:$A$1514,Employee_History!$F$2:$F$1514,"")="Active"))</f>
        <v>4</v>
      </c>
    </row>
    <row r="58" spans="1:5" x14ac:dyDescent="0.2">
      <c r="A58" s="25">
        <v>57</v>
      </c>
      <c r="B58" s="4" t="s">
        <v>2002</v>
      </c>
      <c r="C58" s="4">
        <f>INDEX(Employees!$F:$F,MATCH(B58,Employees!$E:$E,0))</f>
        <v>4</v>
      </c>
      <c r="D58" s="5">
        <f>COUNTIF(Employees!$E:$E,B58)</f>
        <v>3</v>
      </c>
      <c r="E58" s="5" cm="1">
        <f t="array" ref="E58">SUMPRODUCT((Employees!$E$2:$E$1514=B58)*(_xlfn.XLOOKUP(Employees!$A$2:$A$1514,Employee_History!$A$2:$A$1514,Employee_History!$F$2:$F$1514,"")="Active"))</f>
        <v>3</v>
      </c>
    </row>
    <row r="59" spans="1:5" x14ac:dyDescent="0.2">
      <c r="A59" s="25">
        <v>58</v>
      </c>
      <c r="B59" s="4" t="s">
        <v>124</v>
      </c>
      <c r="C59" s="4">
        <f>INDEX(Employees!$F:$F,MATCH(B59,Employees!$E:$E,0))</f>
        <v>4</v>
      </c>
      <c r="D59" s="5">
        <f>COUNTIF(Employees!$E:$E,B59)</f>
        <v>50</v>
      </c>
      <c r="E59" s="5" cm="1">
        <f t="array" ref="E59">SUMPRODUCT((Employees!$E$2:$E$1514=B59)*(_xlfn.XLOOKUP(Employees!$A$2:$A$1514,Employee_History!$A$2:$A$1514,Employee_History!$F$2:$F$1514,"")="Active"))</f>
        <v>43</v>
      </c>
    </row>
    <row r="60" spans="1:5" x14ac:dyDescent="0.2">
      <c r="A60" s="25">
        <v>59</v>
      </c>
      <c r="B60" s="4" t="s">
        <v>1262</v>
      </c>
      <c r="C60" s="4">
        <f>INDEX(Employees!$F:$F,MATCH(B60,Employees!$E:$E,0))</f>
        <v>4</v>
      </c>
      <c r="D60" s="5">
        <f>COUNTIF(Employees!$E:$E,B60)</f>
        <v>9</v>
      </c>
      <c r="E60" s="5" cm="1">
        <f t="array" ref="E60">SUMPRODUCT((Employees!$E$2:$E$1514=B60)*(_xlfn.XLOOKUP(Employees!$A$2:$A$1514,Employee_History!$A$2:$A$1514,Employee_History!$F$2:$F$1514,"")="Active"))</f>
        <v>8</v>
      </c>
    </row>
    <row r="61" spans="1:5" x14ac:dyDescent="0.2">
      <c r="A61" s="25">
        <v>60</v>
      </c>
      <c r="B61" s="4" t="s">
        <v>1985</v>
      </c>
      <c r="C61" s="4">
        <f>INDEX(Employees!$F:$F,MATCH(B61,Employees!$E:$E,0))</f>
        <v>4</v>
      </c>
      <c r="D61" s="5">
        <f>COUNTIF(Employees!$E:$E,B61)</f>
        <v>6</v>
      </c>
      <c r="E61" s="5" cm="1">
        <f t="array" ref="E61">SUMPRODUCT((Employees!$E$2:$E$1514=B61)*(_xlfn.XLOOKUP(Employees!$A$2:$A$1514,Employee_History!$A$2:$A$1514,Employee_History!$F$2:$F$1514,"")="Active"))</f>
        <v>5</v>
      </c>
    </row>
    <row r="62" spans="1:5" x14ac:dyDescent="0.2">
      <c r="A62" s="25">
        <v>61</v>
      </c>
      <c r="B62" s="4" t="s">
        <v>1379</v>
      </c>
      <c r="C62" s="4">
        <f>INDEX(Employees!$F:$F,MATCH(B62,Employees!$E:$E,0))</f>
        <v>4</v>
      </c>
      <c r="D62" s="5">
        <f>COUNTIF(Employees!$E:$E,B62)</f>
        <v>19</v>
      </c>
      <c r="E62" s="5" cm="1">
        <f t="array" ref="E62">SUMPRODUCT((Employees!$E$2:$E$1514=B62)*(_xlfn.XLOOKUP(Employees!$A$2:$A$1514,Employee_History!$A$2:$A$1514,Employee_History!$F$2:$F$1514,"")="Active"))</f>
        <v>16</v>
      </c>
    </row>
    <row r="63" spans="1:5" x14ac:dyDescent="0.2">
      <c r="A63" s="25">
        <v>62</v>
      </c>
      <c r="B63" s="4" t="s">
        <v>1705</v>
      </c>
      <c r="C63" s="4">
        <f>INDEX(Employees!$F:$F,MATCH(B63,Employees!$E:$E,0))</f>
        <v>4</v>
      </c>
      <c r="D63" s="5">
        <f>COUNTIF(Employees!$E:$E,B63)</f>
        <v>9</v>
      </c>
      <c r="E63" s="5" cm="1">
        <f t="array" ref="E63">SUMPRODUCT((Employees!$E$2:$E$1514=B63)*(_xlfn.XLOOKUP(Employees!$A$2:$A$1514,Employee_History!$A$2:$A$1514,Employee_History!$F$2:$F$1514,"")="Active"))</f>
        <v>8</v>
      </c>
    </row>
    <row r="64" spans="1:5" x14ac:dyDescent="0.2">
      <c r="A64" s="25">
        <v>63</v>
      </c>
      <c r="B64" s="4" t="s">
        <v>1944</v>
      </c>
      <c r="C64" s="4">
        <f>INDEX(Employees!$F:$F,MATCH(B64,Employees!$E:$E,0))</f>
        <v>4</v>
      </c>
      <c r="D64" s="5">
        <f>COUNTIF(Employees!$E:$E,B64)</f>
        <v>8</v>
      </c>
      <c r="E64" s="5" cm="1">
        <f t="array" ref="E64">SUMPRODUCT((Employees!$E$2:$E$1514=B64)*(_xlfn.XLOOKUP(Employees!$A$2:$A$1514,Employee_History!$A$2:$A$1514,Employee_History!$F$2:$F$1514,"")="Active"))</f>
        <v>7</v>
      </c>
    </row>
    <row r="65" spans="1:5" x14ac:dyDescent="0.2">
      <c r="A65" s="25">
        <v>64</v>
      </c>
      <c r="B65" s="4" t="s">
        <v>1794</v>
      </c>
      <c r="C65" s="4">
        <f>INDEX(Employees!$F:$F,MATCH(B65,Employees!$E:$E,0))</f>
        <v>4</v>
      </c>
      <c r="D65" s="5">
        <f>COUNTIF(Employees!$E:$E,B65)</f>
        <v>30</v>
      </c>
      <c r="E65" s="5" cm="1">
        <f t="array" ref="E65">SUMPRODUCT((Employees!$E$2:$E$1514=B65)*(_xlfn.XLOOKUP(Employees!$A$2:$A$1514,Employee_History!$A$2:$A$1514,Employee_History!$F$2:$F$1514,"")="Active"))</f>
        <v>26</v>
      </c>
    </row>
    <row r="66" spans="1:5" x14ac:dyDescent="0.2">
      <c r="A66" s="25">
        <v>65</v>
      </c>
      <c r="B66" s="4" t="s">
        <v>1675</v>
      </c>
      <c r="C66" s="4">
        <f>INDEX(Employees!$F:$F,MATCH(B66,Employees!$E:$E,0))</f>
        <v>4</v>
      </c>
      <c r="D66" s="5">
        <f>COUNTIF(Employees!$E:$E,B66)</f>
        <v>8</v>
      </c>
      <c r="E66" s="5" cm="1">
        <f t="array" ref="E66">SUMPRODUCT((Employees!$E$2:$E$1514=B66)*(_xlfn.XLOOKUP(Employees!$A$2:$A$1514,Employee_History!$A$2:$A$1514,Employee_History!$F$2:$F$1514,"")="Active"))</f>
        <v>7</v>
      </c>
    </row>
    <row r="67" spans="1:5" x14ac:dyDescent="0.2">
      <c r="A67" s="25">
        <v>66</v>
      </c>
      <c r="B67" s="4" t="s">
        <v>1761</v>
      </c>
      <c r="C67" s="4">
        <f>INDEX(Employees!$F:$F,MATCH(B67,Employees!$E:$E,0))</f>
        <v>4</v>
      </c>
      <c r="D67" s="5">
        <f>COUNTIF(Employees!$E:$E,B67)</f>
        <v>6</v>
      </c>
      <c r="E67" s="5" cm="1">
        <f t="array" ref="E67">SUMPRODUCT((Employees!$E$2:$E$1514=B67)*(_xlfn.XLOOKUP(Employees!$A$2:$A$1514,Employee_History!$A$2:$A$1514,Employee_History!$F$2:$F$1514,"")="Active"))</f>
        <v>5</v>
      </c>
    </row>
    <row r="68" spans="1:5" x14ac:dyDescent="0.2">
      <c r="A68" s="25">
        <v>67</v>
      </c>
      <c r="B68" s="4" t="s">
        <v>1506</v>
      </c>
      <c r="C68" s="4">
        <f>INDEX(Employees!$F:$F,MATCH(B68,Employees!$E:$E,0))</f>
        <v>4</v>
      </c>
      <c r="D68" s="5">
        <f>COUNTIF(Employees!$E:$E,B68)</f>
        <v>7</v>
      </c>
      <c r="E68" s="5" cm="1">
        <f t="array" ref="E68">SUMPRODUCT((Employees!$E$2:$E$1514=B68)*(_xlfn.XLOOKUP(Employees!$A$2:$A$1514,Employee_History!$A$2:$A$1514,Employee_History!$F$2:$F$1514,"")="Active"))</f>
        <v>6</v>
      </c>
    </row>
    <row r="69" spans="1:5" x14ac:dyDescent="0.2">
      <c r="A69" s="25">
        <v>68</v>
      </c>
      <c r="B69" s="4" t="s">
        <v>2061</v>
      </c>
      <c r="C69" s="4">
        <f>INDEX(Employees!$F:$F,MATCH(B69,Employees!$E:$E,0))</f>
        <v>4</v>
      </c>
      <c r="D69" s="5">
        <f>COUNTIF(Employees!$E:$E,B69)</f>
        <v>8</v>
      </c>
      <c r="E69" s="5" cm="1">
        <f t="array" ref="E69">SUMPRODUCT((Employees!$E$2:$E$1514=B69)*(_xlfn.XLOOKUP(Employees!$A$2:$A$1514,Employee_History!$A$2:$A$1514,Employee_History!$F$2:$F$1514,"")="Active"))</f>
        <v>7</v>
      </c>
    </row>
    <row r="70" spans="1:5" x14ac:dyDescent="0.2">
      <c r="A70" s="25">
        <v>69</v>
      </c>
      <c r="B70" s="4" t="s">
        <v>1552</v>
      </c>
      <c r="C70" s="4">
        <f>INDEX(Employees!$F:$F,MATCH(B70,Employees!$E:$E,0))</f>
        <v>4</v>
      </c>
      <c r="D70" s="5">
        <f>COUNTIF(Employees!$E:$E,B70)</f>
        <v>15</v>
      </c>
      <c r="E70" s="5" cm="1">
        <f t="array" ref="E70">SUMPRODUCT((Employees!$E$2:$E$1514=B70)*(_xlfn.XLOOKUP(Employees!$A$2:$A$1514,Employee_History!$A$2:$A$1514,Employee_History!$F$2:$F$1514,"")="Active"))</f>
        <v>12</v>
      </c>
    </row>
    <row r="71" spans="1:5" x14ac:dyDescent="0.2">
      <c r="A71" s="25">
        <v>70</v>
      </c>
      <c r="B71" s="4" t="s">
        <v>1715</v>
      </c>
      <c r="C71" s="4">
        <f>INDEX(Employees!$F:$F,MATCH(B71,Employees!$E:$E,0))</f>
        <v>5</v>
      </c>
      <c r="D71" s="5">
        <f>COUNTIF(Employees!$E:$E,B71)</f>
        <v>2</v>
      </c>
      <c r="E71" s="5" cm="1">
        <f t="array" ref="E71">SUMPRODUCT((Employees!$E$2:$E$1514=B71)*(_xlfn.XLOOKUP(Employees!$A$2:$A$1514,Employee_History!$A$2:$A$1514,Employee_History!$F$2:$F$1514,"")="Active"))</f>
        <v>2</v>
      </c>
    </row>
    <row r="72" spans="1:5" x14ac:dyDescent="0.2">
      <c r="A72" s="25">
        <v>71</v>
      </c>
      <c r="B72" s="4" t="s">
        <v>2155</v>
      </c>
      <c r="C72" s="4">
        <f>INDEX(Employees!$F:$F,MATCH(B72,Employees!$E:$E,0))</f>
        <v>5</v>
      </c>
      <c r="D72" s="5">
        <f>COUNTIF(Employees!$E:$E,B72)</f>
        <v>4</v>
      </c>
      <c r="E72" s="5" cm="1">
        <f t="array" ref="E72">SUMPRODUCT((Employees!$E$2:$E$1514=B72)*(_xlfn.XLOOKUP(Employees!$A$2:$A$1514,Employee_History!$A$2:$A$1514,Employee_History!$F$2:$F$1514,"")="Active"))</f>
        <v>4</v>
      </c>
    </row>
    <row r="73" spans="1:5" x14ac:dyDescent="0.2">
      <c r="A73" s="25">
        <v>72</v>
      </c>
      <c r="B73" s="4" t="s">
        <v>1845</v>
      </c>
      <c r="C73" s="4">
        <f>INDEX(Employees!$F:$F,MATCH(B73,Employees!$E:$E,0))</f>
        <v>5</v>
      </c>
      <c r="D73" s="5">
        <f>COUNTIF(Employees!$E:$E,B73)</f>
        <v>7</v>
      </c>
      <c r="E73" s="5" cm="1">
        <f t="array" ref="E73">SUMPRODUCT((Employees!$E$2:$E$1514=B73)*(_xlfn.XLOOKUP(Employees!$A$2:$A$1514,Employee_History!$A$2:$A$1514,Employee_History!$F$2:$F$1514,"")="Active"))</f>
        <v>7</v>
      </c>
    </row>
    <row r="74" spans="1:5" x14ac:dyDescent="0.2">
      <c r="A74" s="25">
        <v>73</v>
      </c>
      <c r="B74" s="4" t="s">
        <v>2074</v>
      </c>
      <c r="C74" s="4">
        <f>INDEX(Employees!$F:$F,MATCH(B74,Employees!$E:$E,0))</f>
        <v>5</v>
      </c>
      <c r="D74" s="5">
        <f>COUNTIF(Employees!$E:$E,B74)</f>
        <v>5</v>
      </c>
      <c r="E74" s="5" cm="1">
        <f t="array" ref="E74">SUMPRODUCT((Employees!$E$2:$E$1514=B74)*(_xlfn.XLOOKUP(Employees!$A$2:$A$1514,Employee_History!$A$2:$A$1514,Employee_History!$F$2:$F$1514,"")="Active"))</f>
        <v>5</v>
      </c>
    </row>
    <row r="75" spans="1:5" x14ac:dyDescent="0.2">
      <c r="A75" s="25">
        <v>74</v>
      </c>
      <c r="B75" s="4" t="s">
        <v>2130</v>
      </c>
      <c r="C75" s="4">
        <f>INDEX(Employees!$F:$F,MATCH(B75,Employees!$E:$E,0))</f>
        <v>5</v>
      </c>
      <c r="D75" s="5">
        <f>COUNTIF(Employees!$E:$E,B75)</f>
        <v>2</v>
      </c>
      <c r="E75" s="5" cm="1">
        <f t="array" ref="E75">SUMPRODUCT((Employees!$E$2:$E$1514=B75)*(_xlfn.XLOOKUP(Employees!$A$2:$A$1514,Employee_History!$A$2:$A$1514,Employee_History!$F$2:$F$1514,"")="Active"))</f>
        <v>2</v>
      </c>
    </row>
    <row r="76" spans="1:5" x14ac:dyDescent="0.2">
      <c r="A76" s="25">
        <v>75</v>
      </c>
      <c r="B76" s="4" t="s">
        <v>2005</v>
      </c>
      <c r="C76" s="4">
        <f>INDEX(Employees!$F:$F,MATCH(B76,Employees!$E:$E,0))</f>
        <v>5</v>
      </c>
      <c r="D76" s="5">
        <f>COUNTIF(Employees!$E:$E,B76)</f>
        <v>4</v>
      </c>
      <c r="E76" s="5" cm="1">
        <f t="array" ref="E76">SUMPRODUCT((Employees!$E$2:$E$1514=B76)*(_xlfn.XLOOKUP(Employees!$A$2:$A$1514,Employee_History!$A$2:$A$1514,Employee_History!$F$2:$F$1514,"")="Active"))</f>
        <v>4</v>
      </c>
    </row>
    <row r="77" spans="1:5" x14ac:dyDescent="0.2">
      <c r="A77" s="25">
        <v>76</v>
      </c>
      <c r="B77" s="4" t="s">
        <v>101</v>
      </c>
      <c r="C77" s="4">
        <f>INDEX(Employees!$F:$F,MATCH(B77,Employees!$E:$E,0))</f>
        <v>5</v>
      </c>
      <c r="D77" s="5">
        <f>COUNTIF(Employees!$E:$E,B77)</f>
        <v>34</v>
      </c>
      <c r="E77" s="5" cm="1">
        <f t="array" ref="E77">SUMPRODUCT((Employees!$E$2:$E$1514=B77)*(_xlfn.XLOOKUP(Employees!$A$2:$A$1514,Employee_History!$A$2:$A$1514,Employee_History!$F$2:$F$1514,"")="Active"))</f>
        <v>34</v>
      </c>
    </row>
    <row r="78" spans="1:5" x14ac:dyDescent="0.2">
      <c r="A78" s="25">
        <v>77</v>
      </c>
      <c r="B78" s="4" t="s">
        <v>1582</v>
      </c>
      <c r="C78" s="4">
        <f>INDEX(Employees!$F:$F,MATCH(B78,Employees!$E:$E,0))</f>
        <v>5</v>
      </c>
      <c r="D78" s="5">
        <f>COUNTIF(Employees!$E:$E,B78)</f>
        <v>8</v>
      </c>
      <c r="E78" s="5" cm="1">
        <f t="array" ref="E78">SUMPRODUCT((Employees!$E$2:$E$1514=B78)*(_xlfn.XLOOKUP(Employees!$A$2:$A$1514,Employee_History!$A$2:$A$1514,Employee_History!$F$2:$F$1514,"")="Active"))</f>
        <v>8</v>
      </c>
    </row>
    <row r="79" spans="1:5" x14ac:dyDescent="0.2">
      <c r="A79" s="25">
        <v>78</v>
      </c>
      <c r="B79" s="4" t="s">
        <v>1250</v>
      </c>
      <c r="C79" s="4">
        <f>INDEX(Employees!$F:$F,MATCH(B79,Employees!$E:$E,0))</f>
        <v>5</v>
      </c>
      <c r="D79" s="5">
        <f>COUNTIF(Employees!$E:$E,B79)</f>
        <v>10</v>
      </c>
      <c r="E79" s="5" cm="1">
        <f t="array" ref="E79">SUMPRODUCT((Employees!$E$2:$E$1514=B79)*(_xlfn.XLOOKUP(Employees!$A$2:$A$1514,Employee_History!$A$2:$A$1514,Employee_History!$F$2:$F$1514,"")="Active"))</f>
        <v>10</v>
      </c>
    </row>
    <row r="80" spans="1:5" x14ac:dyDescent="0.2">
      <c r="A80" s="25">
        <v>79</v>
      </c>
      <c r="B80" s="4" t="s">
        <v>1707</v>
      </c>
      <c r="C80" s="4">
        <f>INDEX(Employees!$F:$F,MATCH(B80,Employees!$E:$E,0))</f>
        <v>6</v>
      </c>
      <c r="D80" s="5">
        <f>COUNTIF(Employees!$E:$E,B80)</f>
        <v>2</v>
      </c>
      <c r="E80" s="5" cm="1">
        <f t="array" ref="E80">SUMPRODUCT((Employees!$E$2:$E$1514=B80)*(_xlfn.XLOOKUP(Employees!$A$2:$A$1514,Employee_History!$A$2:$A$1514,Employee_History!$F$2:$F$1514,"")="Active"))</f>
        <v>2</v>
      </c>
    </row>
    <row r="81" spans="1:5" x14ac:dyDescent="0.2">
      <c r="A81" s="25">
        <v>80</v>
      </c>
      <c r="B81" s="4" t="s">
        <v>2128</v>
      </c>
      <c r="C81" s="4">
        <f>INDEX(Employees!$F:$F,MATCH(B81,Employees!$E:$E,0))</f>
        <v>6</v>
      </c>
      <c r="D81" s="5">
        <f>COUNTIF(Employees!$E:$E,B81)</f>
        <v>1</v>
      </c>
      <c r="E81" s="5" cm="1">
        <f t="array" ref="E81">SUMPRODUCT((Employees!$E$2:$E$1514=B81)*(_xlfn.XLOOKUP(Employees!$A$2:$A$1514,Employee_History!$A$2:$A$1514,Employee_History!$F$2:$F$1514,"")="Active"))</f>
        <v>1</v>
      </c>
    </row>
    <row r="82" spans="1:5" x14ac:dyDescent="0.2">
      <c r="A82" s="25">
        <v>81</v>
      </c>
      <c r="B82" s="4" t="s">
        <v>1820</v>
      </c>
      <c r="C82" s="4">
        <f>INDEX(Employees!$F:$F,MATCH(B82,Employees!$E:$E,0))</f>
        <v>6</v>
      </c>
      <c r="D82" s="5">
        <f>COUNTIF(Employees!$E:$E,B82)</f>
        <v>9</v>
      </c>
      <c r="E82" s="5" cm="1">
        <f t="array" ref="E82">SUMPRODUCT((Employees!$E$2:$E$1514=B82)*(_xlfn.XLOOKUP(Employees!$A$2:$A$1514,Employee_History!$A$2:$A$1514,Employee_History!$F$2:$F$1514,"")="Active"))</f>
        <v>9</v>
      </c>
    </row>
    <row r="83" spans="1:5" x14ac:dyDescent="0.2">
      <c r="A83" s="25">
        <v>82</v>
      </c>
      <c r="B83" s="4" t="s">
        <v>2144</v>
      </c>
      <c r="C83" s="4">
        <f>INDEX(Employees!$F:$F,MATCH(B83,Employees!$E:$E,0))</f>
        <v>6</v>
      </c>
      <c r="D83" s="5">
        <f>COUNTIF(Employees!$E:$E,B83)</f>
        <v>3</v>
      </c>
      <c r="E83" s="5" cm="1">
        <f t="array" ref="E83">SUMPRODUCT((Employees!$E$2:$E$1514=B83)*(_xlfn.XLOOKUP(Employees!$A$2:$A$1514,Employee_History!$A$2:$A$1514,Employee_History!$F$2:$F$1514,"")="Active"))</f>
        <v>3</v>
      </c>
    </row>
    <row r="84" spans="1:5" x14ac:dyDescent="0.2">
      <c r="A84" s="25">
        <v>83</v>
      </c>
      <c r="B84" s="4" t="s">
        <v>1679</v>
      </c>
      <c r="C84" s="4">
        <f>INDEX(Employees!$F:$F,MATCH(B84,Employees!$E:$E,0))</f>
        <v>6</v>
      </c>
      <c r="D84" s="5">
        <f>COUNTIF(Employees!$E:$E,B84)</f>
        <v>3</v>
      </c>
      <c r="E84" s="5" cm="1">
        <f t="array" ref="E84">SUMPRODUCT((Employees!$E$2:$E$1514=B84)*(_xlfn.XLOOKUP(Employees!$A$2:$A$1514,Employee_History!$A$2:$A$1514,Employee_History!$F$2:$F$1514,"")="Active"))</f>
        <v>3</v>
      </c>
    </row>
    <row r="85" spans="1:5" x14ac:dyDescent="0.2">
      <c r="A85" s="25">
        <v>84</v>
      </c>
      <c r="B85" s="4" t="s">
        <v>1765</v>
      </c>
      <c r="C85" s="4">
        <f>INDEX(Employees!$F:$F,MATCH(B85,Employees!$E:$E,0))</f>
        <v>6</v>
      </c>
      <c r="D85" s="5">
        <f>COUNTIF(Employees!$E:$E,B85)</f>
        <v>3</v>
      </c>
      <c r="E85" s="5" cm="1">
        <f t="array" ref="E85">SUMPRODUCT((Employees!$E$2:$E$1514=B85)*(_xlfn.XLOOKUP(Employees!$A$2:$A$1514,Employee_History!$A$2:$A$1514,Employee_History!$F$2:$F$1514,"")="Active"))</f>
        <v>3</v>
      </c>
    </row>
    <row r="86" spans="1:5" x14ac:dyDescent="0.2">
      <c r="A86" s="25">
        <v>85</v>
      </c>
      <c r="B86" s="4" t="s">
        <v>1993</v>
      </c>
      <c r="C86" s="4">
        <f>INDEX(Employees!$F:$F,MATCH(B86,Employees!$E:$E,0))</f>
        <v>6</v>
      </c>
      <c r="D86" s="5">
        <f>COUNTIF(Employees!$E:$E,B86)</f>
        <v>4</v>
      </c>
      <c r="E86" s="5" cm="1">
        <f t="array" ref="E86">SUMPRODUCT((Employees!$E$2:$E$1514=B86)*(_xlfn.XLOOKUP(Employees!$A$2:$A$1514,Employee_History!$A$2:$A$1514,Employee_History!$F$2:$F$1514,"")="Active"))</f>
        <v>4</v>
      </c>
    </row>
    <row r="87" spans="1:5" x14ac:dyDescent="0.2">
      <c r="A87" s="25">
        <v>86</v>
      </c>
      <c r="B87" s="4" t="s">
        <v>1246</v>
      </c>
      <c r="C87" s="4">
        <f>INDEX(Employees!$F:$F,MATCH(B87,Employees!$E:$E,0))</f>
        <v>6</v>
      </c>
      <c r="D87" s="5">
        <f>COUNTIF(Employees!$E:$E,B87)</f>
        <v>4</v>
      </c>
      <c r="E87" s="5" cm="1">
        <f t="array" ref="E87">SUMPRODUCT((Employees!$E$2:$E$1514=B87)*(_xlfn.XLOOKUP(Employees!$A$2:$A$1514,Employee_History!$A$2:$A$1514,Employee_History!$F$2:$F$1514,"")="Active"))</f>
        <v>4</v>
      </c>
    </row>
    <row r="88" spans="1:5" x14ac:dyDescent="0.2">
      <c r="A88" s="25">
        <v>87</v>
      </c>
      <c r="B88" s="4" t="s">
        <v>1515</v>
      </c>
      <c r="C88" s="4">
        <f>INDEX(Employees!$F:$F,MATCH(B88,Employees!$E:$E,0))</f>
        <v>6</v>
      </c>
      <c r="D88" s="5">
        <f>COUNTIF(Employees!$E:$E,B88)</f>
        <v>4</v>
      </c>
      <c r="E88" s="5" cm="1">
        <f t="array" ref="E88">SUMPRODUCT((Employees!$E$2:$E$1514=B88)*(_xlfn.XLOOKUP(Employees!$A$2:$A$1514,Employee_History!$A$2:$A$1514,Employee_History!$F$2:$F$1514,"")="Active"))</f>
        <v>4</v>
      </c>
    </row>
    <row r="89" spans="1:5" x14ac:dyDescent="0.2">
      <c r="A89" s="25">
        <v>88</v>
      </c>
      <c r="B89" s="4" t="s">
        <v>1950</v>
      </c>
      <c r="C89" s="4">
        <f>INDEX(Employees!$F:$F,MATCH(B89,Employees!$E:$E,0))</f>
        <v>6</v>
      </c>
      <c r="D89" s="5">
        <f>COUNTIF(Employees!$E:$E,B89)</f>
        <v>3</v>
      </c>
      <c r="E89" s="5" cm="1">
        <f t="array" ref="E89">SUMPRODUCT((Employees!$E$2:$E$1514=B89)*(_xlfn.XLOOKUP(Employees!$A$2:$A$1514,Employee_History!$A$2:$A$1514,Employee_History!$F$2:$F$1514,"")="Active"))</f>
        <v>3</v>
      </c>
    </row>
    <row r="90" spans="1:5" x14ac:dyDescent="0.2">
      <c r="A90" s="25">
        <v>89</v>
      </c>
      <c r="B90" s="4" t="s">
        <v>95</v>
      </c>
      <c r="C90" s="4">
        <f>INDEX(Employees!$F:$F,MATCH(B90,Employees!$E:$E,0))</f>
        <v>6</v>
      </c>
      <c r="D90" s="5">
        <f>COUNTIF(Employees!$E:$E,B90)</f>
        <v>11</v>
      </c>
      <c r="E90" s="5" cm="1">
        <f t="array" ref="E90">SUMPRODUCT((Employees!$E$2:$E$1514=B90)*(_xlfn.XLOOKUP(Employees!$A$2:$A$1514,Employee_History!$A$2:$A$1514,Employee_History!$F$2:$F$1514,"")="Active"))</f>
        <v>11</v>
      </c>
    </row>
    <row r="91" spans="1:5" x14ac:dyDescent="0.2">
      <c r="A91" s="25">
        <v>90</v>
      </c>
      <c r="B91" s="4" t="s">
        <v>2059</v>
      </c>
      <c r="C91" s="4">
        <f>INDEX(Employees!$F:$F,MATCH(B91,Employees!$E:$E,0))</f>
        <v>6</v>
      </c>
      <c r="D91" s="5">
        <f>COUNTIF(Employees!$E:$E,B91)</f>
        <v>3</v>
      </c>
      <c r="E91" s="5" cm="1">
        <f t="array" ref="E91">SUMPRODUCT((Employees!$E$2:$E$1514=B91)*(_xlfn.XLOOKUP(Employees!$A$2:$A$1514,Employee_History!$A$2:$A$1514,Employee_History!$F$2:$F$1514,"")="Active"))</f>
        <v>3</v>
      </c>
    </row>
    <row r="92" spans="1:5" x14ac:dyDescent="0.2">
      <c r="A92" s="25">
        <v>91</v>
      </c>
      <c r="B92" s="4" t="s">
        <v>1407</v>
      </c>
      <c r="C92" s="4">
        <f>INDEX(Employees!$F:$F,MATCH(B92,Employees!$E:$E,0))</f>
        <v>6</v>
      </c>
      <c r="D92" s="5">
        <f>COUNTIF(Employees!$E:$E,B92)</f>
        <v>7</v>
      </c>
      <c r="E92" s="5" cm="1">
        <f t="array" ref="E92">SUMPRODUCT((Employees!$E$2:$E$1514=B92)*(_xlfn.XLOOKUP(Employees!$A$2:$A$1514,Employee_History!$A$2:$A$1514,Employee_History!$F$2:$F$1514,"")="Active"))</f>
        <v>7</v>
      </c>
    </row>
    <row r="93" spans="1:5" x14ac:dyDescent="0.2">
      <c r="A93" s="25">
        <v>92</v>
      </c>
      <c r="B93" s="4" t="s">
        <v>1578</v>
      </c>
      <c r="C93" s="4">
        <f>INDEX(Employees!$F:$F,MATCH(B93,Employees!$E:$E,0))</f>
        <v>6</v>
      </c>
      <c r="D93" s="5">
        <f>COUNTIF(Employees!$E:$E,B93)</f>
        <v>4</v>
      </c>
      <c r="E93" s="5" cm="1">
        <f t="array" ref="E93">SUMPRODUCT((Employees!$E$2:$E$1514=B93)*(_xlfn.XLOOKUP(Employees!$A$2:$A$1514,Employee_History!$A$2:$A$1514,Employee_History!$F$2:$F$1514,"")="Active"))</f>
        <v>4</v>
      </c>
    </row>
    <row r="94" spans="1:5" x14ac:dyDescent="0.2">
      <c r="A94" s="25">
        <v>93</v>
      </c>
      <c r="B94" s="4" t="s">
        <v>1703</v>
      </c>
      <c r="C94" s="4">
        <f>INDEX(Employees!$F:$F,MATCH(B94,Employees!$E:$E,0))</f>
        <v>7</v>
      </c>
      <c r="D94" s="5">
        <f>COUNTIF(Employees!$E:$E,B94)</f>
        <v>1</v>
      </c>
      <c r="E94" s="5" cm="1">
        <f t="array" ref="E94">SUMPRODUCT((Employees!$E$2:$E$1514=B94)*(_xlfn.XLOOKUP(Employees!$A$2:$A$1514,Employee_History!$A$2:$A$1514,Employee_History!$F$2:$F$1514,"")="Active"))</f>
        <v>1</v>
      </c>
    </row>
    <row r="95" spans="1:5" x14ac:dyDescent="0.2">
      <c r="A95" s="25">
        <v>94</v>
      </c>
      <c r="B95" s="4" t="s">
        <v>1510</v>
      </c>
      <c r="C95" s="4">
        <f>INDEX(Employees!$F:$F,MATCH(B95,Employees!$E:$E,0))</f>
        <v>7</v>
      </c>
      <c r="D95" s="5">
        <f>COUNTIF(Employees!$E:$E,B95)</f>
        <v>2</v>
      </c>
      <c r="E95" s="5" cm="1">
        <f t="array" ref="E95">SUMPRODUCT((Employees!$E$2:$E$1514=B95)*(_xlfn.XLOOKUP(Employees!$A$2:$A$1514,Employee_History!$A$2:$A$1514,Employee_History!$F$2:$F$1514,"")="Active"))</f>
        <v>2</v>
      </c>
    </row>
    <row r="96" spans="1:5" x14ac:dyDescent="0.2">
      <c r="A96" s="25">
        <v>95</v>
      </c>
      <c r="B96" s="4" t="s">
        <v>1550</v>
      </c>
      <c r="C96" s="4">
        <f>INDEX(Employees!$F:$F,MATCH(B96,Employees!$E:$E,0))</f>
        <v>7</v>
      </c>
      <c r="D96" s="5">
        <f>COUNTIF(Employees!$E:$E,B96)</f>
        <v>1</v>
      </c>
      <c r="E96" s="5" cm="1">
        <f t="array" ref="E96">SUMPRODUCT((Employees!$E$2:$E$1514=B96)*(_xlfn.XLOOKUP(Employees!$A$2:$A$1514,Employee_History!$A$2:$A$1514,Employee_History!$F$2:$F$1514,"")="Active"))</f>
        <v>1</v>
      </c>
    </row>
    <row r="97" spans="1:5" x14ac:dyDescent="0.2">
      <c r="A97" s="25">
        <v>96</v>
      </c>
      <c r="B97" s="4" t="s">
        <v>1796</v>
      </c>
      <c r="C97" s="4">
        <f>INDEX(Employees!$F:$F,MATCH(B97,Employees!$E:$E,0))</f>
        <v>7</v>
      </c>
      <c r="D97" s="5">
        <f>COUNTIF(Employees!$E:$E,B97)</f>
        <v>5</v>
      </c>
      <c r="E97" s="5" cm="1">
        <f t="array" ref="E97">SUMPRODUCT((Employees!$E$2:$E$1514=B97)*(_xlfn.XLOOKUP(Employees!$A$2:$A$1514,Employee_History!$A$2:$A$1514,Employee_History!$F$2:$F$1514,"")="Active"))</f>
        <v>5</v>
      </c>
    </row>
    <row r="98" spans="1:5" x14ac:dyDescent="0.2">
      <c r="A98" s="25">
        <v>97</v>
      </c>
      <c r="B98" s="4" t="s">
        <v>2142</v>
      </c>
      <c r="C98" s="4">
        <f>INDEX(Employees!$F:$F,MATCH(B98,Employees!$E:$E,0))</f>
        <v>7</v>
      </c>
      <c r="D98" s="5">
        <f>COUNTIF(Employees!$E:$E,B98)</f>
        <v>1</v>
      </c>
      <c r="E98" s="5" cm="1">
        <f t="array" ref="E98">SUMPRODUCT((Employees!$E$2:$E$1514=B98)*(_xlfn.XLOOKUP(Employees!$A$2:$A$1514,Employee_History!$A$2:$A$1514,Employee_History!$F$2:$F$1514,"")="Active"))</f>
        <v>1</v>
      </c>
    </row>
    <row r="99" spans="1:5" x14ac:dyDescent="0.2">
      <c r="A99" s="25">
        <v>98</v>
      </c>
      <c r="B99" s="4" t="s">
        <v>1757</v>
      </c>
      <c r="C99" s="4">
        <f>INDEX(Employees!$F:$F,MATCH(B99,Employees!$E:$E,0))</f>
        <v>7</v>
      </c>
      <c r="D99" s="5">
        <f>COUNTIF(Employees!$E:$E,B99)</f>
        <v>1</v>
      </c>
      <c r="E99" s="5" cm="1">
        <f t="array" ref="E99">SUMPRODUCT((Employees!$E$2:$E$1514=B99)*(_xlfn.XLOOKUP(Employees!$A$2:$A$1514,Employee_History!$A$2:$A$1514,Employee_History!$F$2:$F$1514,"")="Active"))</f>
        <v>1</v>
      </c>
    </row>
    <row r="100" spans="1:5" x14ac:dyDescent="0.2">
      <c r="A100" s="25">
        <v>99</v>
      </c>
      <c r="B100" s="4" t="s">
        <v>1983</v>
      </c>
      <c r="C100" s="4">
        <f>INDEX(Employees!$F:$F,MATCH(B100,Employees!$E:$E,0))</f>
        <v>7</v>
      </c>
      <c r="D100" s="5">
        <f>COUNTIF(Employees!$E:$E,B100)</f>
        <v>1</v>
      </c>
      <c r="E100" s="5" cm="1">
        <f t="array" ref="E100">SUMPRODUCT((Employees!$E$2:$E$1514=B100)*(_xlfn.XLOOKUP(Employees!$A$2:$A$1514,Employee_History!$A$2:$A$1514,Employee_History!$F$2:$F$1514,"")="Active"))</f>
        <v>1</v>
      </c>
    </row>
    <row r="101" spans="1:5" x14ac:dyDescent="0.2">
      <c r="A101" s="25">
        <v>100</v>
      </c>
      <c r="B101" s="4" t="s">
        <v>1942</v>
      </c>
      <c r="C101" s="4">
        <f>INDEX(Employees!$F:$F,MATCH(B101,Employees!$E:$E,0))</f>
        <v>7</v>
      </c>
      <c r="D101" s="5">
        <f>COUNTIF(Employees!$E:$E,B101)</f>
        <v>1</v>
      </c>
      <c r="E101" s="5" cm="1">
        <f t="array" ref="E101">SUMPRODUCT((Employees!$E$2:$E$1514=B101)*(_xlfn.XLOOKUP(Employees!$A$2:$A$1514,Employee_History!$A$2:$A$1514,Employee_History!$F$2:$F$1514,"")="Active"))</f>
        <v>1</v>
      </c>
    </row>
    <row r="102" spans="1:5" x14ac:dyDescent="0.2">
      <c r="A102" s="25">
        <v>101</v>
      </c>
      <c r="B102" s="4" t="s">
        <v>2057</v>
      </c>
      <c r="C102" s="4">
        <f>INDEX(Employees!$F:$F,MATCH(B102,Employees!$E:$E,0))</f>
        <v>7</v>
      </c>
      <c r="D102" s="5">
        <f>COUNTIF(Employees!$E:$E,B102)</f>
        <v>1</v>
      </c>
      <c r="E102" s="5" cm="1">
        <f t="array" ref="E102">SUMPRODUCT((Employees!$E$2:$E$1514=B102)*(_xlfn.XLOOKUP(Employees!$A$2:$A$1514,Employee_History!$A$2:$A$1514,Employee_History!$F$2:$F$1514,"")="Active"))</f>
        <v>1</v>
      </c>
    </row>
    <row r="103" spans="1:5" x14ac:dyDescent="0.2">
      <c r="A103" s="25">
        <v>102</v>
      </c>
      <c r="B103" s="4" t="s">
        <v>1220</v>
      </c>
      <c r="C103" s="4">
        <f>INDEX(Employees!$F:$F,MATCH(B103,Employees!$E:$E,0))</f>
        <v>7</v>
      </c>
      <c r="D103" s="5">
        <f>COUNTIF(Employees!$E:$E,B103)</f>
        <v>1</v>
      </c>
      <c r="E103" s="5" cm="1">
        <f t="array" ref="E103">SUMPRODUCT((Employees!$E$2:$E$1514=B103)*(_xlfn.XLOOKUP(Employees!$A$2:$A$1514,Employee_History!$A$2:$A$1514,Employee_History!$F$2:$F$1514,"")="Active"))</f>
        <v>1</v>
      </c>
    </row>
    <row r="104" spans="1:5" x14ac:dyDescent="0.2">
      <c r="A104" s="25">
        <v>103</v>
      </c>
      <c r="B104" s="4" t="s">
        <v>1677</v>
      </c>
      <c r="C104" s="4">
        <f>INDEX(Employees!$F:$F,MATCH(B104,Employees!$E:$E,0))</f>
        <v>7</v>
      </c>
      <c r="D104" s="5">
        <f>COUNTIF(Employees!$E:$E,B104)</f>
        <v>1</v>
      </c>
      <c r="E104" s="5" cm="1">
        <f t="array" ref="E104">SUMPRODUCT((Employees!$E$2:$E$1514=B104)*(_xlfn.XLOOKUP(Employees!$A$2:$A$1514,Employee_History!$A$2:$A$1514,Employee_History!$F$2:$F$1514,"")="Active"))</f>
        <v>1</v>
      </c>
    </row>
    <row r="105" spans="1:5" x14ac:dyDescent="0.2">
      <c r="A105" s="25">
        <v>104</v>
      </c>
      <c r="B105" s="4" t="s">
        <v>88</v>
      </c>
      <c r="C105" s="4">
        <f>INDEX(Employees!$F:$F,MATCH(B105,Employees!$E:$E,0))</f>
        <v>7</v>
      </c>
      <c r="D105" s="5">
        <f>COUNTIF(Employees!$E:$E,B105)</f>
        <v>3</v>
      </c>
      <c r="E105" s="5" cm="1">
        <f t="array" ref="E105">SUMPRODUCT((Employees!$E$2:$E$1514=B105)*(_xlfn.XLOOKUP(Employees!$A$2:$A$1514,Employee_History!$A$2:$A$1514,Employee_History!$F$2:$F$1514,"")="Active"))</f>
        <v>3</v>
      </c>
    </row>
    <row r="106" spans="1:5" x14ac:dyDescent="0.2">
      <c r="A106" s="25">
        <v>105</v>
      </c>
      <c r="B106" s="4" t="s">
        <v>1399</v>
      </c>
      <c r="C106" s="4">
        <f>INDEX(Employees!$F:$F,MATCH(B106,Employees!$E:$E,0))</f>
        <v>7</v>
      </c>
      <c r="D106" s="5">
        <f>COUNTIF(Employees!$E:$E,B106)</f>
        <v>3</v>
      </c>
      <c r="E106" s="5" cm="1">
        <f t="array" ref="E106">SUMPRODUCT((Employees!$E$2:$E$1514=B106)*(_xlfn.XLOOKUP(Employees!$A$2:$A$1514,Employee_History!$A$2:$A$1514,Employee_History!$F$2:$F$1514,"")="Active"))</f>
        <v>3</v>
      </c>
    </row>
    <row r="107" spans="1:5" x14ac:dyDescent="0.2">
      <c r="A107" s="25">
        <v>106</v>
      </c>
      <c r="B107" s="4" t="s">
        <v>2122</v>
      </c>
      <c r="C107" s="4">
        <f>INDEX(Employees!$F:$F,MATCH(B107,Employees!$E:$E,0))</f>
        <v>8</v>
      </c>
      <c r="D107" s="5">
        <f>COUNTIF(Employees!$E:$E,B107)</f>
        <v>1</v>
      </c>
      <c r="E107" s="5" cm="1">
        <f t="array" ref="E107">SUMPRODUCT((Employees!$E$2:$E$1514=B107)*(_xlfn.XLOOKUP(Employees!$A$2:$A$1514,Employee_History!$A$2:$A$1514,Employee_History!$F$2:$F$1514,"")="Active"))</f>
        <v>1</v>
      </c>
    </row>
    <row r="108" spans="1:5" x14ac:dyDescent="0.2">
      <c r="A108" s="25">
        <v>107</v>
      </c>
      <c r="B108" s="4" t="s">
        <v>1792</v>
      </c>
      <c r="C108" s="4">
        <f>INDEX(Employees!$F:$F,MATCH(B108,Employees!$E:$E,0))</f>
        <v>8</v>
      </c>
      <c r="D108" s="5">
        <f>COUNTIF(Employees!$E:$E,B108)</f>
        <v>1</v>
      </c>
      <c r="E108" s="5" cm="1">
        <f t="array" ref="E108">SUMPRODUCT((Employees!$E$2:$E$1514=B108)*(_xlfn.XLOOKUP(Employees!$A$2:$A$1514,Employee_History!$A$2:$A$1514,Employee_History!$F$2:$F$1514,"")="Active"))</f>
        <v>1</v>
      </c>
    </row>
    <row r="109" spans="1:5" x14ac:dyDescent="0.2">
      <c r="A109" s="25">
        <v>108</v>
      </c>
      <c r="B109" s="4" t="s">
        <v>1669</v>
      </c>
      <c r="C109" s="4">
        <f>INDEX(Employees!$F:$F,MATCH(B109,Employees!$E:$E,0))</f>
        <v>8</v>
      </c>
      <c r="D109" s="5">
        <f>COUNTIF(Employees!$E:$E,B109)</f>
        <v>1</v>
      </c>
      <c r="E109" s="5" cm="1">
        <f t="array" ref="E109">SUMPRODUCT((Employees!$E$2:$E$1514=B109)*(_xlfn.XLOOKUP(Employees!$A$2:$A$1514,Employee_History!$A$2:$A$1514,Employee_History!$F$2:$F$1514,"")="Active"))</f>
        <v>1</v>
      </c>
    </row>
    <row r="110" spans="1:5" x14ac:dyDescent="0.2">
      <c r="A110" s="25">
        <v>109</v>
      </c>
      <c r="B110" s="4" t="s">
        <v>85</v>
      </c>
      <c r="C110" s="4">
        <f>INDEX(Employees!$F:$F,MATCH(B110,Employees!$E:$E,0))</f>
        <v>8</v>
      </c>
      <c r="D110" s="5">
        <f>COUNTIF(Employees!$E:$E,B110)</f>
        <v>1</v>
      </c>
      <c r="E110" s="5" cm="1">
        <f t="array" ref="E110">SUMPRODUCT((Employees!$E$2:$E$1514=B110)*(_xlfn.XLOOKUP(Employees!$A$2:$A$1514,Employee_History!$A$2:$A$1514,Employee_History!$F$2:$F$1514,"")="Active"))</f>
        <v>1</v>
      </c>
    </row>
    <row r="111" spans="1:5" x14ac:dyDescent="0.2">
      <c r="A111" s="25">
        <v>110</v>
      </c>
      <c r="B111" s="4" t="s">
        <v>1500</v>
      </c>
      <c r="C111" s="4">
        <f>INDEX(Employees!$F:$F,MATCH(B111,Employees!$E:$E,0))</f>
        <v>8</v>
      </c>
      <c r="D111" s="5">
        <f>COUNTIF(Employees!$E:$E,B111)</f>
        <v>1</v>
      </c>
      <c r="E111" s="5" cm="1">
        <f t="array" ref="E111">SUMPRODUCT((Employees!$E$2:$E$1514=B111)*(_xlfn.XLOOKUP(Employees!$A$2:$A$1514,Employee_History!$A$2:$A$1514,Employee_History!$F$2:$F$1514,"")="Active"))</f>
        <v>1</v>
      </c>
    </row>
    <row r="112" spans="1:5" x14ac:dyDescent="0.2">
      <c r="A112" s="25">
        <v>111</v>
      </c>
      <c r="B112" s="4" t="s">
        <v>1371</v>
      </c>
      <c r="C112" s="4">
        <f>INDEX(Employees!$F:$F,MATCH(B112,Employees!$E:$E,0))</f>
        <v>8</v>
      </c>
      <c r="D112" s="5">
        <f>COUNTIF(Employees!$E:$E,B112)</f>
        <v>1</v>
      </c>
      <c r="E112" s="5" cm="1">
        <f t="array" ref="E112">SUMPRODUCT((Employees!$E$2:$E$1514=B112)*(_xlfn.XLOOKUP(Employees!$A$2:$A$1514,Employee_History!$A$2:$A$1514,Employee_History!$F$2:$F$1514,"")="Active"))</f>
        <v>1</v>
      </c>
    </row>
    <row r="113" spans="1:5" x14ac:dyDescent="0.2">
      <c r="A113" s="25">
        <v>112</v>
      </c>
      <c r="B113" s="4" t="s">
        <v>65</v>
      </c>
      <c r="C113" s="4">
        <f>INDEX(Employees!$F:$F,MATCH(B113,Employees!$E:$E,0))</f>
        <v>9</v>
      </c>
      <c r="D113" s="5">
        <f>COUNTIF(Employees!$E:$E,B113)</f>
        <v>1</v>
      </c>
      <c r="E113" s="5" cm="1">
        <f t="array" ref="E113">SUMPRODUCT((Employees!$E$2:$E$1514=B113)*(_xlfn.XLOOKUP(Employees!$A$2:$A$1514,Employee_History!$A$2:$A$1514,Employee_History!$F$2:$F$1514,"")="Active"))</f>
        <v>1</v>
      </c>
    </row>
    <row r="114" spans="1:5" x14ac:dyDescent="0.2">
      <c r="A114" s="25">
        <v>113</v>
      </c>
      <c r="B114" s="4" t="s">
        <v>73</v>
      </c>
      <c r="C114" s="4">
        <f>INDEX(Employees!$F:$F,MATCH(B114,Employees!$E:$E,0))</f>
        <v>9</v>
      </c>
      <c r="D114" s="5">
        <f>COUNTIF(Employees!$E:$E,B114)</f>
        <v>1</v>
      </c>
      <c r="E114" s="5" cm="1">
        <f t="array" ref="E114">SUMPRODUCT((Employees!$E$2:$E$1514=B114)*(_xlfn.XLOOKUP(Employees!$A$2:$A$1514,Employee_History!$A$2:$A$1514,Employee_History!$F$2:$F$1514,"")="Active"))</f>
        <v>1</v>
      </c>
    </row>
    <row r="115" spans="1:5" x14ac:dyDescent="0.2">
      <c r="A115" s="25">
        <v>114</v>
      </c>
      <c r="B115" s="4" t="s">
        <v>53</v>
      </c>
      <c r="C115" s="4">
        <f>INDEX(Employees!$F:$F,MATCH(B115,Employees!$E:$E,0))</f>
        <v>9</v>
      </c>
      <c r="D115" s="5">
        <f>COUNTIF(Employees!$E:$E,B115)</f>
        <v>1</v>
      </c>
      <c r="E115" s="5" cm="1">
        <f t="array" ref="E115">SUMPRODUCT((Employees!$E$2:$E$1514=B115)*(_xlfn.XLOOKUP(Employees!$A$2:$A$1514,Employee_History!$A$2:$A$1514,Employee_History!$F$2:$F$1514,"")="Active"))</f>
        <v>1</v>
      </c>
    </row>
    <row r="116" spans="1:5" x14ac:dyDescent="0.2">
      <c r="A116" s="25">
        <v>115</v>
      </c>
      <c r="B116" s="4" t="s">
        <v>69</v>
      </c>
      <c r="C116" s="4">
        <f>INDEX(Employees!$F:$F,MATCH(B116,Employees!$E:$E,0))</f>
        <v>9</v>
      </c>
      <c r="D116" s="5">
        <f>COUNTIF(Employees!$E:$E,B116)</f>
        <v>1</v>
      </c>
      <c r="E116" s="5" cm="1">
        <f t="array" ref="E116">SUMPRODUCT((Employees!$E$2:$E$1514=B116)*(_xlfn.XLOOKUP(Employees!$A$2:$A$1514,Employee_History!$A$2:$A$1514,Employee_History!$F$2:$F$1514,"")="Active"))</f>
        <v>1</v>
      </c>
    </row>
    <row r="117" spans="1:5" x14ac:dyDescent="0.2">
      <c r="A117" s="25">
        <v>116</v>
      </c>
      <c r="B117" s="4" t="s">
        <v>61</v>
      </c>
      <c r="C117" s="4">
        <f>INDEX(Employees!$F:$F,MATCH(B117,Employees!$E:$E,0))</f>
        <v>9</v>
      </c>
      <c r="D117" s="5">
        <f>COUNTIF(Employees!$E:$E,B117)</f>
        <v>2</v>
      </c>
      <c r="E117" s="5" cm="1">
        <f t="array" ref="E117">SUMPRODUCT((Employees!$E$2:$E$1514=B117)*(_xlfn.XLOOKUP(Employees!$A$2:$A$1514,Employee_History!$A$2:$A$1514,Employee_History!$F$2:$F$1514,"")="Active"))</f>
        <v>1</v>
      </c>
    </row>
    <row r="118" spans="1:5" x14ac:dyDescent="0.2">
      <c r="A118" s="25">
        <v>117</v>
      </c>
      <c r="B118" s="4" t="s">
        <v>80</v>
      </c>
      <c r="C118" s="4">
        <f>INDEX(Employees!$F:$F,MATCH(B118,Employees!$E:$E,0))</f>
        <v>9</v>
      </c>
      <c r="D118" s="5">
        <f>COUNTIF(Employees!$E:$E,B118)</f>
        <v>1</v>
      </c>
      <c r="E118" s="5" cm="1">
        <f t="array" ref="E118">SUMPRODUCT((Employees!$E$2:$E$1514=B118)*(_xlfn.XLOOKUP(Employees!$A$2:$A$1514,Employee_History!$A$2:$A$1514,Employee_History!$F$2:$F$1514,"")="Active"))</f>
        <v>1</v>
      </c>
    </row>
    <row r="119" spans="1:5" x14ac:dyDescent="0.2">
      <c r="A119" s="25">
        <v>118</v>
      </c>
      <c r="B119" s="4" t="s">
        <v>48</v>
      </c>
      <c r="C119" s="4">
        <f>INDEX(Employees!$F:$F,MATCH(B119,Employees!$E:$E,0))</f>
        <v>10</v>
      </c>
      <c r="D119" s="5">
        <f>COUNTIF(Employees!$E:$E,B119)</f>
        <v>1</v>
      </c>
      <c r="E119" s="5" cm="1">
        <f t="array" ref="E119">SUMPRODUCT((Employees!$E$2:$E$1514=B119)*(_xlfn.XLOOKUP(Employees!$A$2:$A$1514,Employee_History!$A$2:$A$1514,Employee_History!$F$2:$F$1514,"")="Active"))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B9C3-954C-FC4C-BB56-11E789F66353}">
  <sheetPr>
    <tabColor rgb="FF92D050"/>
  </sheetPr>
  <dimension ref="A1:E1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2.6640625" bestFit="1" customWidth="1"/>
    <col min="2" max="2" width="15.83203125" bestFit="1" customWidth="1"/>
    <col min="3" max="3" width="14.83203125" bestFit="1" customWidth="1"/>
    <col min="4" max="4" width="17.1640625" bestFit="1" customWidth="1"/>
    <col min="5" max="5" width="14" bestFit="1" customWidth="1"/>
  </cols>
  <sheetData>
    <row r="1" spans="1:5" x14ac:dyDescent="0.2">
      <c r="A1" s="24" t="s">
        <v>2292</v>
      </c>
      <c r="B1" s="24" t="s">
        <v>2293</v>
      </c>
      <c r="C1" s="24" t="s">
        <v>2294</v>
      </c>
      <c r="D1" s="24" t="s">
        <v>2290</v>
      </c>
      <c r="E1" s="24" t="s">
        <v>2291</v>
      </c>
    </row>
    <row r="2" spans="1:5" x14ac:dyDescent="0.2">
      <c r="A2" s="25">
        <v>1</v>
      </c>
      <c r="B2" s="4" t="s">
        <v>50</v>
      </c>
      <c r="C2" s="4" t="s">
        <v>50</v>
      </c>
      <c r="D2" s="5">
        <f>COUNTIF(Employees!$I:$I,B2)</f>
        <v>335</v>
      </c>
      <c r="E2" s="5" cm="1">
        <f t="array" ref="E2">SUMPRODUCT((Employees!$I$2:$I$1514=B2)*(_xlfn.XLOOKUP(Employees!$A$2:$A$1514,Employee_History!$A$2:$A$1514,Employee_History!$F$2:$F$1514,"")="Active"))</f>
        <v>275</v>
      </c>
    </row>
    <row r="3" spans="1:5" x14ac:dyDescent="0.2">
      <c r="A3" s="25">
        <v>2</v>
      </c>
      <c r="B3" s="4" t="s">
        <v>1384</v>
      </c>
      <c r="C3" s="4" t="s">
        <v>2295</v>
      </c>
      <c r="D3" s="5">
        <f>COUNTIF(Employees!$I:$I,B3)</f>
        <v>52</v>
      </c>
      <c r="E3" s="5" cm="1">
        <f t="array" ref="E3">SUMPRODUCT((Employees!$I$2:$I$1514=B3)*(_xlfn.XLOOKUP(Employees!$A$2:$A$1514,Employee_History!$A$2:$A$1514,Employee_History!$F$2:$F$1514,"")="Active"))</f>
        <v>38</v>
      </c>
    </row>
    <row r="4" spans="1:5" x14ac:dyDescent="0.2">
      <c r="A4" s="25">
        <v>3</v>
      </c>
      <c r="B4" s="4" t="s">
        <v>99</v>
      </c>
      <c r="C4" s="4" t="s">
        <v>2295</v>
      </c>
      <c r="D4" s="5">
        <f>COUNTIF(Employees!$I:$I,B4)</f>
        <v>28</v>
      </c>
      <c r="E4" s="5" cm="1">
        <f t="array" ref="E4">SUMPRODUCT((Employees!$I$2:$I$1514=B4)*(_xlfn.XLOOKUP(Employees!$A$2:$A$1514,Employee_History!$A$2:$A$1514,Employee_History!$F$2:$F$1514,"")="Active"))</f>
        <v>23</v>
      </c>
    </row>
    <row r="5" spans="1:5" x14ac:dyDescent="0.2">
      <c r="A5" s="25">
        <v>4</v>
      </c>
      <c r="B5" s="4" t="s">
        <v>1378</v>
      </c>
      <c r="C5" s="4" t="s">
        <v>2295</v>
      </c>
      <c r="D5" s="5">
        <f>COUNTIF(Employees!$I:$I,B5)</f>
        <v>17</v>
      </c>
      <c r="E5" s="5" cm="1">
        <f t="array" ref="E5">SUMPRODUCT((Employees!$I$2:$I$1514=B5)*(_xlfn.XLOOKUP(Employees!$A$2:$A$1514,Employee_History!$A$2:$A$1514,Employee_History!$F$2:$F$1514,"")="Active"))</f>
        <v>13</v>
      </c>
    </row>
    <row r="6" spans="1:5" x14ac:dyDescent="0.2">
      <c r="A6" s="25">
        <v>5</v>
      </c>
      <c r="B6" s="4" t="s">
        <v>1386</v>
      </c>
      <c r="C6" s="4" t="s">
        <v>2295</v>
      </c>
      <c r="D6" s="5">
        <f>COUNTIF(Employees!$I:$I,B6)</f>
        <v>12</v>
      </c>
      <c r="E6" s="5" cm="1">
        <f t="array" ref="E6">SUMPRODUCT((Employees!$I$2:$I$1514=B6)*(_xlfn.XLOOKUP(Employees!$A$2:$A$1514,Employee_History!$A$2:$A$1514,Employee_History!$F$2:$F$1514,"")="Active"))</f>
        <v>10</v>
      </c>
    </row>
    <row r="7" spans="1:5" x14ac:dyDescent="0.2">
      <c r="A7" s="25">
        <v>6</v>
      </c>
      <c r="B7" s="4" t="s">
        <v>92</v>
      </c>
      <c r="C7" s="4" t="s">
        <v>2295</v>
      </c>
      <c r="D7" s="5">
        <f>COUNTIF(Employees!$I:$I,B7)</f>
        <v>397</v>
      </c>
      <c r="E7" s="5" cm="1">
        <f t="array" ref="E7">SUMPRODUCT((Employees!$I$2:$I$1514=B7)*(_xlfn.XLOOKUP(Employees!$A$2:$A$1514,Employee_History!$A$2:$A$1514,Employee_History!$F$2:$F$1514,"")="Active"))</f>
        <v>306</v>
      </c>
    </row>
    <row r="8" spans="1:5" x14ac:dyDescent="0.2">
      <c r="A8" s="25">
        <v>7</v>
      </c>
      <c r="B8" s="4" t="s">
        <v>1389</v>
      </c>
      <c r="C8" s="4" t="s">
        <v>2295</v>
      </c>
      <c r="D8" s="5">
        <f>COUNTIF(Employees!$I:$I,B8)</f>
        <v>12</v>
      </c>
      <c r="E8" s="5" cm="1">
        <f t="array" ref="E8">SUMPRODUCT((Employees!$I$2:$I$1514=B8)*(_xlfn.XLOOKUP(Employees!$A$2:$A$1514,Employee_History!$A$2:$A$1514,Employee_History!$F$2:$F$1514,"")="Active"))</f>
        <v>10</v>
      </c>
    </row>
    <row r="9" spans="1:5" x14ac:dyDescent="0.2">
      <c r="A9" s="25">
        <v>8</v>
      </c>
      <c r="B9" s="4" t="s">
        <v>89</v>
      </c>
      <c r="C9" s="4" t="s">
        <v>2295</v>
      </c>
      <c r="D9" s="5">
        <f>COUNTIF(Employees!$I:$I,B9)</f>
        <v>236</v>
      </c>
      <c r="E9" s="5" cm="1">
        <f t="array" ref="E9">SUMPRODUCT((Employees!$I$2:$I$1514=B9)*(_xlfn.XLOOKUP(Employees!$A$2:$A$1514,Employee_History!$A$2:$A$1514,Employee_History!$F$2:$F$1514,"")="Active"))</f>
        <v>185</v>
      </c>
    </row>
    <row r="10" spans="1:5" x14ac:dyDescent="0.2">
      <c r="A10" s="25">
        <v>9</v>
      </c>
      <c r="B10" s="4" t="s">
        <v>1224</v>
      </c>
      <c r="C10" s="4" t="s">
        <v>2295</v>
      </c>
      <c r="D10" s="5">
        <f>COUNTIF(Employees!$I:$I,B10)</f>
        <v>60</v>
      </c>
      <c r="E10" s="5" cm="1">
        <f t="array" ref="E10">SUMPRODUCT((Employees!$I$2:$I$1514=B10)*(_xlfn.XLOOKUP(Employees!$A$2:$A$1514,Employee_History!$A$2:$A$1514,Employee_History!$F$2:$F$1514,"")="Active"))</f>
        <v>44</v>
      </c>
    </row>
    <row r="11" spans="1:5" x14ac:dyDescent="0.2">
      <c r="A11" s="25">
        <v>10</v>
      </c>
      <c r="B11" s="4" t="s">
        <v>1517</v>
      </c>
      <c r="C11" s="4" t="s">
        <v>2295</v>
      </c>
      <c r="D11" s="5">
        <f>COUNTIF(Employees!$I:$I,B11)</f>
        <v>5</v>
      </c>
      <c r="E11" s="5" cm="1">
        <f t="array" ref="E11">SUMPRODUCT((Employees!$I$2:$I$1514=B11)*(_xlfn.XLOOKUP(Employees!$A$2:$A$1514,Employee_History!$A$2:$A$1514,Employee_History!$F$2:$F$1514,"")="Active"))</f>
        <v>5</v>
      </c>
    </row>
    <row r="12" spans="1:5" x14ac:dyDescent="0.2">
      <c r="A12" s="25">
        <v>11</v>
      </c>
      <c r="B12" s="4" t="s">
        <v>233</v>
      </c>
      <c r="C12" s="4" t="s">
        <v>2295</v>
      </c>
      <c r="D12" s="5">
        <f>COUNTIF(Employees!$I:$I,B12)</f>
        <v>177</v>
      </c>
      <c r="E12" s="5" cm="1">
        <f t="array" ref="E12">SUMPRODUCT((Employees!$I$2:$I$1514=B12)*(_xlfn.XLOOKUP(Employees!$A$2:$A$1514,Employee_History!$A$2:$A$1514,Employee_History!$F$2:$F$1514,"")="Active"))</f>
        <v>138</v>
      </c>
    </row>
    <row r="13" spans="1:5" x14ac:dyDescent="0.2">
      <c r="A13" s="25">
        <v>12</v>
      </c>
      <c r="B13" s="4" t="s">
        <v>1375</v>
      </c>
      <c r="C13" s="4" t="s">
        <v>1375</v>
      </c>
      <c r="D13" s="5">
        <f>COUNTIF(Employees!$I:$I,B13)</f>
        <v>182</v>
      </c>
      <c r="E13" s="5" cm="1">
        <f t="array" ref="E13">SUMPRODUCT((Employees!$I$2:$I$1514=B13)*(_xlfn.XLOOKUP(Employees!$A$2:$A$1514,Employee_History!$A$2:$A$1514,Employee_History!$F$2:$F$1514,"")="Active"))</f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4584-8E0A-1842-9204-0A54DDAE9F61}">
  <sheetPr>
    <tabColor rgb="FFFFC000"/>
  </sheetPr>
  <dimension ref="A1:H36"/>
  <sheetViews>
    <sheetView showGridLines="0" tabSelected="1" workbookViewId="0">
      <pane ySplit="7" topLeftCell="A8" activePane="bottomLeft" state="frozen"/>
      <selection pane="bottomLeft" activeCell="G26" sqref="G26"/>
    </sheetView>
  </sheetViews>
  <sheetFormatPr baseColWidth="10" defaultRowHeight="16" x14ac:dyDescent="0.2"/>
  <cols>
    <col min="1" max="1" width="14.5" customWidth="1"/>
    <col min="2" max="2" width="20.6640625" customWidth="1"/>
    <col min="3" max="3" width="53.6640625" customWidth="1"/>
    <col min="4" max="4" width="31" customWidth="1"/>
    <col min="5" max="6" width="11.33203125" customWidth="1"/>
    <col min="7" max="7" width="10.33203125" customWidth="1"/>
    <col min="8" max="8" width="53.6640625" customWidth="1"/>
  </cols>
  <sheetData>
    <row r="1" spans="1:8" ht="22" x14ac:dyDescent="0.3">
      <c r="A1" s="7" t="s">
        <v>2296</v>
      </c>
      <c r="B1" s="6"/>
      <c r="C1" s="6"/>
      <c r="D1" s="6"/>
      <c r="E1" s="6"/>
      <c r="F1" s="6"/>
      <c r="G1" s="6"/>
      <c r="H1" s="6"/>
    </row>
    <row r="2" spans="1:8" x14ac:dyDescent="0.2">
      <c r="A2" s="8" t="s">
        <v>2297</v>
      </c>
      <c r="B2" s="6"/>
      <c r="C2" s="6"/>
      <c r="D2" s="6"/>
      <c r="E2" s="6"/>
      <c r="F2" s="6"/>
      <c r="G2" s="6"/>
      <c r="H2" s="6"/>
    </row>
    <row r="3" spans="1:8" x14ac:dyDescent="0.2">
      <c r="A3" s="6"/>
      <c r="B3" s="6"/>
      <c r="C3" s="6"/>
      <c r="D3" s="6"/>
      <c r="E3" s="6"/>
      <c r="F3" s="6"/>
      <c r="G3" s="6"/>
      <c r="H3" s="6"/>
    </row>
    <row r="4" spans="1:8" x14ac:dyDescent="0.2">
      <c r="A4" s="26" t="s">
        <v>2298</v>
      </c>
      <c r="B4" s="26" t="s">
        <v>2299</v>
      </c>
      <c r="C4" s="6"/>
      <c r="D4" s="6"/>
      <c r="E4" s="6"/>
      <c r="F4" s="6"/>
      <c r="G4" s="6"/>
      <c r="H4" s="6"/>
    </row>
    <row r="5" spans="1:8" ht="22" x14ac:dyDescent="0.3">
      <c r="A5" s="27">
        <f>COUNTIF($G$8:$G$36,"FAIL")</f>
        <v>0</v>
      </c>
      <c r="B5" s="27">
        <f>COUNTA($G$8:$G$36)</f>
        <v>29</v>
      </c>
      <c r="C5" s="6"/>
      <c r="D5" s="6"/>
      <c r="E5" s="6"/>
      <c r="F5" s="6"/>
      <c r="G5" s="6"/>
      <c r="H5" s="6"/>
    </row>
    <row r="6" spans="1:8" x14ac:dyDescent="0.2">
      <c r="A6" s="6"/>
      <c r="B6" s="6"/>
      <c r="C6" s="6"/>
      <c r="D6" s="6"/>
      <c r="E6" s="6"/>
      <c r="F6" s="6"/>
      <c r="G6" s="6"/>
      <c r="H6" s="6"/>
    </row>
    <row r="7" spans="1:8" x14ac:dyDescent="0.2">
      <c r="A7" s="9" t="s">
        <v>2300</v>
      </c>
      <c r="B7" s="9" t="s">
        <v>2301</v>
      </c>
      <c r="C7" s="9" t="s">
        <v>2302</v>
      </c>
      <c r="D7" s="9" t="s">
        <v>2303</v>
      </c>
      <c r="E7" s="9" t="s">
        <v>2304</v>
      </c>
      <c r="F7" s="9" t="s">
        <v>2305</v>
      </c>
      <c r="G7" s="9" t="s">
        <v>2306</v>
      </c>
      <c r="H7" s="9" t="s">
        <v>16</v>
      </c>
    </row>
    <row r="8" spans="1:8" x14ac:dyDescent="0.2">
      <c r="A8" s="28">
        <v>1</v>
      </c>
      <c r="B8" s="11" t="s">
        <v>2307</v>
      </c>
      <c r="C8" s="11" t="s">
        <v>2308</v>
      </c>
      <c r="D8" s="11" t="s">
        <v>2370</v>
      </c>
      <c r="E8" s="29">
        <v>0</v>
      </c>
      <c r="F8" s="30">
        <f>ROWS(Employees!$A$2:$A$1514)-ROWS(Employee_History!$A$2:$A$1514)</f>
        <v>0</v>
      </c>
      <c r="G8" s="28" t="str">
        <f>IF(F8=E8,"PASS","FAIL")</f>
        <v>PASS</v>
      </c>
      <c r="H8" s="11" t="s">
        <v>2309</v>
      </c>
    </row>
    <row r="9" spans="1:8" x14ac:dyDescent="0.2">
      <c r="A9" s="28">
        <v>2</v>
      </c>
      <c r="B9" s="11" t="s">
        <v>2307</v>
      </c>
      <c r="C9" s="11" t="s">
        <v>2310</v>
      </c>
      <c r="D9" s="11" t="s">
        <v>2371</v>
      </c>
      <c r="E9" s="29">
        <v>0</v>
      </c>
      <c r="F9" s="30">
        <f>ROWS(Employees!$A$2:$A$1514)-ROWS(Compensation!$A$2:$A$1514)</f>
        <v>0</v>
      </c>
      <c r="G9" s="28" t="str">
        <f>IF(F9=E9,"PASS","FAIL")</f>
        <v>PASS</v>
      </c>
      <c r="H9" s="11" t="s">
        <v>2311</v>
      </c>
    </row>
    <row r="10" spans="1:8" x14ac:dyDescent="0.2">
      <c r="A10" s="28">
        <v>3</v>
      </c>
      <c r="B10" s="11" t="s">
        <v>2312</v>
      </c>
      <c r="C10" s="11" t="s">
        <v>2313</v>
      </c>
      <c r="D10" s="11" t="s">
        <v>2212</v>
      </c>
      <c r="E10" s="29">
        <v>0</v>
      </c>
      <c r="F10" s="30">
        <f>ROWS(Employees!$A$2:$A$1514)-ROWS(_xlfn.UNIQUE(Employees!$A$2:$A$1514))</f>
        <v>0</v>
      </c>
      <c r="G10" s="28" t="str">
        <f>IF(F10=E10,"PASS","FAIL")</f>
        <v>PASS</v>
      </c>
      <c r="H10" s="11" t="s">
        <v>2314</v>
      </c>
    </row>
    <row r="11" spans="1:8" x14ac:dyDescent="0.2">
      <c r="A11" s="28">
        <v>4</v>
      </c>
      <c r="B11" s="11" t="s">
        <v>2312</v>
      </c>
      <c r="C11" s="11" t="s">
        <v>2315</v>
      </c>
      <c r="D11" s="11" t="s">
        <v>2212</v>
      </c>
      <c r="E11" s="29">
        <v>0</v>
      </c>
      <c r="F11" s="30">
        <f>ROWS(Employees!$G$2:$G$1514)-ROWS(_xlfn.UNIQUE(Employees!$G$2:$G$1514))</f>
        <v>0</v>
      </c>
      <c r="G11" s="28" t="str">
        <f>IF(F11=E11,"PASS","FAIL")</f>
        <v>PASS</v>
      </c>
      <c r="H11" s="11" t="s">
        <v>2316</v>
      </c>
    </row>
    <row r="12" spans="1:8" x14ac:dyDescent="0.2">
      <c r="A12" s="28">
        <v>5</v>
      </c>
      <c r="B12" s="11" t="s">
        <v>2312</v>
      </c>
      <c r="C12" s="11" t="s">
        <v>2317</v>
      </c>
      <c r="D12" s="11" t="s">
        <v>2245</v>
      </c>
      <c r="E12" s="29">
        <v>0</v>
      </c>
      <c r="F12" s="30">
        <f>ROWS(Employee_History!$A$2:$A$1514)-ROWS(_xlfn.UNIQUE(Employee_History!$A$2:$A$1514))</f>
        <v>0</v>
      </c>
      <c r="G12" s="28" t="str">
        <f>IF(F12=E12,"PASS","FAIL")</f>
        <v>PASS</v>
      </c>
      <c r="H12" s="11" t="s">
        <v>2318</v>
      </c>
    </row>
    <row r="13" spans="1:8" x14ac:dyDescent="0.2">
      <c r="A13" s="28">
        <v>6</v>
      </c>
      <c r="B13" s="11" t="s">
        <v>2312</v>
      </c>
      <c r="C13" s="11" t="s">
        <v>2319</v>
      </c>
      <c r="D13" s="11" t="s">
        <v>2258</v>
      </c>
      <c r="E13" s="29">
        <v>0</v>
      </c>
      <c r="F13" s="30">
        <f>ROWS(Compensation!$A$2:$A$1514)-ROWS(_xlfn.UNIQUE(Compensation!$A$2:$A$1514))</f>
        <v>0</v>
      </c>
      <c r="G13" s="28" t="str">
        <f>IF(F13=E13,"PASS","FAIL")</f>
        <v>PASS</v>
      </c>
      <c r="H13" s="11" t="s">
        <v>2320</v>
      </c>
    </row>
    <row r="14" spans="1:8" x14ac:dyDescent="0.2">
      <c r="A14" s="28">
        <v>7</v>
      </c>
      <c r="B14" s="11" t="s">
        <v>2312</v>
      </c>
      <c r="C14" s="11" t="s">
        <v>2321</v>
      </c>
      <c r="D14" s="11" t="s">
        <v>2266</v>
      </c>
      <c r="E14" s="29">
        <v>0</v>
      </c>
      <c r="F14" s="30">
        <f>ROWS(Departments!$A$2:$A$16)-ROWS(_xlfn.UNIQUE(Departments!$A$2:$A$16))</f>
        <v>0</v>
      </c>
      <c r="G14" s="28" t="str">
        <f>IF(F14=E14,"PASS","FAIL")</f>
        <v>PASS</v>
      </c>
      <c r="H14" s="11" t="s">
        <v>2322</v>
      </c>
    </row>
    <row r="15" spans="1:8" x14ac:dyDescent="0.2">
      <c r="A15" s="28">
        <v>8</v>
      </c>
      <c r="B15" s="11" t="s">
        <v>2323</v>
      </c>
      <c r="C15" s="11" t="s">
        <v>2324</v>
      </c>
      <c r="D15" s="11" t="s">
        <v>2372</v>
      </c>
      <c r="E15" s="29">
        <v>0</v>
      </c>
      <c r="F15" s="30" cm="1">
        <f t="array" ref="F15">SUMPRODUCT(--(COUNTIF(Employees!$A$2:$A$1514,Employee_History!$A$2:$A$1514)=0))</f>
        <v>0</v>
      </c>
      <c r="G15" s="28" t="str">
        <f>IF(F15=E15,"PASS","FAIL")</f>
        <v>PASS</v>
      </c>
      <c r="H15" s="11" t="s">
        <v>2325</v>
      </c>
    </row>
    <row r="16" spans="1:8" x14ac:dyDescent="0.2">
      <c r="A16" s="28">
        <v>9</v>
      </c>
      <c r="B16" s="11" t="s">
        <v>2323</v>
      </c>
      <c r="C16" s="11" t="s">
        <v>2326</v>
      </c>
      <c r="D16" s="11" t="s">
        <v>2373</v>
      </c>
      <c r="E16" s="29">
        <v>0</v>
      </c>
      <c r="F16" s="30" cm="1">
        <f t="array" ref="F16">SUMPRODUCT(--(COUNTIF(Employee_History!$A$2:$A$1514,Employees!$A$2:$A$1514)=0))</f>
        <v>0</v>
      </c>
      <c r="G16" s="28" t="str">
        <f>IF(F16=E16,"PASS","FAIL")</f>
        <v>PASS</v>
      </c>
      <c r="H16" s="11" t="s">
        <v>2327</v>
      </c>
    </row>
    <row r="17" spans="1:8" x14ac:dyDescent="0.2">
      <c r="A17" s="28">
        <v>10</v>
      </c>
      <c r="B17" s="11" t="s">
        <v>2323</v>
      </c>
      <c r="C17" s="11" t="s">
        <v>2328</v>
      </c>
      <c r="D17" s="11" t="s">
        <v>2374</v>
      </c>
      <c r="E17" s="29">
        <v>0</v>
      </c>
      <c r="F17" s="30" cm="1">
        <f t="array" ref="F17">SUMPRODUCT(--(COUNTIF(Employees!$A$2:$A$1514,Compensation!$A$2:$A$1514)=0))</f>
        <v>0</v>
      </c>
      <c r="G17" s="28" t="str">
        <f>IF(F17=E17,"PASS","FAIL")</f>
        <v>PASS</v>
      </c>
      <c r="H17" s="11" t="s">
        <v>2329</v>
      </c>
    </row>
    <row r="18" spans="1:8" x14ac:dyDescent="0.2">
      <c r="A18" s="28">
        <v>11</v>
      </c>
      <c r="B18" s="11" t="s">
        <v>2323</v>
      </c>
      <c r="C18" s="11" t="s">
        <v>2330</v>
      </c>
      <c r="D18" s="11" t="s">
        <v>2375</v>
      </c>
      <c r="E18" s="29">
        <v>0</v>
      </c>
      <c r="F18" s="30" cm="1">
        <f t="array" ref="F18">SUMPRODUCT(--(COUNTIF(Compensation!$A$2:$A$1514,Employees!$A$2:$A$1514)=0))</f>
        <v>0</v>
      </c>
      <c r="G18" s="28" t="str">
        <f>IF(F18=E18,"PASS","FAIL")</f>
        <v>PASS</v>
      </c>
      <c r="H18" s="11" t="s">
        <v>2331</v>
      </c>
    </row>
    <row r="19" spans="1:8" x14ac:dyDescent="0.2">
      <c r="A19" s="28">
        <v>12</v>
      </c>
      <c r="B19" s="11" t="s">
        <v>2323</v>
      </c>
      <c r="C19" s="11" t="s">
        <v>2332</v>
      </c>
      <c r="D19" s="11" t="s">
        <v>2376</v>
      </c>
      <c r="E19" s="29">
        <v>0</v>
      </c>
      <c r="F19" s="30" cm="1">
        <f t="array" ref="F19">SUMPRODUCT((Employees!$H$2:$H$1514&lt;&gt;"")*(COUNTIF(Employees!$A$2:$A$1514,Employees!$H$2:$H$1514)=0))</f>
        <v>0</v>
      </c>
      <c r="G19" s="28" t="str">
        <f>IF(F19=E19,"PASS","FAIL")</f>
        <v>PASS</v>
      </c>
      <c r="H19" s="11" t="s">
        <v>2333</v>
      </c>
    </row>
    <row r="20" spans="1:8" x14ac:dyDescent="0.2">
      <c r="A20" s="28">
        <v>13</v>
      </c>
      <c r="B20" s="11" t="s">
        <v>2323</v>
      </c>
      <c r="C20" s="11" t="s">
        <v>2334</v>
      </c>
      <c r="D20" s="11" t="s">
        <v>2212</v>
      </c>
      <c r="E20" s="29">
        <v>1</v>
      </c>
      <c r="F20" s="30">
        <f>COUNTBLANK(Employees!$H$2:$H$1514)</f>
        <v>1</v>
      </c>
      <c r="G20" s="28" t="str">
        <f>IF(F20=E20,"PASS","FAIL")</f>
        <v>PASS</v>
      </c>
      <c r="H20" s="11" t="s">
        <v>2335</v>
      </c>
    </row>
    <row r="21" spans="1:8" x14ac:dyDescent="0.2">
      <c r="A21" s="28">
        <v>14</v>
      </c>
      <c r="B21" s="11" t="s">
        <v>2323</v>
      </c>
      <c r="C21" s="11" t="s">
        <v>2336</v>
      </c>
      <c r="D21" s="11" t="s">
        <v>2377</v>
      </c>
      <c r="E21" s="29">
        <v>0</v>
      </c>
      <c r="F21" s="30" cm="1">
        <f t="array" ref="F21">SUMPRODUCT(--(COUNTIF(Departments!$A$2:$A$16,Employee_History!$B$2:$B$1514)=0))</f>
        <v>0</v>
      </c>
      <c r="G21" s="28" t="str">
        <f>IF(F21=E21,"PASS","FAIL")</f>
        <v>PASS</v>
      </c>
      <c r="H21" s="11" t="s">
        <v>2337</v>
      </c>
    </row>
    <row r="22" spans="1:8" x14ac:dyDescent="0.2">
      <c r="A22" s="28">
        <v>15</v>
      </c>
      <c r="B22" s="11" t="s">
        <v>2323</v>
      </c>
      <c r="C22" s="11" t="s">
        <v>2338</v>
      </c>
      <c r="D22" s="11" t="s">
        <v>2378</v>
      </c>
      <c r="E22" s="29">
        <v>0</v>
      </c>
      <c r="F22" s="30" cm="1">
        <f t="array" ref="F22">SUMPRODUCT((Departments!$G$2:$G$16&lt;&gt;"")*(COUNTIF(Departments!$A$2:$A$16,Departments!$G$2:$G$16)=0))</f>
        <v>0</v>
      </c>
      <c r="G22" s="28" t="str">
        <f>IF(F22=E22,"PASS","FAIL")</f>
        <v>PASS</v>
      </c>
      <c r="H22" s="11" t="s">
        <v>2339</v>
      </c>
    </row>
    <row r="23" spans="1:8" x14ac:dyDescent="0.2">
      <c r="A23" s="28">
        <v>16</v>
      </c>
      <c r="B23" s="11" t="s">
        <v>2323</v>
      </c>
      <c r="C23" s="11" t="s">
        <v>2340</v>
      </c>
      <c r="D23" s="11" t="s">
        <v>2266</v>
      </c>
      <c r="E23" s="29">
        <v>1</v>
      </c>
      <c r="F23" s="30">
        <f>COUNTBLANK(Departments!$G$2:$G$16)</f>
        <v>1</v>
      </c>
      <c r="G23" s="28" t="str">
        <f>IF(F23=E23,"PASS","FAIL")</f>
        <v>PASS</v>
      </c>
      <c r="H23" s="11" t="s">
        <v>2341</v>
      </c>
    </row>
    <row r="24" spans="1:8" x14ac:dyDescent="0.2">
      <c r="A24" s="28">
        <v>17</v>
      </c>
      <c r="B24" s="11" t="s">
        <v>2323</v>
      </c>
      <c r="C24" s="11" t="s">
        <v>2342</v>
      </c>
      <c r="D24" s="11" t="s">
        <v>2379</v>
      </c>
      <c r="E24" s="29">
        <v>0</v>
      </c>
      <c r="F24" s="30" cm="1">
        <f t="array" ref="F24">SUMPRODUCT(--ISNA(Employees!$J$2:$J$1514))+SUMPRODUCT(--ISNA(Employees!$K$2:$K$1514))</f>
        <v>0</v>
      </c>
      <c r="G24" s="28" t="str">
        <f>IF(F24=E24,"PASS","FAIL")</f>
        <v>PASS</v>
      </c>
      <c r="H24" s="11" t="s">
        <v>2343</v>
      </c>
    </row>
    <row r="25" spans="1:8" x14ac:dyDescent="0.2">
      <c r="A25" s="28">
        <v>18</v>
      </c>
      <c r="B25" s="11" t="s">
        <v>2344</v>
      </c>
      <c r="C25" s="11" t="s">
        <v>2345</v>
      </c>
      <c r="D25" s="11" t="s">
        <v>2212</v>
      </c>
      <c r="E25" s="29">
        <v>0</v>
      </c>
      <c r="F25" s="30">
        <f>COUNTIFS(Employees!$F$2:$F$1514,"&lt;1")+COUNTIFS(Employees!$F$2:$F$1514,"&gt;10")+ROWS(Employees!$A$2:$A$1514)-COUNT(Employees!$F$2:$F$1514)</f>
        <v>0</v>
      </c>
      <c r="G25" s="28" t="str">
        <f>IF(F25=E25,"PASS","FAIL")</f>
        <v>PASS</v>
      </c>
      <c r="H25" s="11" t="s">
        <v>2346</v>
      </c>
    </row>
    <row r="26" spans="1:8" x14ac:dyDescent="0.2">
      <c r="A26" s="28">
        <v>19</v>
      </c>
      <c r="B26" s="11" t="s">
        <v>2344</v>
      </c>
      <c r="C26" s="11" t="s">
        <v>2347</v>
      </c>
      <c r="D26" s="11" t="s">
        <v>2258</v>
      </c>
      <c r="E26" s="29">
        <v>0</v>
      </c>
      <c r="F26" s="30">
        <f>COUNTIFS(Compensation!$C$2:$C$1514,"&lt;1")+COUNTIFS(Compensation!$C$2:$C$1514,"&gt;5")+ROWS(Compensation!$A$2:$A$1514)-COUNT(Compensation!$C$2:$C$1514)</f>
        <v>0</v>
      </c>
      <c r="G26" s="28" t="str">
        <f>IF(F26=E26,"PASS","FAIL")</f>
        <v>PASS</v>
      </c>
      <c r="H26" s="11" t="s">
        <v>2346</v>
      </c>
    </row>
    <row r="27" spans="1:8" x14ac:dyDescent="0.2">
      <c r="A27" s="28">
        <v>20</v>
      </c>
      <c r="B27" s="11" t="s">
        <v>2344</v>
      </c>
      <c r="C27" s="11" t="s">
        <v>2348</v>
      </c>
      <c r="D27" s="11" t="s">
        <v>2258</v>
      </c>
      <c r="E27" s="29">
        <v>0</v>
      </c>
      <c r="F27" s="30">
        <f>COUNTIFS(Compensation!$B$2:$B$1514,"&lt;=0")+ROWS(Compensation!$A$2:$A$1514)-COUNT(Compensation!$B$2:$B$1514)</f>
        <v>0</v>
      </c>
      <c r="G27" s="28" t="str">
        <f>IF(F27=E27,"PASS","FAIL")</f>
        <v>PASS</v>
      </c>
      <c r="H27" s="11" t="s">
        <v>2349</v>
      </c>
    </row>
    <row r="28" spans="1:8" x14ac:dyDescent="0.2">
      <c r="A28" s="28">
        <v>21</v>
      </c>
      <c r="B28" s="11" t="s">
        <v>2344</v>
      </c>
      <c r="C28" s="11" t="s">
        <v>2350</v>
      </c>
      <c r="D28" s="11" t="s">
        <v>2245</v>
      </c>
      <c r="E28" s="29">
        <v>0</v>
      </c>
      <c r="F28" s="30">
        <f>ROWS(Employee_History!$E$2:$E$1514)-COUNTIF(Employee_History!$E$2:$E$1514,"Full-Time")-COUNTIF(Employee_History!$E$2:$E$1514,"Part-Time")-COUNTIF(Employee_History!$E$2:$E$1514,"Contractor")</f>
        <v>0</v>
      </c>
      <c r="G28" s="28" t="str">
        <f>IF(F28=E28,"PASS","FAIL")</f>
        <v>PASS</v>
      </c>
      <c r="H28" s="11" t="s">
        <v>2351</v>
      </c>
    </row>
    <row r="29" spans="1:8" x14ac:dyDescent="0.2">
      <c r="A29" s="28">
        <v>22</v>
      </c>
      <c r="B29" s="11" t="s">
        <v>2344</v>
      </c>
      <c r="C29" s="11" t="s">
        <v>2352</v>
      </c>
      <c r="D29" s="11" t="s">
        <v>2212</v>
      </c>
      <c r="E29" s="29">
        <v>0</v>
      </c>
      <c r="F29" s="30" cm="1">
        <f t="array" ref="F29">SUMPRODUCT(--(Employees!$G$2:$G$1514&lt;&gt;LOWER(Employees!$B$2:$B$1514&amp;"."&amp;Employees!$C$2:$C$1514&amp;"@ourbusiness.biz")))</f>
        <v>0</v>
      </c>
      <c r="G29" s="28" t="str">
        <f>IF(F29=E29,"PASS","FAIL")</f>
        <v>PASS</v>
      </c>
      <c r="H29" s="11" t="s">
        <v>2353</v>
      </c>
    </row>
    <row r="30" spans="1:8" x14ac:dyDescent="0.2">
      <c r="A30" s="28">
        <v>23</v>
      </c>
      <c r="B30" s="11" t="s">
        <v>2354</v>
      </c>
      <c r="C30" s="11" t="s">
        <v>2355</v>
      </c>
      <c r="D30" s="11" t="s">
        <v>2245</v>
      </c>
      <c r="E30" s="29">
        <v>0</v>
      </c>
      <c r="F30" s="30" cm="1">
        <f t="array" ref="F30">SUMPRODUCT((Employee_History!$D$2:$D$1514&lt;&gt;"")*(Employee_History!$D$2:$D$1514&lt;Employee_History!$C$2:$C$1514))</f>
        <v>0</v>
      </c>
      <c r="G30" s="28" t="str">
        <f>IF(F30=E30,"PASS","FAIL")</f>
        <v>PASS</v>
      </c>
      <c r="H30" s="11" t="s">
        <v>2356</v>
      </c>
    </row>
    <row r="31" spans="1:8" x14ac:dyDescent="0.2">
      <c r="A31" s="28">
        <v>24</v>
      </c>
      <c r="B31" s="11" t="s">
        <v>2354</v>
      </c>
      <c r="C31" s="11" t="s">
        <v>2357</v>
      </c>
      <c r="D31" s="11" t="s">
        <v>2380</v>
      </c>
      <c r="E31" s="29">
        <v>0</v>
      </c>
      <c r="F31" s="30" cm="1">
        <f t="array" ref="F31">SUMPRODUCT(--(Employee_History!$C$2:$C$1514&lt;SUMIF(Departments!$A$2:$A$16,Employee_History!$B$2:$B$1514,Departments!$F$2:$F$16)))</f>
        <v>0</v>
      </c>
      <c r="G31" s="28" t="str">
        <f>IF(F31=E31,"PASS","FAIL")</f>
        <v>PASS</v>
      </c>
      <c r="H31" s="11" t="s">
        <v>2358</v>
      </c>
    </row>
    <row r="32" spans="1:8" x14ac:dyDescent="0.2">
      <c r="A32" s="28">
        <v>25</v>
      </c>
      <c r="B32" s="11" t="s">
        <v>2354</v>
      </c>
      <c r="C32" s="11" t="s">
        <v>2359</v>
      </c>
      <c r="D32" s="11" t="s">
        <v>2381</v>
      </c>
      <c r="E32" s="29">
        <v>0</v>
      </c>
      <c r="F32" s="30" cm="1">
        <f t="array" ref="F32">SUMPRODUCT(--((Employee_History!$C$2:$C$1514-_xlfn.XLOOKUP(Employee_History!$A$2:$A$1514,Employees!$A$2:$A$1514,Employees!$D$2:$D$1514))/365.25&lt;18))</f>
        <v>0</v>
      </c>
      <c r="G32" s="28" t="str">
        <f>IF(F32=E32,"PASS","FAIL")</f>
        <v>PASS</v>
      </c>
      <c r="H32" s="11" t="s">
        <v>2360</v>
      </c>
    </row>
    <row r="33" spans="1:8" x14ac:dyDescent="0.2">
      <c r="A33" s="28">
        <v>26</v>
      </c>
      <c r="B33" s="11" t="s">
        <v>2361</v>
      </c>
      <c r="C33" s="11" t="s">
        <v>2362</v>
      </c>
      <c r="D33" s="11" t="s">
        <v>2370</v>
      </c>
      <c r="E33" s="29">
        <v>0</v>
      </c>
      <c r="F33" s="30" cm="1">
        <f t="array" ref="F33">SUMPRODUCT((Employees!$H$2:$H$1514&lt;&gt;"")*(_xlfn.XLOOKUP(Employees!$H$2:$H$1514,Employee_History!$A$2:$A$1514,Employee_History!$F$2:$F$1514,"")="Terminated")*(_xlfn.XLOOKUP(Employees!$A$2:$A$1514,Employee_History!$A$2:$A$1514,Employee_History!$F$2:$F$1514,"")="Active"))</f>
        <v>0</v>
      </c>
      <c r="G33" s="28" t="str">
        <f>IF(F33=E33,"PASS","FAIL")</f>
        <v>PASS</v>
      </c>
      <c r="H33" s="11" t="s">
        <v>2363</v>
      </c>
    </row>
    <row r="34" spans="1:8" x14ac:dyDescent="0.2">
      <c r="A34" s="28">
        <v>27</v>
      </c>
      <c r="B34" s="11" t="s">
        <v>2361</v>
      </c>
      <c r="C34" s="11" t="s">
        <v>2364</v>
      </c>
      <c r="D34" s="11" t="s">
        <v>2382</v>
      </c>
      <c r="E34" s="29">
        <v>0</v>
      </c>
      <c r="F34" s="30">
        <f>SUM(Departments!$H$2:$H$16)-COUNTIF(Employee_History!$F$2:$F$1514,"Active")</f>
        <v>0</v>
      </c>
      <c r="G34" s="28" t="str">
        <f>IF(F34=E34,"PASS","FAIL")</f>
        <v>PASS</v>
      </c>
      <c r="H34" s="11" t="s">
        <v>2365</v>
      </c>
    </row>
    <row r="35" spans="1:8" x14ac:dyDescent="0.2">
      <c r="A35" s="28">
        <v>28</v>
      </c>
      <c r="B35" s="11" t="s">
        <v>2361</v>
      </c>
      <c r="C35" s="11" t="s">
        <v>2366</v>
      </c>
      <c r="D35" s="11" t="s">
        <v>2212</v>
      </c>
      <c r="E35" s="29">
        <v>0</v>
      </c>
      <c r="F35" s="30" cm="1">
        <f t="array" ref="F35">SUMPRODUCT(--(COUNTIFS(Employees!$E$2:$E$1514,Employees!$E$2:$E$1514,Employees!$F$2:$F$1514,"&lt;&gt;"&amp;Employees!$F$2:$F$1514)&gt;0))</f>
        <v>0</v>
      </c>
      <c r="G35" s="28" t="str">
        <f>IF(F35=E35,"PASS","FAIL")</f>
        <v>PASS</v>
      </c>
      <c r="H35" s="11" t="s">
        <v>2367</v>
      </c>
    </row>
    <row r="36" spans="1:8" x14ac:dyDescent="0.2">
      <c r="A36" s="31">
        <v>29</v>
      </c>
      <c r="B36" s="16" t="s">
        <v>2361</v>
      </c>
      <c r="C36" s="16" t="s">
        <v>2368</v>
      </c>
      <c r="D36" s="16" t="s">
        <v>2383</v>
      </c>
      <c r="E36" s="32">
        <v>0</v>
      </c>
      <c r="F36" s="33">
        <f>ABS(SUM(Positions!$D$2:$D$119)-ROWS(Employees!$A$2:$A$1514))+ABS(SUM(Locations!$D$2:$D$13)-ROWS(Employees!$A$2:$A$1514))</f>
        <v>0</v>
      </c>
      <c r="G36" s="31" t="str">
        <f>IF(F36=E36,"PASS","FAIL")</f>
        <v>PASS</v>
      </c>
      <c r="H36" s="16" t="s">
        <v>2369</v>
      </c>
    </row>
  </sheetData>
  <conditionalFormatting sqref="G8:G36">
    <cfRule type="containsText" dxfId="3" priority="1" operator="containsText" text="PASS">
      <formula>NOT(ISERROR(SEARCH("PASS",G8)))</formula>
    </cfRule>
  </conditionalFormatting>
  <conditionalFormatting sqref="G8:G36">
    <cfRule type="containsText" dxfId="2" priority="2" operator="containsText" text="FAIL">
      <formula>NOT(ISERROR(SEARCH("FAIL",G8)))</formula>
    </cfRule>
  </conditionalFormatting>
  <conditionalFormatting sqref="A5">
    <cfRule type="cellIs" dxfId="1" priority="3" operator="greaterThan">
      <formula>0</formula>
    </cfRule>
  </conditionalFormatting>
  <conditionalFormatting sqref="A5"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Dictionary</vt:lpstr>
      <vt:lpstr>Employees</vt:lpstr>
      <vt:lpstr>Employee_History</vt:lpstr>
      <vt:lpstr>Compensation</vt:lpstr>
      <vt:lpstr>Departments</vt:lpstr>
      <vt:lpstr>Positions</vt:lpstr>
      <vt:lpstr>Locations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Dowdy</dc:creator>
  <cp:lastModifiedBy>Ryan Dowdy</cp:lastModifiedBy>
  <dcterms:created xsi:type="dcterms:W3CDTF">2026-10-11T03:09:18Z</dcterms:created>
  <dcterms:modified xsi:type="dcterms:W3CDTF">2026-10-24T22:06:49Z</dcterms:modified>
</cp:coreProperties>
</file>